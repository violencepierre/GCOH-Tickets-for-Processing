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F65F64B-61E5-4645-B397-B349490BB4A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r:id="rId5"/>
    <sheet name="2024" sheetId="19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91029"/>
  <pivotCaches>
    <pivotCache cacheId="5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700" i="1" l="1"/>
  <c r="A3701" i="1" s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</calcChain>
</file>

<file path=xl/sharedStrings.xml><?xml version="1.0" encoding="utf-8"?>
<sst xmlns="http://schemas.openxmlformats.org/spreadsheetml/2006/main" count="67837" uniqueCount="12865">
  <si>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</si>
  <si>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</si>
  <si>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</si>
  <si>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</si>
  <si>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</si>
  <si>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</si>
  <si>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</si>
  <si>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</si>
  <si>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</si>
  <si>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</si>
  <si>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</si>
  <si>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</si>
  <si>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</si>
  <si>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</si>
  <si>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</si>
  <si>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</si>
  <si>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</si>
  <si>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</si>
  <si>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</si>
  <si>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</si>
  <si>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</si>
  <si>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</si>
  <si>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</si>
  <si>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</si>
  <si>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</si>
  <si>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</si>
  <si>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</si>
  <si>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</si>
  <si>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</si>
  <si>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</si>
  <si>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</si>
  <si>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</si>
  <si>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</si>
  <si>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</si>
  <si>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</si>
  <si>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</si>
  <si>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</si>
  <si>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</si>
  <si>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</si>
  <si>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</si>
  <si>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</si>
  <si>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</si>
  <si>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</si>
  <si>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</si>
  <si>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</si>
  <si>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</si>
  <si>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</si>
  <si>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</si>
  <si>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</si>
  <si>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</si>
  <si>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</si>
  <si>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</si>
  <si>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</si>
  <si>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</si>
  <si>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</si>
  <si>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</si>
  <si>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</si>
  <si>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</si>
  <si>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</si>
  <si>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</si>
  <si>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</si>
  <si>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</si>
  <si>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</si>
  <si>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</si>
  <si>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</si>
  <si>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</si>
  <si>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</si>
  <si>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</si>
  <si>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</si>
  <si>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</si>
  <si>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</si>
  <si>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</si>
  <si>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</si>
  <si>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</si>
  <si>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</si>
  <si>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</si>
  <si>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</si>
  <si>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</si>
  <si>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</si>
  <si>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</si>
  <si>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</si>
  <si>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</si>
  <si>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</si>
  <si>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</si>
  <si>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</si>
  <si>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</si>
  <si>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</si>
  <si>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</si>
  <si>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</si>
  <si>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</si>
  <si>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</si>
  <si>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</si>
  <si>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</si>
  <si>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</si>
  <si>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</si>
  <si>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</si>
  <si>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</si>
  <si>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</si>
  <si>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</si>
  <si>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</si>
  <si>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</si>
  <si>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</si>
  <si>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</si>
  <si>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</si>
  <si>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</si>
  <si>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</si>
  <si>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</si>
  <si>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</si>
  <si>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</si>
  <si>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</si>
  <si>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</si>
  <si>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</si>
  <si>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</si>
  <si>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</si>
  <si>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</si>
  <si>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</si>
  <si>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</si>
  <si>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</si>
  <si>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</si>
  <si>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</si>
  <si>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</si>
  <si>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</si>
  <si>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</si>
  <si>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</si>
  <si>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</si>
  <si>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</si>
  <si>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</si>
  <si>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</si>
  <si>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</si>
  <si>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</si>
  <si>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</si>
  <si>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</si>
  <si>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</si>
  <si>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</si>
  <si>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</si>
  <si>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</si>
  <si>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</si>
  <si>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</si>
  <si>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</si>
  <si>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</si>
  <si>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</si>
  <si>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</si>
  <si>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</si>
  <si>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</si>
  <si>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</si>
  <si>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</si>
  <si>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</si>
  <si>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</si>
  <si>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</si>
  <si>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</si>
  <si>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</si>
  <si>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</si>
  <si>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</si>
  <si>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</si>
  <si>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</si>
  <si>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</si>
  <si>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</si>
  <si>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</si>
  <si>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</si>
  <si>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</si>
  <si>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</si>
  <si>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</si>
  <si>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</si>
  <si>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</si>
  <si>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</si>
  <si>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</si>
  <si>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</si>
  <si>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</si>
  <si>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</si>
  <si>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</si>
  <si>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</si>
  <si>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</si>
  <si>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</si>
  <si>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</si>
  <si>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</si>
  <si>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</si>
  <si>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</si>
  <si>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</si>
  <si>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</si>
  <si>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</si>
  <si>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</si>
  <si>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</si>
  <si>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</si>
  <si>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</si>
  <si>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</si>
  <si>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</si>
  <si>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</si>
  <si>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</si>
  <si>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</si>
  <si>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</si>
  <si>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</si>
  <si>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</si>
  <si>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</si>
  <si>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</si>
  <si>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</si>
  <si>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</si>
  <si>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</si>
  <si>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</si>
  <si>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</si>
  <si>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</si>
  <si>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</si>
  <si>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</si>
  <si>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</si>
  <si>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</si>
  <si>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</si>
  <si>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</si>
  <si>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</si>
  <si>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</si>
  <si>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</si>
  <si>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</si>
  <si>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</si>
  <si>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</si>
  <si>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</si>
  <si>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</si>
  <si>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</si>
  <si>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</si>
  <si>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</si>
  <si>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</si>
  <si>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</si>
  <si>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</si>
  <si>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</si>
  <si>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</si>
  <si>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</si>
  <si>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</si>
  <si>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</si>
  <si>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</si>
  <si>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</si>
  <si>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</si>
  <si>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</si>
  <si>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</si>
  <si>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</si>
  <si>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</si>
  <si>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</si>
  <si>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</si>
  <si>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</si>
  <si>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</si>
  <si>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</si>
  <si>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</si>
  <si>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</si>
  <si>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</si>
  <si>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</si>
  <si>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</si>
  <si>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</si>
  <si>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</si>
  <si>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</si>
  <si>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</si>
  <si>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</si>
  <si>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</si>
  <si>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</si>
  <si>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</si>
  <si>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</si>
  <si>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</si>
  <si>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</si>
  <si>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</si>
  <si>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</si>
  <si>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</si>
  <si>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</si>
  <si>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</si>
  <si>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</si>
  <si>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</si>
  <si>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</si>
  <si>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</si>
  <si>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</si>
  <si>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</si>
  <si>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</si>
  <si>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</si>
  <si>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</si>
  <si>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</si>
  <si>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</si>
  <si>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</si>
  <si>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</si>
  <si>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</si>
  <si>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</si>
  <si>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</si>
  <si>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</si>
  <si>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</si>
  <si>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</si>
  <si>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</si>
  <si>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</si>
  <si>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</si>
  <si>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</si>
  <si>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</si>
  <si>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</si>
  <si>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</si>
  <si>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</si>
  <si>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</si>
  <si>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</si>
  <si>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</si>
  <si>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</si>
  <si>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</si>
  <si>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</si>
  <si>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</si>
  <si>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</si>
  <si>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</si>
  <si>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</si>
  <si>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</si>
  <si>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</si>
  <si>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</si>
  <si>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</si>
  <si>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</si>
  <si>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</si>
  <si>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</si>
  <si>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</si>
  <si>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</si>
  <si>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</si>
  <si>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</si>
  <si>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</si>
  <si>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</si>
  <si>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</si>
  <si>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</si>
  <si>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</si>
  <si>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</si>
  <si>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</si>
  <si>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</si>
  <si>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</si>
  <si>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</si>
  <si>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</si>
  <si>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</si>
  <si>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</si>
  <si>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</si>
  <si>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</si>
  <si>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</si>
  <si>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</si>
  <si>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</si>
  <si>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</si>
  <si>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</si>
  <si>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</si>
  <si>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</si>
  <si>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</si>
  <si>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</si>
  <si>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</si>
  <si>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</si>
  <si>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</si>
  <si>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</si>
  <si>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</si>
  <si>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</si>
  <si>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</si>
  <si>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</si>
  <si>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</si>
  <si>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</si>
  <si>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</si>
  <si>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</si>
  <si>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</si>
  <si>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</si>
  <si>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</si>
  <si>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</si>
  <si>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</si>
  <si>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</si>
  <si>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</si>
  <si>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</si>
  <si>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</si>
  <si>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</si>
  <si>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</si>
  <si>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</si>
  <si>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</si>
  <si>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</si>
  <si>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</si>
  <si>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</si>
  <si>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</si>
  <si>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</si>
  <si>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</si>
  <si>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</si>
  <si>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</si>
  <si>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</si>
  <si>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</si>
  <si>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</si>
  <si>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</si>
  <si>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</si>
  <si>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</si>
  <si>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</si>
  <si>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</si>
  <si>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</si>
  <si>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</si>
  <si>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</si>
  <si>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</si>
  <si>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</si>
  <si>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</si>
  <si>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</si>
  <si>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</si>
  <si>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</si>
  <si>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</si>
  <si>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</si>
  <si>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</si>
  <si>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</si>
  <si>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</si>
  <si>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</si>
  <si>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</si>
  <si>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</si>
  <si>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</si>
  <si>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</si>
  <si>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</si>
  <si>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</si>
  <si>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</si>
  <si>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</si>
  <si>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</si>
  <si>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</si>
  <si>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</si>
  <si>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</si>
  <si>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</si>
  <si>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</si>
  <si>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</si>
  <si>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</si>
  <si>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</si>
  <si>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</si>
  <si>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</si>
  <si>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</si>
  <si>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</si>
  <si>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</si>
  <si>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</si>
  <si>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</si>
  <si>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</si>
  <si>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</si>
  <si>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</si>
  <si>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</si>
  <si>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</si>
  <si>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</si>
  <si>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</si>
  <si>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</si>
  <si>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</si>
  <si>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</si>
  <si>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</si>
  <si>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</si>
  <si>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</si>
  <si>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</si>
  <si>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</si>
  <si>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</si>
  <si>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</si>
  <si>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</si>
  <si>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</si>
  <si>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</si>
  <si>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</si>
  <si>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</si>
  <si>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</si>
  <si>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</si>
  <si>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</si>
  <si>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</si>
  <si>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</si>
  <si>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</si>
  <si>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</si>
  <si>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</si>
  <si>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</si>
  <si>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</si>
  <si>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</si>
  <si>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</si>
  <si>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</si>
  <si>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</si>
  <si>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</si>
  <si>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</si>
  <si>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</si>
  <si>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</si>
  <si>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</si>
  <si>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</si>
  <si>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</si>
  <si>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</si>
  <si>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</si>
  <si>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</si>
  <si>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</si>
  <si>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</si>
  <si>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</si>
  <si>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</si>
  <si>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</si>
  <si>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</si>
  <si>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</si>
  <si>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</si>
  <si>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</si>
  <si>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</si>
  <si>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</si>
  <si>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</si>
  <si>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</si>
  <si>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</si>
  <si>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</si>
  <si>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</si>
  <si>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</si>
  <si>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</si>
  <si>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</si>
  <si>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</si>
  <si>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</si>
  <si>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</si>
  <si>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</si>
  <si>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</si>
  <si>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</si>
  <si>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</si>
  <si>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</si>
  <si>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</si>
  <si>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</si>
  <si>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</si>
  <si>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</si>
  <si>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</si>
  <si>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</si>
  <si>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</si>
  <si>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</si>
  <si>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</si>
  <si>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</si>
  <si>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</si>
  <si>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</si>
  <si>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</si>
  <si>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</si>
  <si>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</si>
  <si>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</si>
  <si>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</si>
  <si>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</si>
  <si>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</si>
  <si>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</si>
  <si>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</si>
  <si>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</si>
  <si>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</si>
  <si>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</si>
  <si>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</si>
  <si>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</si>
  <si>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</si>
  <si>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</si>
  <si>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</si>
  <si>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</si>
  <si>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</si>
  <si>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</si>
  <si>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</si>
  <si>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</si>
  <si>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</si>
  <si>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</si>
  <si>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</si>
  <si>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</si>
  <si>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</si>
  <si>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</si>
  <si>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</si>
  <si>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</si>
  <si>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</si>
  <si>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</si>
  <si>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</si>
  <si>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</si>
  <si>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</si>
  <si>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</si>
  <si>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</si>
  <si>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</si>
  <si>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</si>
  <si>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</si>
  <si>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</si>
  <si>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</si>
  <si>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</si>
  <si>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</si>
  <si>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</si>
  <si>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</si>
  <si>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</si>
  <si>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</si>
  <si>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</si>
  <si>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</si>
  <si>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</si>
  <si>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</si>
  <si>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</si>
  <si>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</si>
  <si>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</si>
  <si>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</si>
  <si>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</si>
  <si>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</si>
  <si>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</si>
  <si>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</si>
  <si>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</si>
  <si>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</si>
  <si>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</si>
  <si>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</si>
  <si>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</si>
  <si>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</si>
  <si>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</si>
  <si>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</si>
  <si>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</si>
  <si>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</si>
  <si>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</si>
  <si>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</si>
  <si>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</si>
  <si>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</si>
  <si>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</si>
  <si>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</si>
  <si>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</si>
  <si>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</si>
  <si>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</si>
  <si>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</si>
  <si>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</si>
  <si>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</si>
  <si>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</si>
  <si>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</si>
  <si>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</si>
  <si>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</si>
  <si>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</si>
  <si>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</si>
  <si>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</si>
  <si>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</si>
  <si>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</si>
  <si>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</si>
  <si>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</si>
  <si>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</si>
  <si>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</si>
  <si>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</si>
  <si>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</si>
  <si>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</si>
  <si>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</si>
  <si>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</si>
  <si>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</si>
  <si>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</si>
  <si>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</si>
  <si>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</si>
  <si>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</si>
  <si>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</si>
  <si>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</si>
  <si>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</si>
  <si>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</si>
  <si>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</si>
  <si>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</si>
  <si>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</si>
  <si>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</si>
  <si>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</si>
  <si>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</si>
  <si>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</si>
  <si>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</si>
  <si>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</si>
  <si>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</si>
  <si>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</si>
  <si>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</si>
  <si>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</si>
  <si>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</si>
  <si>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</si>
  <si>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</si>
  <si>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</si>
  <si>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</si>
  <si>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</si>
  <si>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</si>
  <si>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</si>
  <si>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</si>
  <si>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</si>
  <si>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</si>
  <si>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</si>
  <si>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</si>
  <si>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</si>
  <si>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</si>
  <si>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</si>
  <si>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</si>
  <si>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</si>
  <si>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</si>
  <si>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</si>
  <si>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</si>
  <si>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</si>
  <si>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</si>
  <si>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</si>
  <si>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</si>
  <si>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</si>
  <si>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</si>
  <si>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</si>
  <si>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</si>
  <si>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</si>
  <si>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</si>
  <si>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</si>
  <si>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</si>
  <si>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</si>
  <si>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</si>
  <si>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</si>
  <si>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</si>
  <si>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</si>
  <si>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</si>
  <si>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</si>
  <si>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</si>
  <si>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</si>
  <si>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</si>
  <si>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</si>
  <si>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</si>
  <si>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</si>
  <si>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</si>
  <si>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</si>
  <si>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</si>
  <si>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</si>
  <si>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</si>
  <si>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</si>
  <si>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</si>
  <si>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</si>
  <si>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</si>
  <si>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</si>
  <si>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</si>
  <si>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</si>
  <si>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</si>
  <si>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</si>
  <si>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</si>
  <si>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</si>
  <si>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</si>
  <si>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</si>
  <si>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</si>
  <si>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</si>
  <si>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</si>
  <si>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</si>
  <si>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</si>
  <si>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</si>
  <si>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</si>
  <si>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</si>
  <si>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</si>
  <si>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</si>
  <si>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</si>
  <si>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</si>
  <si>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</si>
  <si>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</si>
  <si>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</si>
  <si>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</si>
  <si>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</si>
  <si>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</si>
  <si>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</si>
  <si>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</si>
  <si>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</si>
  <si>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</si>
  <si>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</si>
  <si>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</si>
  <si>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</si>
  <si>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</si>
  <si>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</si>
  <si>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</si>
  <si>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</si>
  <si>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</si>
  <si>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</si>
  <si>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</si>
  <si>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</si>
  <si>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</si>
  <si>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</si>
  <si>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</si>
  <si>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</si>
  <si>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</si>
  <si>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</si>
  <si>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</si>
  <si>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</si>
  <si>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</si>
  <si>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</si>
  <si>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</si>
  <si>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</si>
  <si>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</si>
  <si>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</si>
  <si>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</si>
  <si>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</si>
  <si>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</si>
  <si>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</si>
  <si>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</si>
  <si>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</si>
  <si>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</si>
  <si>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</si>
  <si>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</si>
  <si>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</si>
  <si>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</si>
  <si>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</si>
  <si>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</si>
  <si>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</si>
  <si>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</si>
  <si>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</si>
  <si>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</si>
  <si>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</si>
  <si>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</si>
  <si>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</si>
  <si>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</si>
  <si>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</si>
  <si>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</si>
  <si>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</si>
  <si>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</si>
  <si>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</si>
  <si>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</si>
  <si>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</si>
  <si>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</si>
  <si>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</si>
  <si>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</si>
  <si>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</si>
  <si>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</si>
  <si>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</si>
  <si>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</si>
  <si>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</si>
  <si>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</si>
  <si>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</si>
  <si>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</si>
  <si>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</si>
  <si>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</si>
  <si>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</si>
  <si>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</si>
  <si>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</si>
  <si>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</si>
  <si>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</si>
  <si>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</si>
  <si>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</si>
  <si>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</si>
  <si>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</si>
  <si>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</si>
  <si>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</si>
  <si>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</si>
  <si>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</si>
  <si>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</si>
  <si>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</si>
  <si>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</si>
  <si>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</si>
  <si>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</si>
  <si>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</si>
  <si>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</si>
  <si>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</si>
  <si>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</si>
  <si>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</si>
  <si>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</si>
  <si>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</si>
  <si>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</si>
  <si>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</si>
  <si>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</si>
  <si>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</si>
  <si>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</si>
  <si>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</si>
  <si>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</si>
  <si>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</si>
  <si>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</si>
  <si>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</si>
  <si>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</si>
  <si>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</si>
  <si>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</si>
  <si>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</si>
  <si>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</si>
  <si>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</si>
  <si>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</si>
  <si>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</si>
  <si>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</si>
  <si>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</si>
  <si>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</si>
  <si>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</si>
  <si>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</si>
  <si>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</si>
  <si>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</si>
  <si>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</si>
  <si>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</si>
  <si>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</si>
  <si>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</si>
  <si>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</si>
  <si>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</si>
  <si>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</si>
  <si>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</si>
  <si>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</si>
  <si>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</si>
  <si>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</si>
  <si>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</si>
  <si>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</si>
  <si>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</si>
  <si>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</si>
  <si>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</si>
  <si>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</si>
  <si>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</si>
  <si>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</si>
  <si>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</si>
  <si>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</si>
  <si>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</si>
  <si>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</si>
  <si>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</si>
  <si>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</si>
  <si>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</si>
  <si>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</si>
  <si>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</si>
  <si>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</si>
  <si>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</si>
  <si>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</si>
  <si>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</si>
  <si>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</si>
  <si>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</si>
  <si>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</si>
  <si>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</si>
  <si>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</si>
  <si>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</si>
  <si>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</si>
  <si>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</si>
  <si>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</si>
  <si>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</si>
  <si>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</si>
  <si>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</si>
  <si>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</si>
  <si>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</si>
  <si>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</si>
  <si>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</si>
  <si>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</si>
  <si>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</si>
  <si>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</si>
  <si>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</si>
  <si>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</si>
  <si>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</si>
  <si>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</si>
  <si>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</si>
  <si>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</si>
  <si>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</si>
  <si>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</si>
  <si>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</si>
  <si>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</si>
  <si>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</si>
  <si>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</si>
  <si>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</si>
  <si>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</si>
  <si>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</si>
  <si>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</si>
  <si>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</si>
  <si>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</si>
  <si>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</si>
  <si>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</si>
  <si>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</si>
  <si>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</si>
  <si>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</si>
  <si>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</si>
  <si>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</si>
  <si>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</si>
  <si>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</si>
  <si>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</si>
  <si>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</si>
  <si>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</si>
  <si>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</si>
  <si>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</si>
  <si>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</si>
  <si>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</si>
  <si>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</si>
  <si>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</si>
  <si>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</si>
  <si>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</si>
  <si>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</si>
  <si>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</si>
  <si>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</si>
  <si>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</si>
  <si>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</si>
  <si>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</si>
  <si>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</si>
  <si>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</si>
  <si>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</si>
  <si>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</si>
  <si>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</si>
  <si>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</si>
  <si>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</si>
  <si>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</si>
  <si>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</si>
  <si>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</si>
  <si>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</si>
  <si>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</si>
  <si>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</si>
  <si>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</si>
  <si>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</si>
  <si>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</si>
  <si>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</si>
  <si>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</si>
  <si>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</si>
  <si>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</si>
  <si>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</si>
  <si>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</si>
  <si>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</si>
  <si>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</si>
  <si>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</si>
  <si>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</si>
  <si>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</si>
  <si>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</si>
  <si>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</si>
  <si>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</si>
  <si>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</si>
  <si>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</si>
  <si>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</si>
  <si>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</si>
  <si>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</si>
  <si>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</si>
  <si>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</si>
  <si>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</si>
  <si>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</si>
  <si>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</si>
  <si>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</si>
  <si>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</si>
  <si>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</si>
  <si>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</si>
  <si>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</si>
  <si>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</si>
  <si>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</si>
  <si>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</si>
  <si>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</si>
  <si>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</si>
  <si>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</si>
  <si>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</si>
  <si>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</si>
  <si>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</si>
  <si>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</si>
  <si>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</si>
  <si>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</si>
  <si>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</si>
  <si>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</si>
  <si>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</si>
  <si>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</si>
  <si>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</si>
  <si>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</si>
  <si>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</si>
  <si>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</si>
  <si>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</si>
  <si>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</si>
  <si>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</si>
  <si>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</si>
  <si>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</si>
  <si>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</si>
  <si>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</si>
  <si>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</si>
  <si>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</si>
  <si>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</si>
  <si>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</si>
  <si>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</si>
  <si>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</si>
  <si>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</si>
  <si>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</si>
  <si>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</si>
  <si>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</si>
  <si>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</si>
  <si>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</si>
  <si>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</si>
  <si>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</si>
  <si>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</si>
  <si>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</si>
  <si>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</si>
  <si>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</si>
  <si>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</si>
  <si>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</si>
  <si>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</si>
  <si>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</si>
  <si>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</si>
  <si>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</si>
  <si>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</si>
  <si>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</si>
  <si>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</si>
  <si>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</si>
  <si>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</si>
  <si>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</si>
  <si>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</si>
  <si>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</si>
  <si>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</si>
  <si>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</si>
  <si>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</si>
  <si>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</si>
  <si>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</si>
  <si>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</si>
  <si>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</si>
  <si>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</si>
  <si>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</si>
  <si>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</si>
  <si>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</si>
  <si>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</si>
  <si>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</si>
  <si>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</si>
  <si>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</si>
  <si>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</si>
  <si>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</si>
  <si>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</si>
  <si>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</si>
  <si>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</si>
  <si>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</si>
  <si>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</si>
  <si>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</si>
  <si>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</si>
  <si>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</si>
  <si>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</si>
  <si>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</si>
  <si>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</si>
  <si>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</si>
  <si>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</si>
  <si>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</si>
  <si>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</si>
  <si>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</si>
  <si>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</si>
  <si>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</si>
  <si>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</si>
  <si>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</si>
  <si>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</si>
  <si>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</si>
  <si>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</si>
  <si>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</si>
  <si>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</si>
  <si>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</si>
  <si>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</si>
  <si>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</si>
  <si>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</si>
  <si>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</si>
  <si>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</si>
  <si>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</si>
  <si>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</si>
  <si>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</si>
  <si>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</si>
  <si>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</si>
  <si>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</si>
  <si>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</si>
  <si>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</si>
  <si>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</si>
  <si>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</si>
  <si>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</si>
  <si>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</si>
  <si>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</si>
  <si>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</si>
  <si>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</si>
  <si>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</si>
  <si>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</si>
  <si>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</si>
  <si>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</si>
  <si>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</si>
  <si>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</si>
  <si>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</si>
  <si>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</si>
  <si>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</si>
  <si>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</si>
  <si>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</si>
  <si>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</si>
  <si>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</si>
  <si>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</si>
  <si>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</si>
  <si>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</si>
  <si>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</si>
  <si>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</si>
  <si>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</si>
  <si>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</si>
  <si>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</si>
  <si>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</si>
  <si>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</si>
  <si>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</si>
  <si>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</si>
  <si>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</si>
  <si>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</si>
  <si>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</si>
  <si>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</si>
  <si>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</si>
  <si>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</si>
  <si>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</si>
  <si>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</si>
  <si>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</si>
  <si>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</si>
  <si>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</si>
  <si>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</si>
  <si>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</si>
  <si>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</si>
  <si>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</si>
  <si>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</si>
  <si>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</si>
  <si>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</si>
  <si>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</si>
  <si>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</si>
  <si>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</si>
  <si>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</si>
  <si>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</si>
  <si>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</si>
  <si>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</si>
  <si>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</si>
  <si>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</si>
  <si>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</si>
  <si>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</si>
  <si>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</si>
  <si>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</si>
  <si>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</si>
  <si>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</si>
  <si>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</si>
  <si>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</si>
  <si>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</si>
  <si>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</si>
  <si>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</si>
  <si>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</si>
  <si>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</si>
  <si>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</si>
  <si>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</si>
  <si>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</si>
  <si>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</si>
  <si>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</si>
  <si>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</si>
  <si>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</si>
  <si>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</si>
  <si>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</si>
  <si>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</si>
  <si>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</si>
  <si>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</si>
  <si>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</si>
  <si>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</si>
  <si>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</si>
  <si>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</si>
  <si>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</si>
  <si>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</si>
  <si>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</si>
  <si>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</si>
  <si>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</si>
  <si>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</si>
  <si>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</si>
  <si>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</si>
  <si>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</si>
  <si>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</si>
  <si>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</si>
  <si>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</si>
  <si>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</si>
  <si>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</si>
  <si>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</si>
  <si>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</si>
  <si>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</si>
  <si>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</si>
  <si>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</si>
  <si>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</si>
  <si>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</si>
  <si>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</si>
  <si>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</si>
  <si>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</si>
  <si>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</si>
  <si>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</si>
  <si>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</si>
  <si>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</si>
  <si>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</si>
  <si>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</si>
  <si>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</si>
  <si>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</si>
  <si>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</si>
  <si>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</si>
  <si>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</si>
  <si>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</si>
  <si>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</si>
  <si>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</si>
  <si>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</si>
  <si>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</si>
  <si>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</si>
  <si>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</si>
  <si>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</si>
  <si>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</si>
  <si>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</si>
  <si>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</si>
  <si>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</si>
  <si>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</si>
  <si>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</si>
  <si>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</si>
  <si>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</si>
  <si>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</si>
  <si>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</si>
  <si>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</si>
  <si>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</si>
  <si>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</si>
  <si>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</si>
  <si>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</si>
  <si>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</si>
  <si>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</si>
  <si>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</si>
  <si>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</si>
  <si>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</si>
  <si>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</si>
  <si>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</si>
  <si>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</si>
  <si>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</si>
  <si>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</si>
  <si>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</si>
  <si>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</si>
  <si>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</si>
  <si>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</si>
  <si>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</si>
  <si>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</si>
  <si>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</si>
  <si>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</si>
  <si>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</si>
  <si>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</si>
  <si>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</si>
  <si>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</si>
  <si>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</si>
  <si>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</si>
  <si>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</si>
  <si>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</si>
  <si>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</si>
  <si>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</si>
  <si>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</si>
  <si>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</si>
  <si>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</si>
  <si>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</si>
  <si>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</si>
  <si>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</si>
  <si>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</si>
  <si>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</si>
  <si>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</si>
  <si>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</si>
  <si>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</si>
  <si>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</si>
  <si>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</si>
  <si>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</si>
  <si>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</si>
  <si>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</si>
  <si>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</si>
  <si>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</si>
  <si>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</si>
  <si>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</si>
  <si>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</si>
  <si>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</si>
  <si>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</si>
  <si>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</si>
  <si>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</si>
  <si>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</si>
  <si>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</si>
  <si>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</si>
  <si>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</si>
  <si>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</si>
  <si>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</si>
  <si>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</si>
  <si>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</si>
  <si>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</si>
  <si>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</si>
  <si>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</si>
  <si>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</si>
  <si>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</si>
  <si>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</si>
  <si>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</si>
  <si>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</si>
  <si>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</si>
  <si>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</si>
  <si>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</si>
  <si>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</si>
  <si>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</si>
  <si>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</si>
  <si>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</si>
  <si>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</si>
  <si>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</si>
  <si>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</si>
  <si>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</si>
  <si>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</si>
  <si>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</si>
  <si>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</si>
  <si>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</si>
  <si>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</si>
  <si>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</si>
  <si>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</si>
  <si>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</si>
  <si>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</si>
  <si>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</si>
  <si>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</si>
  <si>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</si>
  <si>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</si>
  <si>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</si>
  <si>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</si>
  <si>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</si>
  <si>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</si>
  <si>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</si>
  <si>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</si>
  <si>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</si>
  <si>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</si>
  <si>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</si>
  <si>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</si>
  <si>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</si>
  <si>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</si>
  <si>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</si>
  <si>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</si>
  <si>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</si>
  <si>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</si>
  <si>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</si>
  <si>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</si>
  <si>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</si>
  <si>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</si>
  <si>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</si>
  <si>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</si>
  <si>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</si>
  <si>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</si>
  <si>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</si>
  <si>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</si>
  <si>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</si>
  <si>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</si>
  <si>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</si>
  <si>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</si>
  <si>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</si>
  <si>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</si>
  <si>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</si>
  <si>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</si>
  <si>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</si>
  <si>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</si>
  <si>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</si>
  <si>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</si>
  <si>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</si>
  <si>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</si>
  <si>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</si>
  <si>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</si>
  <si>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</si>
  <si>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</si>
  <si>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</si>
  <si>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</si>
  <si>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</si>
  <si>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</si>
  <si>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</si>
  <si>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</si>
  <si>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</si>
  <si>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</si>
  <si>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</si>
  <si>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</si>
  <si>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</si>
  <si>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</si>
  <si>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</si>
  <si>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</si>
  <si>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</si>
  <si>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</si>
  <si>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</si>
  <si>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</si>
  <si>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</si>
  <si>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</si>
  <si>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</si>
  <si>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</si>
  <si>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</si>
  <si>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</si>
  <si>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</si>
  <si>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</si>
  <si>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</si>
  <si>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</si>
  <si>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</si>
  <si>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</si>
  <si>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</si>
  <si>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</si>
  <si>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</si>
  <si>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</si>
  <si>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</si>
  <si>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</si>
  <si>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</si>
  <si>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</si>
  <si>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</si>
  <si>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</si>
  <si>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</si>
  <si>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</si>
  <si>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</si>
  <si>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</si>
  <si>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</si>
  <si>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</si>
  <si>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</si>
  <si>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</si>
  <si>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</si>
  <si>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</si>
  <si>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</si>
  <si>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</si>
  <si>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</si>
  <si>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</si>
  <si>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</si>
  <si>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</si>
  <si>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</si>
  <si>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</si>
  <si>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</si>
  <si>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</si>
  <si>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</si>
  <si>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</si>
  <si>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</si>
  <si>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</si>
  <si>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</si>
  <si>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</si>
  <si>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</si>
  <si>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</si>
  <si>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</si>
  <si>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</si>
  <si>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</si>
  <si>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</si>
  <si>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</si>
  <si>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</si>
  <si>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</si>
  <si>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</si>
  <si>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</si>
  <si>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</si>
  <si>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</si>
  <si>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</si>
  <si>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</si>
  <si>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</si>
  <si>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</si>
  <si>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</si>
  <si>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</si>
  <si>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</si>
  <si>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</si>
  <si>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</si>
  <si>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</si>
  <si>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</si>
  <si>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</si>
  <si>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</si>
  <si>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</si>
  <si>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</si>
  <si>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</si>
  <si>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</si>
  <si>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</si>
  <si>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</si>
  <si>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</si>
  <si>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</si>
  <si>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</si>
  <si>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</si>
  <si>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</si>
  <si>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</si>
  <si>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</si>
  <si>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</si>
  <si>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</si>
  <si>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</si>
  <si>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</si>
  <si>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</si>
  <si>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</si>
  <si>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</si>
  <si>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</si>
  <si>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</si>
  <si>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</si>
  <si>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</si>
  <si>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</si>
  <si>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</si>
  <si>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</si>
  <si>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</si>
  <si>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</si>
  <si>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</si>
  <si>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</si>
  <si>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</si>
  <si>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</si>
  <si>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</si>
  <si>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</si>
  <si>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</si>
  <si>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</si>
  <si>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</si>
  <si>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</si>
  <si>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</si>
  <si>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</si>
  <si>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</si>
  <si>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</si>
  <si>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</si>
  <si>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</si>
  <si>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</si>
  <si>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</si>
  <si>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</si>
  <si>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</si>
  <si>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</si>
  <si>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</si>
  <si>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</si>
  <si>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</si>
  <si>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</si>
  <si>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</si>
  <si>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</si>
  <si>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</si>
  <si>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</si>
  <si>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</si>
  <si>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</si>
  <si>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</si>
  <si>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</si>
  <si>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</si>
  <si>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</si>
  <si>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</si>
  <si>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</si>
  <si>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</si>
  <si>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</si>
  <si>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</si>
  <si>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</si>
  <si>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</si>
  <si>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</si>
  <si>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</si>
  <si>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</si>
  <si>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</si>
  <si>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</si>
  <si>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</si>
  <si>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</si>
  <si>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</si>
  <si>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</si>
  <si>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</si>
  <si>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</si>
  <si>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</si>
  <si>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</si>
  <si>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</si>
  <si>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</si>
  <si>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</si>
  <si>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</si>
  <si>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</si>
  <si>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</si>
  <si>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</si>
  <si>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</si>
  <si>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</si>
  <si>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</si>
  <si>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</si>
  <si>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</si>
  <si>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</si>
  <si>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</si>
  <si>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</si>
  <si>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</si>
  <si>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</si>
  <si>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</si>
  <si>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</si>
  <si>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</si>
  <si>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</si>
  <si>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</si>
  <si>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</si>
  <si>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</si>
  <si>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</si>
  <si>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</si>
  <si>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</si>
  <si>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</si>
  <si>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</si>
  <si>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</si>
  <si>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</si>
  <si>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</si>
  <si>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</si>
  <si>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</si>
  <si>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</si>
  <si>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</si>
  <si>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</si>
  <si>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</si>
  <si>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</si>
  <si>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</si>
  <si>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</si>
  <si>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</si>
  <si>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</si>
  <si>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</si>
  <si>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</si>
  <si>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</si>
  <si>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</si>
  <si>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</si>
  <si>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</si>
  <si>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</si>
  <si>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</si>
  <si>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</si>
  <si>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</si>
  <si>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</si>
  <si>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</si>
  <si>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</si>
  <si>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</si>
  <si>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</si>
  <si>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</si>
  <si>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</si>
  <si>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</si>
  <si>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</si>
  <si>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</si>
  <si>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</si>
  <si>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</si>
  <si>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</si>
  <si>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</si>
  <si>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</si>
  <si>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</si>
  <si>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</si>
  <si>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</si>
  <si>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</si>
  <si>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</si>
  <si>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</si>
  <si>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</si>
  <si>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</si>
  <si>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</si>
  <si>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</si>
  <si>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</si>
  <si>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</si>
  <si>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</si>
  <si>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</si>
  <si>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</si>
  <si>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</si>
  <si>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</si>
  <si>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</si>
  <si>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</si>
  <si>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</si>
  <si>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</si>
  <si>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</si>
  <si>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</si>
  <si>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</si>
  <si>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</si>
  <si>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</si>
  <si>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</si>
  <si>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</si>
  <si>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</si>
  <si>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</si>
  <si>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</si>
  <si>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</si>
  <si>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</si>
  <si>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</si>
  <si>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</si>
  <si>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</si>
  <si>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</si>
  <si>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</si>
  <si>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</si>
  <si>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</si>
  <si>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</si>
  <si>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</si>
  <si>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</si>
  <si>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</si>
  <si>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</si>
  <si>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</si>
  <si>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</si>
  <si>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</si>
  <si>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</si>
  <si>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</si>
  <si>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</si>
  <si>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</si>
  <si>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</si>
  <si>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</si>
  <si>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</si>
  <si>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</si>
  <si>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</si>
  <si>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</si>
  <si>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</si>
  <si>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</si>
  <si>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</si>
  <si>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</si>
  <si>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</si>
  <si>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</si>
  <si>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</si>
  <si>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</si>
  <si>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</si>
  <si>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</si>
  <si>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</si>
  <si>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</si>
  <si>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</si>
  <si>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</si>
  <si>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</si>
  <si>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</si>
  <si>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</si>
  <si>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</si>
  <si>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</si>
  <si>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</si>
  <si>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</si>
  <si>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</si>
  <si>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</si>
  <si>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</si>
  <si>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</si>
  <si>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</si>
  <si>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</si>
  <si>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</si>
  <si>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</si>
  <si>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</si>
  <si>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</si>
  <si>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</si>
  <si>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</si>
  <si>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</si>
  <si>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</si>
  <si>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</si>
  <si>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</si>
  <si>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</si>
  <si>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</si>
  <si>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</si>
  <si>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</si>
  <si>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</si>
  <si>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</si>
  <si>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</si>
  <si>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</si>
  <si>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</si>
  <si>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</si>
  <si>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</si>
  <si>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</si>
  <si>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</si>
  <si>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</si>
  <si>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</si>
  <si>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</si>
  <si>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</si>
  <si>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</si>
  <si>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</si>
  <si>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</si>
  <si>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</si>
  <si>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</si>
  <si>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</si>
  <si>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</si>
  <si>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</si>
  <si>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</si>
  <si>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</si>
  <si>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</si>
  <si>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</si>
  <si>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</si>
  <si>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</si>
  <si>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</si>
  <si>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</si>
  <si>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</si>
  <si>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</si>
  <si>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</si>
  <si>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</si>
  <si>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</si>
  <si>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</si>
  <si>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</si>
  <si>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</si>
  <si>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</si>
  <si>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</si>
  <si>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</si>
  <si>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</si>
  <si>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</si>
  <si>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</si>
  <si>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</si>
  <si>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</si>
  <si>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</si>
  <si>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</si>
  <si>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</si>
  <si>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</si>
  <si>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</si>
  <si>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</si>
  <si>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</si>
  <si>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</si>
  <si>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</si>
  <si>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</si>
  <si>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</si>
  <si>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</si>
  <si>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</si>
  <si>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</si>
  <si>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</si>
  <si>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</si>
  <si>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</si>
  <si>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</si>
  <si>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</si>
  <si>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</si>
  <si>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</si>
  <si>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</si>
  <si>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</si>
  <si>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</si>
  <si>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</si>
  <si>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</si>
  <si>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</si>
  <si>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</si>
  <si>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</si>
  <si>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</si>
  <si>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</si>
  <si>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</si>
  <si>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</si>
  <si>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</si>
  <si>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</si>
  <si>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</si>
  <si>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</si>
  <si>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</si>
  <si>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</si>
  <si>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</si>
  <si>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</si>
  <si>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</si>
  <si>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</si>
  <si>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</si>
  <si>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</si>
  <si>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</si>
  <si>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</si>
  <si>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</si>
  <si>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</si>
  <si>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</si>
  <si>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</si>
  <si>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</si>
  <si>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</si>
  <si>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</si>
  <si>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</si>
  <si>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</si>
  <si>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</si>
  <si>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</si>
  <si>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</si>
  <si>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</si>
  <si>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</si>
  <si>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</si>
  <si>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</si>
  <si>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</si>
  <si>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</si>
  <si>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</si>
  <si>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</si>
  <si>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</si>
  <si>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</si>
  <si>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</si>
  <si>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</si>
  <si>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</si>
  <si>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</si>
  <si>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</si>
  <si>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</si>
  <si>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</si>
  <si>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</si>
  <si>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</si>
  <si>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</si>
  <si>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</si>
  <si>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</si>
  <si>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</si>
  <si>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</si>
  <si>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</si>
  <si>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</si>
  <si>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</si>
  <si>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</si>
  <si>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</si>
  <si>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</si>
  <si>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</si>
  <si>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</si>
  <si>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</si>
  <si>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</si>
  <si>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</si>
  <si>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</si>
  <si>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</si>
  <si>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</si>
  <si>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</si>
  <si>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</si>
  <si>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</si>
  <si>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</si>
  <si>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</si>
  <si>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</si>
  <si>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</si>
  <si>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</si>
  <si>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</si>
  <si>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</si>
  <si>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</si>
  <si>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</si>
  <si>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</si>
  <si>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</si>
  <si>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</si>
  <si>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</si>
  <si>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</si>
  <si>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</si>
  <si>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</si>
  <si>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</si>
  <si>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</si>
  <si>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</si>
  <si>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</si>
  <si>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</si>
  <si>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</si>
  <si>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</si>
  <si>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</si>
  <si>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</si>
  <si>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</si>
  <si>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</si>
  <si>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</si>
  <si>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</si>
  <si>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</si>
  <si>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</si>
  <si>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</si>
  <si>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</si>
  <si>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</si>
  <si>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</si>
  <si>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</si>
  <si>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</si>
  <si>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</si>
  <si>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</si>
  <si>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</si>
  <si>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</si>
  <si>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</si>
  <si>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</si>
  <si>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</si>
  <si>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</si>
  <si>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</si>
  <si>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</si>
  <si>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</si>
  <si>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</si>
  <si>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</si>
  <si>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</si>
  <si>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</si>
  <si>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</si>
  <si>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</si>
  <si>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</si>
  <si>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</si>
  <si>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</si>
  <si>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</si>
  <si>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</si>
  <si>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</si>
  <si>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</si>
  <si>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</si>
  <si>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</si>
  <si>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</si>
  <si>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</si>
  <si>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</si>
  <si>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</si>
  <si>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</si>
  <si>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</si>
  <si>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</si>
  <si>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</si>
  <si>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</si>
  <si>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</si>
  <si>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</si>
  <si>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</si>
  <si>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</si>
  <si>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</si>
  <si>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</si>
  <si>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</si>
  <si>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</si>
  <si>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</si>
  <si>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</si>
  <si>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</si>
  <si>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</si>
  <si>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</si>
  <si>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</si>
  <si>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</si>
  <si>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</si>
  <si>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</si>
  <si>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</si>
  <si>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</si>
  <si>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</si>
  <si>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</si>
  <si>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</si>
  <si>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</si>
  <si>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</si>
  <si>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</si>
  <si>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</si>
  <si>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</si>
  <si>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</si>
  <si>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</si>
  <si>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</si>
  <si>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</si>
  <si>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</si>
  <si>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</si>
  <si>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</si>
  <si>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</si>
  <si>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</si>
  <si>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</si>
  <si>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</si>
  <si>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</si>
  <si>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</si>
  <si>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</si>
  <si>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</si>
  <si>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</si>
  <si>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</si>
  <si>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</si>
  <si>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</si>
  <si>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</si>
  <si>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</si>
  <si>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</si>
  <si>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</si>
  <si>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</si>
  <si>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</si>
  <si>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</si>
  <si>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</si>
  <si>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</si>
  <si>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</si>
  <si>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</si>
  <si>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</si>
  <si>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</si>
  <si>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</si>
  <si>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</si>
  <si>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</si>
  <si>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</si>
  <si>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</si>
  <si>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</si>
  <si>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</si>
  <si>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</si>
  <si>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</si>
  <si>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</si>
  <si>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</si>
  <si>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</si>
  <si>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</si>
  <si>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</si>
  <si>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</si>
  <si>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</si>
  <si>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</si>
  <si>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</si>
  <si>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</si>
  <si>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</si>
  <si>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</si>
  <si>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</si>
  <si>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</si>
  <si>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</si>
  <si>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</si>
  <si>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</si>
  <si>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</si>
  <si>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</si>
  <si>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</si>
  <si>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</si>
  <si>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</si>
  <si>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</si>
  <si>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</si>
  <si>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</si>
  <si>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</si>
  <si>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</si>
  <si>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</si>
  <si>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</si>
  <si>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</si>
  <si>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</si>
  <si>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</si>
  <si>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</si>
  <si>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</si>
  <si>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</si>
  <si>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</si>
  <si>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</si>
  <si>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</si>
  <si>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</si>
  <si>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</si>
  <si>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</si>
  <si>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</si>
  <si>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</si>
  <si>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</si>
  <si>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</si>
  <si>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</si>
  <si>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</si>
  <si>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</si>
  <si>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</si>
  <si>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</si>
  <si>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</si>
  <si>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</si>
  <si>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</si>
  <si>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</si>
  <si>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</si>
  <si>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</si>
  <si>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</si>
  <si>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</si>
  <si>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</si>
  <si>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</si>
  <si>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</si>
  <si>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</si>
  <si>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</si>
  <si>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</si>
  <si>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</si>
  <si>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</si>
  <si>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</si>
  <si>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</si>
  <si>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</si>
  <si>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</si>
  <si>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</si>
  <si>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</si>
  <si>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</si>
  <si>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</si>
  <si>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</si>
  <si>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</si>
  <si>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</si>
  <si>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</si>
  <si>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</si>
  <si>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</si>
  <si>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</si>
  <si>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</si>
  <si>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</si>
  <si>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</si>
  <si>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</si>
  <si>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</si>
  <si>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</si>
  <si>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</si>
  <si>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</si>
  <si>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</si>
  <si>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</si>
  <si>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</si>
  <si>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</si>
  <si>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</si>
  <si>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</si>
  <si>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</si>
  <si>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</si>
  <si>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</si>
  <si>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</si>
  <si>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</si>
  <si>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</si>
  <si>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</si>
  <si>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</si>
  <si>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</si>
  <si>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</si>
  <si>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</si>
  <si>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</si>
  <si>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</si>
  <si>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</si>
  <si>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</si>
  <si>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</si>
  <si>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</si>
  <si>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</si>
  <si>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</si>
  <si>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</si>
  <si>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</si>
  <si>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</si>
  <si>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</si>
  <si>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</si>
  <si>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</si>
  <si>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</si>
  <si>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</si>
  <si>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</si>
  <si>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</si>
  <si>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</si>
  <si>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</si>
  <si>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</si>
  <si>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</si>
  <si>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</si>
  <si>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</si>
  <si>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</si>
  <si>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</si>
  <si>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</si>
  <si>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</si>
  <si>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</si>
  <si>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</si>
  <si>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</si>
  <si>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</si>
  <si>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</si>
  <si>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</si>
  <si>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</si>
  <si>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</si>
  <si>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</si>
  <si>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</si>
  <si>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</si>
  <si>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</si>
  <si>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</si>
  <si>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</si>
  <si>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</si>
  <si>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</si>
  <si>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</si>
  <si>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</si>
  <si>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</si>
  <si>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</si>
  <si>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</si>
  <si>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</si>
  <si>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</si>
  <si>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</si>
  <si>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</si>
  <si>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</si>
  <si>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</si>
  <si>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</si>
  <si>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</si>
  <si>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</si>
  <si>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</si>
  <si>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</si>
  <si>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</si>
  <si>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</si>
  <si>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</si>
  <si>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</si>
  <si>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</si>
  <si>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</si>
  <si>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</si>
  <si>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</si>
  <si>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</si>
  <si>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</si>
  <si>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</si>
  <si>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</si>
  <si>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</si>
  <si>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</si>
  <si>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</si>
  <si>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</si>
  <si>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</si>
  <si>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</si>
  <si>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</si>
  <si>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</si>
  <si>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</si>
  <si>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</si>
  <si>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</si>
  <si>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</si>
  <si>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</si>
  <si>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</si>
  <si>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</si>
  <si>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</si>
  <si>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</si>
  <si>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</si>
  <si>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</si>
  <si>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</si>
  <si>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</si>
  <si>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</si>
  <si>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</si>
  <si>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</si>
  <si>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</si>
  <si>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</si>
  <si>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</si>
  <si>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</si>
  <si>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</si>
  <si>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</si>
  <si>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</si>
  <si>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</si>
  <si>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</si>
  <si>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</si>
  <si>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</si>
  <si>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</si>
  <si>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</si>
  <si>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</si>
  <si>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</si>
  <si>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</si>
  <si>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</si>
  <si>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</si>
  <si>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</si>
  <si>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</si>
  <si>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</si>
  <si>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</si>
  <si>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</si>
  <si>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</si>
  <si>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</si>
  <si>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</si>
  <si>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</si>
  <si>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</si>
  <si>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</si>
  <si>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</si>
  <si>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</si>
  <si>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</si>
  <si>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</si>
  <si>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</si>
  <si>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</si>
  <si>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</si>
  <si>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</si>
  <si>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</si>
  <si>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</si>
  <si>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</si>
  <si>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</si>
  <si>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</si>
  <si>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</si>
  <si>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</si>
  <si>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</si>
  <si>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</si>
  <si>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</si>
  <si>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</si>
  <si>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</si>
  <si>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</si>
  <si>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</si>
  <si>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</si>
  <si>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</si>
  <si>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</si>
  <si>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</si>
  <si>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</si>
  <si>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</si>
  <si>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</si>
  <si>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</si>
  <si>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</si>
  <si>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</si>
  <si>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</si>
  <si>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</si>
  <si>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</si>
  <si>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</si>
  <si>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</si>
  <si>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</si>
  <si>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</si>
  <si>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</si>
  <si>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</si>
  <si>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</si>
  <si>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</si>
  <si>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</si>
  <si>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</si>
  <si>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</si>
  <si>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</si>
  <si>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</si>
  <si>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</si>
  <si>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</si>
  <si>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</si>
  <si>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</si>
  <si>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</si>
  <si>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</si>
  <si>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</si>
  <si>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</si>
  <si>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</si>
  <si>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</si>
  <si>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</si>
  <si>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</si>
  <si>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</si>
  <si>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</si>
  <si>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</si>
  <si>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</si>
  <si>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</si>
  <si>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</si>
  <si>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</si>
  <si>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</si>
  <si>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</si>
  <si>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</si>
  <si>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</si>
  <si>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</si>
  <si>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</si>
  <si>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</si>
  <si>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</si>
  <si>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</si>
  <si>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</si>
  <si>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</si>
  <si>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</si>
  <si>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</si>
  <si>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</si>
  <si>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</si>
  <si>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</si>
  <si>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</si>
  <si>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</si>
  <si>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</si>
  <si>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</si>
  <si>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</si>
  <si>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</si>
  <si>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</si>
  <si>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</si>
  <si>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</si>
  <si>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</si>
  <si>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</si>
  <si>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</si>
  <si>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</si>
  <si>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</si>
  <si>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</si>
  <si>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</si>
  <si>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</si>
  <si>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</si>
  <si>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</si>
  <si>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</si>
  <si>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</si>
  <si>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</si>
  <si>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</si>
  <si>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</si>
  <si>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</si>
  <si>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</si>
  <si>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</si>
  <si>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</si>
  <si>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</si>
  <si>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</si>
  <si>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</si>
  <si>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</si>
  <si>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</si>
  <si>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</si>
  <si>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</si>
  <si>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</si>
  <si>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</si>
  <si>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</si>
  <si>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</si>
  <si>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</si>
  <si>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</si>
  <si>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</si>
  <si>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</si>
  <si>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</si>
  <si>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</si>
  <si>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</si>
  <si>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</si>
  <si>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</si>
  <si>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</si>
  <si>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</si>
  <si>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</si>
  <si>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</si>
  <si>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</si>
  <si>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</si>
  <si>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</si>
  <si>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</si>
  <si>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</si>
  <si>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</si>
  <si>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</si>
  <si>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</si>
  <si>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</si>
  <si>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</si>
  <si>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</si>
  <si>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</si>
  <si>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</si>
  <si>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</si>
  <si>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</si>
  <si>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</si>
  <si>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</si>
  <si>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</si>
  <si>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</si>
  <si>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</si>
  <si>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</si>
  <si>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</si>
  <si>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</si>
  <si>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</si>
  <si>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</si>
  <si>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</si>
  <si>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</si>
  <si>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</si>
  <si>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</si>
  <si>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</si>
  <si>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</si>
  <si>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</si>
  <si>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</si>
  <si>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</si>
  <si>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</si>
  <si>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</si>
  <si>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</si>
  <si>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</si>
  <si>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</si>
  <si>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</si>
  <si>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</si>
  <si>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</si>
  <si>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</si>
  <si>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</si>
  <si>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</si>
  <si>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</si>
  <si>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</si>
  <si>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</si>
  <si>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</si>
  <si>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</si>
  <si>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</si>
  <si>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</si>
  <si>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</si>
  <si>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</si>
  <si>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</si>
  <si>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</si>
  <si>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</si>
  <si>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</si>
  <si>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</si>
  <si>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</si>
  <si>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</si>
  <si>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</si>
  <si>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</si>
  <si>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</si>
  <si>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</si>
  <si>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</si>
  <si>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</si>
  <si>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</si>
  <si>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</si>
  <si>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</si>
  <si>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</si>
  <si>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</si>
  <si>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</si>
  <si>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</si>
  <si>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</si>
  <si>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</si>
  <si>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</si>
  <si>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</si>
  <si>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</si>
  <si>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</si>
  <si>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</si>
  <si>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</si>
  <si>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</si>
  <si>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</si>
  <si>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</si>
  <si>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</si>
  <si>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</si>
  <si>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</si>
  <si>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</si>
  <si>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</si>
  <si>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</si>
  <si>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</si>
  <si>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</si>
  <si>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</si>
  <si>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</si>
  <si>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</si>
  <si>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</si>
  <si>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</si>
  <si>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</si>
  <si>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</si>
  <si>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</si>
  <si>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</si>
  <si>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</si>
  <si>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</si>
  <si>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</si>
  <si>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</si>
  <si>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</si>
  <si>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</si>
  <si>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</si>
  <si>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</si>
  <si>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</si>
  <si>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</si>
  <si>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</si>
  <si>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</si>
  <si>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</si>
  <si>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</si>
  <si>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</si>
  <si>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</si>
  <si>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</si>
  <si>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</si>
  <si>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</si>
  <si>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</si>
  <si>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</si>
  <si>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</si>
  <si>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</si>
  <si>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</si>
  <si>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</si>
  <si>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</si>
  <si>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</si>
  <si>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</si>
  <si>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</si>
  <si>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</si>
  <si>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</si>
  <si>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</si>
  <si>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</si>
  <si>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</si>
  <si>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</si>
  <si>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</si>
  <si>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</si>
  <si>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</si>
  <si>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</si>
  <si>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</si>
  <si>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</si>
  <si>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</si>
  <si>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</si>
  <si>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</si>
  <si>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</si>
  <si>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</si>
  <si>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</si>
  <si>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</si>
  <si>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</si>
  <si>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</si>
  <si>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</si>
  <si>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</si>
  <si>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</si>
  <si>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</si>
  <si>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</si>
  <si>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</si>
  <si>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</si>
  <si>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</si>
  <si>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</si>
  <si>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</si>
  <si>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</si>
  <si>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</si>
  <si>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</si>
  <si>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</si>
  <si>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</si>
  <si>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</si>
  <si>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</si>
  <si>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</si>
  <si>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</si>
  <si>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</si>
  <si>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</si>
  <si>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</si>
  <si>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</si>
  <si>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</si>
  <si>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</si>
  <si>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</si>
  <si>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</si>
  <si>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</si>
  <si>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</si>
  <si>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</si>
  <si>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</si>
  <si>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</si>
  <si>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</si>
  <si>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</si>
  <si>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</si>
  <si>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</si>
  <si>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</si>
  <si>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</si>
  <si>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</si>
  <si>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</si>
  <si>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</si>
  <si>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</si>
  <si>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</si>
  <si>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</si>
  <si>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</si>
  <si>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</si>
  <si>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</si>
  <si>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</si>
  <si>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</si>
  <si>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</si>
  <si>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</si>
  <si>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</si>
  <si>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</si>
  <si>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</si>
  <si>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</si>
  <si>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</si>
  <si>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</si>
  <si>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</si>
  <si>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</si>
  <si>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</si>
  <si>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</si>
  <si>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</si>
  <si>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</si>
  <si>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</si>
  <si>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</si>
  <si>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</si>
  <si>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</si>
  <si>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</si>
  <si>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</si>
  <si>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</si>
  <si>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</si>
  <si>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</si>
  <si>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</si>
  <si>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</si>
  <si>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</si>
  <si>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</si>
  <si>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</si>
  <si>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</si>
  <si>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</si>
  <si>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</si>
  <si>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</si>
  <si>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</si>
  <si>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</si>
  <si>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</si>
  <si>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</si>
  <si>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</si>
  <si>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</si>
  <si>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</si>
  <si>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</si>
  <si>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</si>
  <si>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</si>
  <si>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</si>
  <si>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</si>
  <si>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</si>
  <si>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</si>
  <si>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</si>
  <si>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</si>
  <si>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</si>
  <si>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</si>
  <si>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</si>
  <si>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</si>
  <si>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</si>
  <si>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</si>
  <si>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</si>
  <si>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</si>
  <si>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</si>
  <si>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</si>
  <si>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</si>
  <si>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</si>
  <si>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</si>
  <si>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</si>
  <si>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</si>
  <si>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</si>
  <si>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</si>
  <si>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</si>
  <si>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</si>
  <si>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</si>
  <si>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</si>
  <si>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</si>
  <si>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</si>
  <si>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</si>
  <si>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</si>
  <si>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</si>
  <si>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</si>
  <si>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</si>
  <si>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</si>
  <si>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</si>
  <si>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</si>
  <si>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</si>
  <si>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</si>
  <si>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</si>
  <si>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</si>
  <si>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</si>
  <si>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</si>
  <si>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</si>
  <si>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</si>
  <si>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</si>
  <si>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</si>
  <si>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</si>
  <si>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</si>
  <si>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</si>
  <si>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</si>
  <si>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</si>
  <si>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</si>
  <si>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</si>
  <si>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</si>
  <si>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</si>
  <si>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</si>
  <si>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</si>
  <si>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</si>
  <si>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</si>
  <si>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</si>
  <si>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</si>
  <si>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</si>
  <si>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</si>
  <si>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</si>
  <si>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</si>
  <si>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</si>
  <si>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</si>
  <si>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</si>
  <si>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</si>
  <si>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</si>
  <si>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</si>
  <si>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</si>
  <si>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</si>
  <si>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</si>
  <si>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</si>
  <si>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</si>
  <si>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</si>
  <si>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</si>
  <si>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</si>
  <si>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</si>
  <si>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</si>
  <si>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</si>
  <si>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</si>
  <si>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</si>
  <si>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</si>
  <si>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</si>
  <si>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</si>
  <si>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</si>
  <si>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</si>
  <si>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</si>
  <si>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</si>
  <si>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</si>
  <si>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</si>
  <si>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</si>
  <si>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</si>
  <si>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</si>
  <si>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</si>
  <si>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</si>
  <si>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</si>
  <si>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</si>
  <si>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</si>
  <si>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</si>
  <si>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</si>
  <si>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</si>
  <si>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</si>
  <si>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</si>
  <si>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</si>
  <si>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</si>
  <si>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</si>
  <si>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</si>
  <si>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</si>
  <si>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</si>
  <si>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</si>
  <si>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</si>
  <si>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</si>
  <si>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</si>
  <si>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</si>
  <si>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</si>
  <si>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</si>
  <si>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</si>
  <si>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</si>
  <si>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</si>
  <si>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</si>
  <si>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</si>
  <si>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</si>
  <si>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</si>
  <si>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</si>
  <si>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</si>
  <si>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</si>
  <si>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</si>
  <si>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</si>
  <si>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</si>
  <si>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</si>
  <si>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</si>
  <si>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</si>
  <si>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</si>
  <si>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</si>
  <si>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</si>
  <si>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</si>
  <si>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</si>
  <si>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</si>
  <si>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</si>
  <si>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</si>
  <si>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</si>
  <si>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</si>
  <si>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</si>
  <si>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</si>
  <si>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</si>
  <si>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</si>
  <si>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</si>
  <si>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</si>
  <si>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</si>
  <si>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</si>
  <si>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</si>
  <si>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</si>
  <si>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</si>
  <si>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</si>
  <si>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</si>
  <si>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</si>
  <si>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</si>
  <si>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</si>
  <si>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</si>
  <si>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</si>
  <si>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</si>
  <si>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</si>
  <si>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</si>
  <si>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</si>
  <si>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</si>
  <si>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</si>
  <si>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</si>
  <si>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</si>
  <si>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</si>
  <si>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</si>
  <si>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</si>
  <si>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</si>
  <si>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</si>
  <si>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</si>
  <si>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</si>
  <si>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</si>
  <si>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</si>
  <si>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</si>
  <si>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</si>
  <si>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</si>
  <si>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</si>
  <si>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</si>
  <si>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</si>
  <si>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</si>
  <si>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</si>
  <si>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</si>
  <si>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</si>
  <si>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</si>
  <si>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</si>
  <si>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</si>
  <si>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</si>
  <si>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</si>
  <si>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</si>
  <si>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</si>
  <si>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</si>
  <si>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</si>
  <si>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</si>
  <si>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</si>
  <si>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</si>
  <si>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</si>
  <si>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</si>
  <si>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</si>
  <si>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</si>
  <si>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</si>
  <si>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</si>
  <si>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</si>
  <si>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</si>
  <si>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</si>
  <si>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</si>
  <si>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</si>
  <si>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</si>
  <si>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</si>
  <si>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</si>
  <si>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</si>
  <si>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</si>
  <si>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</si>
  <si>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</si>
  <si>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</si>
  <si>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</si>
  <si>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</si>
  <si>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</si>
  <si>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</si>
  <si>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</si>
  <si>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</si>
  <si>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</si>
  <si>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</si>
  <si>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</si>
  <si>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</si>
  <si>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</si>
  <si>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</si>
  <si>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</si>
  <si>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</si>
  <si>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</si>
  <si>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</si>
  <si>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</si>
  <si>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</si>
  <si>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</si>
  <si>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</si>
  <si>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</si>
  <si>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</si>
  <si>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</si>
  <si>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</si>
  <si>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</si>
  <si>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</si>
  <si>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</si>
  <si>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</si>
  <si>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</si>
  <si>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</si>
  <si>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</si>
  <si>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</si>
  <si>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</si>
  <si>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</si>
  <si>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</si>
  <si>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</si>
  <si>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</si>
  <si>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</si>
  <si>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</si>
  <si>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</si>
  <si>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</si>
  <si>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</si>
  <si>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</si>
  <si>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</si>
  <si>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</si>
  <si>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</si>
  <si>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</si>
  <si>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</si>
  <si>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</si>
  <si>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</si>
  <si>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</si>
  <si>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</si>
  <si>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</si>
  <si>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</si>
  <si>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</si>
  <si>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</si>
  <si>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</si>
  <si>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</si>
  <si>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</si>
  <si>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</si>
  <si>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</si>
  <si>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</si>
  <si>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</si>
  <si>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</si>
  <si>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</si>
  <si>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</si>
  <si>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</si>
  <si>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</si>
  <si>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</si>
  <si>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</si>
  <si>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</si>
  <si>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</si>
  <si>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</si>
  <si>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</si>
  <si>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</si>
  <si>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</si>
  <si>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</si>
  <si>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</si>
  <si>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</si>
  <si>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</si>
  <si>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</si>
  <si>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</si>
  <si>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</si>
  <si>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</si>
  <si>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</si>
  <si>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</si>
  <si>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</si>
  <si>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</si>
  <si>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</si>
  <si>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</si>
  <si>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</si>
  <si>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</si>
  <si>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</si>
  <si>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</si>
  <si>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</si>
  <si>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</si>
  <si>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</si>
  <si>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</si>
  <si>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</si>
  <si>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</si>
  <si>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</si>
  <si>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</si>
  <si>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</si>
  <si>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</si>
  <si>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</si>
  <si>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</si>
  <si>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</si>
  <si>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</si>
  <si>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</si>
  <si>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</si>
  <si>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</si>
  <si>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</si>
  <si>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</si>
  <si>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</si>
  <si>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</si>
  <si>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</si>
  <si>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</si>
  <si>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</si>
  <si>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</si>
  <si>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</si>
  <si>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</si>
  <si>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</si>
  <si>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</si>
  <si>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</si>
  <si>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</si>
  <si>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</si>
  <si>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</si>
  <si>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</si>
  <si>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</si>
  <si>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</si>
  <si>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</si>
  <si>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</si>
  <si>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</si>
  <si>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</si>
  <si>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</si>
  <si>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</si>
  <si>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</si>
  <si>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</si>
  <si>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</si>
  <si>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</si>
  <si>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</si>
  <si>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</si>
  <si>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</si>
  <si>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</si>
  <si>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</si>
  <si>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</si>
  <si>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</si>
  <si>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</si>
  <si>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</si>
  <si>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</si>
  <si>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</si>
  <si>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</si>
  <si>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</si>
  <si>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</si>
  <si>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</si>
  <si>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</si>
  <si>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</si>
  <si>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</si>
  <si>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</si>
  <si>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</si>
  <si>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</si>
  <si>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</si>
  <si>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</si>
  <si>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</si>
  <si>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</si>
  <si>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</si>
  <si>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</si>
  <si>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</si>
  <si>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</si>
  <si>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</si>
  <si>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</si>
  <si>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</si>
  <si>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</si>
  <si>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</si>
  <si>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</si>
  <si>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</si>
  <si>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</si>
  <si>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</si>
  <si>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</si>
  <si>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</si>
  <si>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</si>
  <si>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</si>
  <si>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</si>
  <si>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</si>
  <si>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</si>
  <si>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</si>
  <si>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</si>
  <si>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</si>
  <si>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</si>
  <si>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</si>
  <si>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</si>
  <si>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</si>
  <si>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</si>
  <si>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</si>
  <si>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</si>
  <si>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</si>
  <si>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</si>
  <si>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</si>
  <si>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</si>
  <si>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</si>
  <si>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</si>
  <si>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</si>
  <si>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</si>
  <si>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</si>
  <si>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</si>
  <si>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</si>
  <si>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</si>
  <si>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</si>
  <si>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</si>
  <si>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</si>
  <si>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</si>
  <si>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</si>
  <si>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</si>
  <si>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</si>
  <si>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</si>
  <si>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</si>
  <si>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</si>
  <si>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</si>
  <si>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</si>
  <si>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</si>
  <si>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</si>
  <si>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</si>
  <si>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</si>
  <si>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</si>
  <si>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</si>
  <si>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</si>
  <si>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</si>
  <si>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</si>
  <si>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</si>
  <si>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</si>
  <si>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</si>
  <si>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</si>
  <si>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</si>
  <si>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</si>
  <si>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</si>
  <si>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</si>
  <si>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</si>
  <si>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</si>
  <si>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</si>
  <si>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</si>
  <si>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</si>
  <si>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</si>
  <si>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</si>
  <si>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</si>
  <si>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</si>
  <si>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</si>
  <si>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</si>
  <si>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</si>
  <si>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</si>
  <si>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</si>
  <si>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</si>
  <si>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</si>
  <si>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</si>
  <si>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</si>
  <si>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</si>
  <si>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</si>
  <si>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</si>
  <si>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</si>
  <si>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</si>
  <si>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</si>
  <si>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</si>
  <si>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</si>
  <si>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</si>
  <si>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</si>
  <si>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</si>
  <si>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</si>
  <si>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</si>
  <si>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</si>
  <si>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</si>
  <si>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</si>
  <si>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</si>
  <si>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</si>
  <si>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</si>
  <si>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</si>
  <si>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</si>
  <si>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</si>
  <si>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</si>
  <si>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</si>
  <si>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</si>
  <si>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</si>
  <si>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</si>
  <si>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</si>
  <si>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</si>
  <si>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</si>
  <si>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</si>
  <si>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</si>
  <si>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</si>
  <si>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</si>
  <si>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</si>
  <si>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</si>
  <si>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</si>
  <si>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</si>
  <si>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</si>
  <si>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</si>
  <si>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</si>
  <si>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</si>
  <si>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</si>
  <si>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</si>
  <si>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</si>
  <si>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</si>
  <si>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</si>
  <si>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</si>
  <si>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</si>
  <si>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</si>
  <si>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</si>
  <si>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</si>
  <si>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</si>
  <si>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</si>
  <si>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</si>
  <si>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</si>
  <si>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</si>
  <si>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</si>
  <si>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</si>
  <si>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</si>
  <si>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</si>
  <si>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</si>
  <si>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</si>
  <si>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</si>
  <si>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</si>
  <si>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</si>
  <si>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</si>
  <si>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</si>
  <si>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</si>
  <si>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</si>
  <si>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</si>
  <si>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</si>
  <si>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</si>
  <si>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</si>
  <si>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</si>
  <si>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</si>
  <si>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</si>
  <si>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</si>
  <si>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</si>
  <si>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</si>
  <si>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</si>
  <si>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</si>
  <si>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</si>
  <si>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</si>
  <si>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</si>
  <si>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</si>
  <si>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</si>
  <si>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</si>
  <si>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</si>
  <si>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</si>
  <si>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</si>
  <si>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</si>
  <si>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</si>
  <si>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</si>
  <si>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</si>
  <si>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</si>
  <si>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</si>
  <si>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</si>
  <si>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</si>
  <si>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</si>
  <si>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</si>
  <si>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</si>
  <si>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</si>
  <si>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</si>
  <si>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</si>
  <si>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</si>
  <si>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</si>
  <si>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</si>
  <si>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</si>
  <si>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</si>
  <si>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</si>
  <si>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</si>
  <si>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</si>
  <si>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</si>
  <si>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</si>
  <si>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</si>
  <si>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</si>
  <si>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</si>
  <si>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</si>
  <si>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</si>
  <si>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</si>
  <si>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</si>
  <si>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</si>
  <si>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</si>
  <si>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</si>
  <si>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</si>
  <si>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</si>
  <si>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</si>
  <si>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</si>
  <si>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</si>
  <si>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</si>
  <si>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</si>
  <si>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</si>
  <si>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</si>
  <si>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</si>
  <si>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</si>
  <si>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</si>
  <si>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</si>
  <si>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</si>
  <si>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</si>
  <si>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</si>
  <si>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</si>
  <si>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</si>
  <si>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</si>
  <si>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</si>
  <si>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</si>
  <si>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</si>
  <si>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</si>
  <si>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</si>
  <si>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</si>
  <si>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</si>
  <si>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</si>
  <si>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</si>
  <si>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</si>
  <si>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</si>
  <si>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</si>
  <si>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</si>
  <si>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</si>
  <si>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</si>
  <si>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</si>
  <si>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</si>
  <si>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</si>
  <si>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</si>
  <si>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</si>
  <si>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</si>
  <si>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</si>
  <si>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</si>
  <si>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</si>
  <si>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</si>
  <si>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</si>
  <si>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</si>
  <si>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</si>
  <si>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</si>
  <si>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</si>
  <si>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</si>
  <si>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</si>
  <si>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</si>
  <si>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</si>
  <si>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</si>
  <si>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</si>
  <si>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</si>
  <si>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</si>
  <si>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</si>
  <si>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</si>
  <si>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</si>
  <si>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</si>
  <si>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</si>
  <si>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</si>
  <si>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</si>
  <si>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</si>
  <si>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</si>
  <si>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</si>
  <si>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</si>
  <si>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</si>
  <si>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</si>
  <si>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</si>
  <si>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</si>
  <si>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</si>
  <si>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</si>
  <si>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</si>
  <si>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</si>
  <si>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</si>
  <si>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</si>
  <si>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</si>
  <si>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</si>
  <si>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</si>
  <si>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</si>
  <si>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</si>
  <si>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</si>
  <si>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</si>
  <si>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</si>
  <si>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</si>
  <si>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</si>
  <si>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</si>
  <si>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</si>
  <si>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</si>
  <si>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</si>
  <si>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</si>
  <si>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</si>
  <si>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</si>
  <si>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</si>
  <si>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</si>
  <si>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</si>
  <si>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</si>
  <si>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</si>
  <si>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</si>
  <si>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</si>
  <si>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</si>
  <si>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</si>
  <si>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</si>
  <si>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</si>
  <si>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</si>
  <si>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</si>
  <si>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</si>
  <si>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</si>
  <si>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</si>
  <si>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</si>
  <si>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</si>
  <si>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</si>
  <si>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</si>
  <si>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</si>
  <si>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</si>
  <si>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</si>
  <si>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</si>
  <si>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</si>
  <si>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</si>
  <si>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</si>
  <si>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</si>
  <si>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</si>
  <si>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</si>
  <si>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</si>
  <si>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</si>
  <si>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</si>
  <si>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</si>
  <si>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</si>
  <si>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</si>
  <si>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</si>
  <si>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</si>
  <si>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</si>
  <si>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</si>
  <si>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</si>
  <si>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</si>
  <si>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</si>
  <si>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</si>
  <si>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</si>
  <si>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</si>
  <si>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</si>
  <si>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</si>
  <si>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</si>
  <si>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</si>
  <si>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</si>
  <si>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</si>
  <si>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</si>
  <si>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</si>
  <si>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</si>
  <si>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</si>
  <si>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</si>
  <si>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</si>
  <si>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</si>
  <si>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</si>
  <si>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</si>
  <si>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</si>
  <si>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</si>
  <si>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</si>
  <si>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</si>
  <si>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</si>
  <si>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</si>
  <si>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</si>
  <si>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</si>
  <si>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</si>
  <si>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</si>
  <si>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</si>
  <si>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</si>
  <si>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</si>
  <si>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</si>
  <si>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</si>
  <si>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</si>
  <si>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</si>
  <si>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</si>
  <si>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</si>
  <si>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</si>
  <si>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</si>
  <si>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</si>
  <si>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</si>
  <si>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</si>
  <si>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</si>
  <si>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</si>
  <si>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</si>
  <si>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</si>
  <si>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</si>
  <si>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</si>
  <si>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</si>
  <si>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</si>
  <si>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</si>
  <si>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</si>
  <si>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</si>
  <si>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</si>
  <si>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</si>
  <si>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</si>
  <si>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</si>
  <si>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</si>
  <si>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</si>
  <si>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</si>
  <si>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</si>
  <si>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</si>
  <si>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</si>
  <si>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</si>
  <si>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</si>
  <si>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</si>
  <si>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</si>
  <si>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</si>
  <si>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</si>
  <si>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</si>
  <si>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</si>
  <si>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</si>
  <si>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</si>
  <si>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</si>
  <si>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</si>
  <si>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</si>
  <si>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</si>
  <si>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</si>
  <si>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</si>
  <si>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</si>
  <si>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</si>
  <si>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</si>
  <si>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</si>
  <si>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</si>
  <si>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</si>
  <si>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</si>
  <si>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</si>
  <si>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</si>
  <si>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</si>
  <si>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</si>
  <si>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</si>
  <si>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</si>
  <si>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</si>
  <si>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</si>
  <si>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</si>
  <si>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</si>
  <si>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</si>
  <si>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</si>
  <si>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</si>
  <si>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</si>
  <si>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</si>
  <si>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</si>
  <si>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</si>
  <si>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</si>
  <si>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</si>
  <si>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</si>
  <si>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</si>
  <si>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</si>
  <si>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</si>
  <si>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</si>
  <si>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</si>
  <si>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</si>
  <si>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</si>
  <si>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</si>
  <si>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</si>
  <si>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</si>
  <si>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</si>
  <si>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</si>
  <si>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</si>
  <si>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</si>
  <si>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</si>
  <si>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</si>
  <si>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</si>
  <si>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</si>
  <si>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</si>
  <si>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</si>
  <si>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</si>
  <si>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</si>
  <si>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</si>
  <si>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</si>
  <si>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</si>
  <si>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</si>
  <si>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</si>
  <si>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</si>
  <si>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</si>
  <si>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</si>
  <si>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</si>
  <si>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</si>
  <si>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</si>
  <si>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</si>
  <si>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</si>
  <si>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</si>
  <si>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</si>
  <si>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</si>
  <si>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</si>
  <si>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</si>
  <si>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</si>
  <si>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</si>
  <si>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</si>
  <si>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</si>
  <si>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</si>
  <si>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</si>
  <si>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</si>
  <si>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</si>
  <si>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</si>
  <si>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</si>
  <si>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</si>
  <si>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</si>
  <si>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</si>
  <si>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</si>
  <si>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</si>
  <si>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</si>
  <si>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</si>
  <si>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</si>
  <si>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</si>
  <si>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</si>
  <si>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</si>
  <si>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</si>
  <si>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</si>
  <si>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</si>
  <si>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</si>
  <si>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</si>
  <si>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</si>
  <si>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</si>
  <si>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</si>
  <si>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</si>
  <si>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</si>
  <si>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</si>
  <si>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</si>
  <si>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</si>
  <si>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</si>
  <si>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</si>
  <si>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</si>
  <si>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</si>
  <si>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</si>
  <si>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</si>
  <si>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</si>
  <si>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</si>
  <si>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</si>
  <si>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</si>
  <si>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</si>
  <si>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</si>
  <si>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</si>
  <si>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</si>
  <si>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</si>
  <si>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</si>
  <si>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</si>
  <si>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</si>
  <si>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</si>
  <si>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</si>
  <si>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</si>
  <si>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</si>
  <si>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</si>
  <si>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</si>
  <si>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</si>
  <si>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</si>
  <si>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</si>
  <si>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</si>
  <si>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</si>
  <si>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</si>
  <si>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</si>
  <si>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</si>
  <si>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</si>
  <si>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</si>
  <si>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</si>
  <si>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</si>
  <si>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</si>
  <si>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</si>
  <si>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</si>
  <si>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</si>
  <si>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</si>
  <si>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</si>
  <si>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</si>
  <si>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</si>
  <si>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</si>
  <si>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</si>
  <si>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</si>
  <si>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</si>
  <si>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</si>
  <si>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</si>
  <si>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</si>
  <si>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</si>
  <si>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</si>
  <si>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</si>
  <si>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</si>
  <si>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</si>
  <si>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</si>
  <si>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</si>
  <si>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</si>
  <si>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</si>
  <si>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</si>
  <si>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</si>
  <si>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</si>
  <si>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</si>
  <si>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</si>
  <si>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</si>
  <si>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</si>
  <si>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</si>
  <si>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</si>
  <si>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</si>
  <si>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</si>
  <si>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</si>
  <si>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</si>
  <si>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</si>
  <si>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</si>
  <si>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</si>
  <si>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</si>
  <si>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</si>
  <si>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</si>
  <si>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</si>
  <si>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</si>
  <si>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</si>
  <si>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</si>
  <si>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</si>
  <si>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</si>
  <si>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</si>
  <si>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</si>
  <si>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</si>
  <si>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</si>
  <si>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</si>
  <si>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</si>
  <si>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</si>
  <si>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</si>
  <si>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</si>
  <si>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</si>
  <si>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</si>
  <si>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</si>
  <si>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</si>
  <si>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</si>
  <si>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</si>
  <si>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</si>
  <si>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</si>
  <si>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</si>
  <si>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</si>
  <si>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</si>
  <si>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</si>
  <si>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</si>
  <si>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</si>
  <si>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</si>
  <si>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</si>
  <si>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</si>
  <si>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</si>
  <si>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</si>
  <si>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</si>
  <si>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</si>
  <si>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</si>
  <si>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</si>
  <si>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</si>
  <si>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</si>
  <si>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</si>
  <si>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</si>
  <si>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</si>
  <si>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</si>
  <si>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</si>
  <si>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</si>
  <si>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</si>
  <si>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</si>
  <si>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</si>
  <si>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</si>
  <si>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</si>
  <si>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</si>
  <si>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</si>
  <si>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</si>
  <si>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</si>
  <si>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</si>
  <si>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</si>
  <si>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</si>
  <si>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</si>
  <si>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</si>
  <si>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</si>
  <si>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</si>
  <si>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</si>
  <si>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</si>
  <si>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</si>
  <si>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</si>
  <si>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</si>
  <si>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</si>
  <si>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</si>
  <si>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</si>
  <si>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</si>
  <si>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</si>
  <si>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</si>
  <si>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</si>
  <si>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</si>
  <si>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</si>
  <si>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</si>
  <si>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</si>
  <si>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</si>
  <si>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</si>
  <si>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</si>
  <si>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</si>
  <si>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</si>
  <si>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</si>
  <si>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</si>
  <si>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</si>
  <si>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</si>
  <si>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</si>
  <si>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</si>
  <si>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</si>
  <si>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</si>
  <si>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</si>
  <si>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</si>
  <si>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</si>
  <si>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</si>
  <si>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</si>
  <si>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</si>
  <si>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</si>
  <si>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</si>
  <si>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</si>
  <si>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</si>
  <si>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</si>
  <si>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</si>
  <si>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</si>
  <si>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</si>
  <si>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</si>
  <si>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</si>
  <si>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</si>
  <si>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</si>
  <si>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</si>
  <si>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</si>
  <si>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</si>
  <si>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</si>
  <si>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</si>
  <si>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</si>
  <si>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</si>
  <si>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</si>
  <si>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</si>
  <si>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</si>
  <si>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</si>
  <si>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</si>
  <si>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</si>
  <si>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</si>
  <si>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</si>
  <si>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</si>
  <si>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</si>
  <si>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</si>
  <si>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</si>
  <si>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</si>
  <si>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</si>
  <si>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</si>
  <si>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</si>
  <si>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</si>
  <si>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</si>
  <si>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</si>
  <si>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</si>
  <si>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</si>
  <si>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</si>
  <si>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</si>
  <si>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</si>
  <si>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</si>
  <si>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</si>
  <si>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</si>
  <si>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</si>
  <si>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</si>
  <si>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</si>
  <si>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</si>
  <si>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</si>
  <si>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</si>
  <si>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</si>
  <si>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</si>
  <si>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</si>
  <si>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</si>
  <si>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</si>
  <si>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</si>
  <si>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</si>
  <si>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</si>
  <si>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</si>
  <si>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</si>
  <si>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</si>
  <si>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</si>
  <si>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</si>
  <si>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</si>
  <si>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</si>
  <si>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</si>
  <si>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</si>
  <si>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</si>
  <si>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</si>
  <si>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</si>
  <si>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</si>
  <si>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</si>
  <si>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</si>
  <si>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</si>
  <si>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</si>
  <si>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</si>
  <si>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</si>
  <si>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</si>
  <si>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</si>
  <si>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</si>
  <si>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</si>
  <si>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</si>
  <si>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</si>
  <si>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</si>
  <si>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</si>
  <si>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</si>
  <si>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</si>
  <si>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</si>
  <si>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</si>
  <si>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</si>
  <si>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</si>
  <si>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</si>
  <si>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</si>
  <si>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</si>
  <si>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</si>
  <si>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</si>
  <si>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</si>
  <si>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</si>
  <si>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</si>
  <si>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</si>
  <si>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</si>
  <si>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</si>
  <si>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</si>
  <si>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</si>
  <si>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</si>
  <si>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</si>
  <si>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</si>
  <si>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</si>
  <si>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</si>
  <si>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</si>
  <si>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</si>
  <si>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</si>
  <si>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</si>
  <si>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</si>
  <si>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</si>
  <si>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</si>
  <si>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</si>
  <si>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</si>
  <si>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</si>
  <si>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</si>
  <si>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</si>
  <si>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</si>
  <si>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</si>
  <si>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</si>
  <si>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</si>
  <si>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</si>
  <si>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</si>
  <si>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</si>
  <si>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</si>
  <si>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</si>
  <si>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</si>
  <si>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</si>
  <si>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</si>
  <si>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</si>
  <si>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</si>
  <si>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</si>
  <si>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</si>
  <si>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</si>
  <si>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</si>
  <si>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</si>
  <si>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</si>
  <si>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</si>
  <si>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</si>
  <si>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</si>
  <si>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</si>
  <si>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</si>
  <si>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</si>
  <si>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</si>
  <si>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</si>
  <si>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</si>
  <si>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</si>
  <si>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</si>
  <si>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</si>
  <si>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</si>
  <si>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</si>
  <si>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</si>
  <si>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</si>
  <si>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</si>
  <si>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</si>
  <si>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</si>
  <si>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</si>
  <si>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</si>
  <si>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</si>
  <si>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</si>
  <si>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</si>
  <si>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</si>
  <si>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</si>
  <si>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</si>
  <si>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</si>
  <si>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</si>
  <si>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</si>
  <si>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</si>
  <si>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</si>
  <si>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</si>
  <si>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</si>
  <si>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</si>
  <si>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</si>
  <si>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</si>
  <si>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</si>
  <si>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</si>
  <si>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</si>
  <si>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</si>
  <si>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</si>
  <si>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</si>
  <si>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</si>
  <si>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</si>
  <si>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</si>
  <si>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</si>
  <si>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</si>
  <si>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</si>
  <si>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</si>
  <si>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</si>
  <si>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</si>
  <si>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</si>
  <si>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</si>
  <si>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</si>
  <si>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</si>
  <si>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</si>
  <si>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</si>
  <si>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</si>
  <si>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</si>
  <si>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</si>
  <si>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</si>
  <si>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</si>
  <si>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</si>
  <si>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</si>
  <si>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</si>
  <si>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</si>
  <si>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</si>
  <si>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</si>
  <si>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</si>
  <si>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</si>
  <si>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</si>
  <si>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</si>
  <si>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</si>
  <si>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</si>
  <si>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</si>
  <si>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</si>
  <si>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</si>
  <si>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</si>
  <si>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</si>
  <si>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</si>
  <si>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</si>
  <si>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</si>
  <si>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</si>
  <si>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</si>
  <si>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</si>
  <si>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</si>
  <si>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</si>
  <si>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</si>
  <si>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</si>
  <si>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</si>
  <si>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</si>
  <si>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</si>
  <si>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</si>
  <si>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</si>
  <si>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</si>
  <si>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</si>
  <si>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</si>
  <si>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</si>
  <si>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</si>
  <si>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</si>
  <si>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</si>
  <si>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</si>
  <si>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</si>
  <si>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</si>
  <si>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</si>
  <si>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</si>
  <si>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</si>
  <si>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</si>
  <si>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</si>
  <si>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</si>
  <si>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</si>
  <si>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</si>
  <si>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</si>
  <si>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</si>
  <si>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</si>
  <si>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</si>
  <si>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</si>
  <si>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</si>
  <si>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</si>
  <si>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</si>
  <si>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</si>
  <si>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</si>
  <si>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</si>
  <si>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</si>
  <si>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</si>
  <si>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</si>
  <si>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</si>
  <si>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</si>
  <si>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</si>
  <si>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</si>
  <si>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</si>
  <si>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</si>
  <si>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</si>
  <si>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</si>
  <si>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</si>
  <si>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</si>
  <si>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</si>
  <si>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</si>
  <si>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</si>
  <si>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</si>
  <si>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</si>
  <si>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</si>
  <si>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</si>
  <si>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</si>
  <si>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</si>
  <si>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</si>
  <si>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</si>
  <si>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</si>
  <si>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</si>
  <si>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</si>
  <si>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</si>
  <si>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</si>
  <si>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</si>
  <si>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</si>
  <si>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</si>
  <si>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</si>
  <si>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</si>
  <si>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</si>
  <si>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</si>
  <si>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</si>
  <si>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</si>
  <si>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</si>
  <si>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</si>
  <si>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</si>
  <si>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</si>
  <si>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</si>
  <si>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</si>
  <si>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</si>
  <si>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</si>
  <si>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</si>
  <si>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</si>
  <si>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</si>
  <si>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</si>
  <si>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</si>
  <si>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</si>
  <si>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</si>
  <si>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</si>
  <si>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</si>
  <si>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</si>
  <si>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</si>
  <si>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</si>
  <si>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</si>
  <si>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</si>
  <si>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</si>
  <si>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</si>
  <si>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</si>
  <si>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</si>
  <si>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</si>
  <si>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</si>
  <si>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</si>
  <si>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</si>
  <si>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</si>
  <si>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</si>
  <si>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</si>
  <si>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</si>
  <si>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</si>
  <si>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</si>
  <si>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</si>
  <si>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</si>
  <si>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</si>
  <si>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</si>
  <si>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</si>
  <si>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</si>
  <si>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</si>
  <si>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</si>
  <si>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</si>
  <si>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</si>
  <si>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</si>
  <si>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</si>
  <si>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</si>
  <si>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</si>
  <si>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</si>
  <si>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</si>
  <si>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</si>
  <si>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</si>
  <si>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</si>
  <si>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</si>
  <si>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</si>
  <si>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</si>
  <si>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</si>
  <si>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</si>
  <si>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</si>
  <si>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</si>
  <si>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</si>
  <si>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</si>
  <si>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</si>
  <si>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</si>
  <si>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</si>
  <si>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</si>
  <si>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</si>
  <si>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</si>
  <si>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</si>
  <si>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</si>
  <si>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</si>
  <si>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</si>
  <si>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</si>
  <si>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</si>
  <si>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</si>
  <si>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</si>
  <si>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</si>
  <si>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</si>
  <si>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</si>
  <si>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</si>
  <si>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</si>
  <si>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</si>
  <si>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</si>
  <si>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</si>
  <si>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</si>
  <si>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</si>
  <si>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</si>
  <si>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</si>
  <si>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</si>
  <si>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</si>
  <si>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</si>
  <si>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</si>
  <si>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</si>
  <si>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</si>
  <si>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</si>
  <si>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</si>
  <si>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</si>
  <si>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</si>
  <si>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</si>
  <si>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</si>
  <si>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</si>
  <si>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</si>
  <si>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</si>
  <si>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</si>
  <si>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</si>
  <si>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</si>
  <si>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</si>
  <si>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</si>
  <si>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</si>
  <si>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</si>
  <si>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</si>
  <si>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</si>
  <si>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</si>
  <si>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</si>
  <si>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</si>
  <si>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</si>
  <si>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</si>
  <si>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</si>
  <si>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</si>
  <si>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</si>
  <si>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</si>
  <si>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</si>
  <si>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</si>
  <si>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</si>
  <si>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</si>
  <si>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</si>
  <si>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</si>
  <si>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</si>
  <si>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</si>
  <si>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</si>
  <si>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</si>
  <si>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</si>
  <si>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</si>
  <si>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</si>
  <si>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</si>
  <si>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</si>
  <si>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</si>
  <si>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</si>
  <si>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</si>
  <si>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</si>
  <si>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</si>
  <si>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</si>
  <si>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</si>
  <si>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</si>
  <si>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</si>
  <si>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</si>
  <si>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</si>
  <si>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</si>
  <si>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</si>
  <si>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</si>
  <si>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</si>
  <si>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</si>
  <si>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</si>
  <si>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</si>
  <si>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</si>
  <si>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</si>
  <si>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</si>
  <si>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</si>
  <si>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</si>
  <si>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</si>
  <si>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</si>
  <si>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</si>
  <si>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</si>
  <si>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</si>
  <si>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</si>
  <si>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</si>
  <si>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</si>
  <si>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</si>
  <si>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</si>
  <si>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</si>
  <si>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</si>
  <si>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</si>
  <si>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</si>
  <si>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</si>
  <si>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</si>
  <si>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</si>
  <si>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</si>
  <si>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</si>
  <si>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</si>
  <si>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</si>
  <si>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</si>
  <si>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</si>
  <si>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</si>
  <si>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</si>
  <si>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</si>
  <si>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</si>
  <si>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</si>
  <si>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</si>
  <si>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</si>
  <si>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</si>
  <si>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</si>
  <si>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</si>
  <si>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</si>
  <si>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</si>
  <si>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</si>
  <si>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</si>
  <si>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</si>
  <si>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</si>
  <si>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</si>
  <si>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</si>
  <si>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</si>
  <si>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</si>
  <si>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</si>
  <si>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</si>
  <si>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</si>
  <si>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</si>
  <si>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</si>
  <si>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</si>
  <si>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</si>
  <si>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</si>
  <si>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</si>
  <si>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</si>
  <si>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</si>
  <si>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</si>
  <si>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</si>
  <si>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</si>
  <si>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</si>
  <si>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</si>
  <si>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</si>
  <si>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</si>
  <si>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</si>
  <si>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</si>
  <si>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</si>
  <si>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</si>
  <si>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</si>
  <si>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</si>
  <si>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</si>
  <si>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</si>
  <si>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</si>
  <si>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</si>
  <si>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</si>
  <si>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</si>
  <si>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</si>
  <si>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</si>
  <si>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</si>
  <si>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</si>
  <si>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</si>
  <si>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</si>
  <si>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</si>
  <si>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</si>
  <si>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</si>
  <si>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</si>
  <si>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</si>
  <si>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</si>
  <si>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</si>
  <si>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</si>
  <si>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</si>
  <si>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</si>
  <si>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</si>
  <si>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</si>
  <si>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</si>
  <si>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</si>
  <si>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</si>
  <si>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</si>
  <si>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</si>
  <si>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</si>
  <si>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</si>
  <si>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</si>
  <si>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</si>
  <si>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</si>
  <si>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</si>
  <si>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</si>
  <si>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</si>
  <si>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</si>
  <si>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</si>
  <si>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</si>
  <si>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</si>
  <si>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</si>
  <si>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</si>
  <si>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</si>
  <si>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</si>
  <si>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</si>
  <si>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</si>
  <si>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</si>
  <si>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</si>
  <si>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</si>
  <si>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</si>
  <si>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</si>
  <si>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</si>
  <si>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</si>
  <si>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</si>
  <si>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</si>
  <si>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</si>
  <si>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</si>
  <si>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</si>
  <si>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</si>
  <si>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</si>
  <si>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</si>
  <si>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</si>
  <si>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</si>
  <si>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</si>
  <si>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</si>
  <si>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</si>
  <si>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</si>
  <si>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</si>
  <si>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</si>
  <si>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</si>
  <si>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</si>
  <si>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</si>
  <si>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</si>
  <si>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</si>
  <si>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</si>
  <si>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</si>
  <si>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</si>
  <si>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</si>
  <si>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</si>
  <si>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</si>
  <si>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</si>
  <si>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</si>
  <si>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</si>
  <si>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</si>
  <si>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</si>
  <si>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</si>
  <si>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</si>
  <si>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</si>
  <si>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</si>
  <si>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</si>
  <si>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</si>
  <si>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</si>
  <si>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</si>
  <si>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</si>
  <si>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</si>
  <si>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</si>
  <si>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</si>
  <si>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</si>
  <si>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</si>
  <si>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</si>
  <si>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</si>
  <si>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</si>
  <si>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</si>
  <si>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</si>
  <si>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</si>
  <si>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</si>
  <si>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</si>
  <si>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</si>
  <si>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</si>
  <si>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</si>
  <si>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</si>
  <si>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</si>
  <si>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</si>
  <si>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</si>
  <si>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</si>
  <si>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</si>
  <si>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</si>
  <si>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</si>
  <si>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</si>
  <si>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</si>
  <si>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</si>
  <si>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</si>
  <si>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</si>
  <si>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</si>
  <si>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</si>
  <si>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</si>
  <si>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</si>
  <si>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</si>
  <si>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</si>
  <si>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</si>
  <si>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</si>
  <si>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</si>
  <si>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</si>
  <si>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</si>
  <si>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</si>
  <si>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</si>
  <si>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</si>
  <si>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</si>
  <si>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</si>
  <si>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</si>
  <si>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</si>
  <si>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</si>
  <si>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</si>
  <si>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</si>
  <si>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</si>
  <si>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</si>
  <si>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</si>
  <si>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</si>
  <si>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</si>
  <si>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</si>
  <si>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</si>
  <si>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</si>
  <si>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</si>
  <si>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</si>
  <si>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</si>
  <si>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</si>
  <si>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</si>
  <si>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</si>
  <si>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</si>
  <si>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</si>
  <si>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</si>
  <si>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</si>
  <si>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</si>
  <si>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</si>
  <si>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</si>
  <si>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</si>
  <si>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</si>
  <si>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</si>
  <si>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</si>
  <si>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</si>
  <si>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</si>
  <si>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</si>
  <si>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</si>
  <si>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</si>
  <si>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</si>
  <si>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</si>
  <si>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</si>
  <si>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</si>
  <si>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</si>
  <si>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</si>
  <si>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</si>
  <si>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</si>
  <si>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</si>
  <si>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</si>
  <si>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</si>
  <si>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</si>
  <si>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</si>
  <si>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</si>
  <si>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</si>
  <si>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</si>
  <si>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</si>
  <si>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</si>
  <si>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</si>
  <si>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</si>
  <si>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</si>
  <si>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</si>
  <si>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</si>
  <si>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</si>
  <si>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</si>
  <si>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</si>
  <si>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</si>
  <si>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</si>
  <si>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</si>
  <si>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</si>
  <si>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</si>
  <si>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</si>
  <si>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</si>
  <si>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</si>
  <si>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</si>
  <si>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</si>
  <si>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</si>
  <si>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</si>
  <si>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</si>
  <si>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</si>
  <si>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</si>
  <si>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</si>
  <si>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</si>
  <si>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</si>
  <si>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</si>
  <si>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</si>
  <si>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</si>
  <si>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</si>
  <si>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</si>
  <si>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</si>
  <si>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</si>
  <si>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</si>
  <si>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</si>
  <si>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</si>
  <si>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</si>
  <si>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</si>
  <si>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</si>
  <si>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</si>
  <si>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</si>
  <si>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</si>
  <si>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</si>
  <si>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</si>
  <si>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</si>
  <si>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</si>
  <si>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</si>
  <si>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</si>
  <si>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</si>
  <si>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</si>
  <si>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</si>
  <si>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</si>
  <si>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</si>
  <si>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</si>
  <si>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</si>
  <si>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</si>
  <si>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</si>
  <si>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</si>
  <si>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</si>
  <si>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</si>
  <si>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</si>
  <si>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</si>
  <si>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</si>
  <si>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</si>
  <si>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</si>
  <si>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</si>
  <si>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</si>
  <si>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</si>
  <si>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</si>
  <si>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</si>
  <si>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</si>
  <si>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</si>
  <si>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</si>
  <si>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</si>
  <si>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</si>
  <si>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</si>
  <si>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</si>
  <si>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</si>
  <si>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</si>
  <si>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</si>
  <si>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</si>
  <si>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</si>
  <si>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</si>
  <si>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</si>
  <si>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</si>
  <si>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</si>
  <si>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</si>
  <si>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</si>
  <si>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</si>
  <si>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</si>
  <si>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</si>
  <si>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</si>
  <si>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</si>
  <si>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</si>
  <si>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</si>
  <si>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</si>
  <si>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</si>
  <si>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</si>
  <si>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</si>
  <si>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</si>
  <si>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</si>
  <si>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</si>
  <si>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</si>
  <si>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</si>
  <si>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</si>
  <si>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</si>
  <si>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</si>
  <si>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</si>
  <si>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</si>
  <si>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</si>
  <si>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</si>
  <si>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</si>
  <si>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</si>
  <si>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</si>
  <si>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</si>
  <si>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</si>
  <si>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</si>
  <si>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</si>
  <si>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</si>
  <si>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</si>
  <si>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</si>
  <si>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</si>
  <si>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</si>
  <si>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</si>
  <si>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</si>
  <si>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</si>
  <si>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</si>
  <si>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</si>
  <si>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</si>
  <si>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</si>
  <si>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</si>
  <si>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</si>
  <si>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</si>
  <si>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</si>
  <si>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</si>
  <si>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</si>
  <si>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</si>
  <si>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</si>
  <si>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</si>
  <si>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</si>
  <si>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</si>
  <si>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</si>
  <si>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</si>
  <si>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</si>
  <si>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</si>
  <si>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</si>
  <si>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</si>
  <si>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</si>
  <si>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</si>
  <si>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</si>
  <si>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</si>
  <si>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</si>
  <si>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</si>
  <si>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</si>
  <si>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</si>
  <si>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</si>
  <si>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</si>
  <si>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</si>
  <si>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</si>
  <si>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</si>
  <si>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</si>
  <si>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</si>
  <si>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</si>
  <si>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</si>
  <si>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</si>
  <si>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</si>
  <si>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</si>
  <si>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</si>
  <si>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</si>
  <si>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</si>
  <si>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</si>
  <si>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</si>
  <si>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</si>
  <si>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</si>
  <si>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</si>
  <si>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</si>
  <si>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</si>
  <si>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</si>
  <si>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</si>
  <si>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</si>
  <si>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</si>
  <si>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</si>
  <si>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</si>
  <si>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</si>
  <si>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</si>
  <si>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</si>
  <si>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</si>
  <si>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</si>
  <si>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</si>
  <si>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</si>
  <si>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</si>
  <si>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</si>
  <si>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</si>
  <si>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</si>
  <si>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</si>
  <si>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</si>
  <si>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</si>
  <si>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</si>
  <si>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</si>
  <si>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</si>
  <si>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</si>
  <si>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</si>
  <si>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</si>
  <si>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</si>
  <si>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</si>
  <si>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</si>
  <si>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</si>
  <si>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</si>
  <si>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</si>
  <si>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</si>
  <si>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</si>
  <si>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</si>
  <si>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</si>
  <si>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</si>
  <si>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</si>
  <si>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</si>
  <si>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</si>
  <si>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</si>
  <si>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</si>
  <si>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</si>
  <si>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</si>
  <si>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</si>
  <si>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</si>
  <si>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</si>
  <si>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</si>
  <si>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</si>
  <si>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</si>
  <si>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</si>
  <si>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</si>
  <si>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</si>
  <si>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</si>
  <si>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</si>
  <si>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</si>
  <si>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</si>
  <si>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</si>
  <si>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</si>
  <si>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</si>
  <si>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</si>
  <si>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</si>
  <si>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</si>
  <si>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</si>
  <si>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</si>
  <si>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</si>
  <si>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</si>
  <si>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</si>
  <si>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</si>
  <si>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</si>
  <si>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</si>
  <si>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</si>
  <si>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</si>
  <si>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</si>
  <si>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</si>
  <si>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</si>
  <si>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</si>
  <si>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</si>
  <si>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</si>
  <si>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</si>
  <si>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</si>
  <si>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</si>
  <si>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</si>
  <si>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</si>
  <si>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</si>
  <si>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</si>
  <si>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</si>
  <si>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</si>
  <si>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</si>
  <si>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</si>
  <si>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</si>
  <si>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</si>
  <si>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</si>
  <si>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</si>
  <si>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</si>
  <si>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</si>
  <si>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</si>
  <si>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</si>
  <si>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</si>
  <si>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</si>
  <si>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</si>
  <si>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</si>
  <si>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</si>
  <si>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</si>
  <si>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</si>
  <si>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</si>
  <si>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</si>
  <si>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</si>
  <si>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</si>
  <si>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</si>
  <si>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</si>
  <si>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</si>
  <si>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</si>
  <si>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</si>
  <si>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</si>
  <si>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</si>
  <si>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</si>
  <si>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</si>
  <si>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</si>
  <si>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</si>
  <si>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</si>
  <si>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</si>
  <si>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</si>
  <si>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</si>
  <si>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</si>
  <si>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</si>
  <si>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</si>
  <si>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</si>
  <si>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</si>
  <si>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</si>
  <si>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</si>
  <si>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</si>
  <si>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</si>
  <si>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</si>
  <si>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</si>
  <si>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</si>
  <si>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</si>
  <si>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</si>
  <si>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</si>
  <si>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</si>
  <si>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</si>
  <si>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</si>
  <si>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</si>
  <si>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</si>
  <si>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</si>
  <si>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</si>
  <si>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</si>
  <si>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</si>
  <si>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</si>
  <si>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</si>
  <si>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</si>
  <si>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</si>
  <si>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</si>
  <si>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</si>
  <si>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</si>
  <si>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</si>
  <si>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</si>
  <si>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</si>
  <si>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</si>
  <si>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</si>
  <si>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</si>
  <si>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</si>
  <si>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</si>
  <si>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</si>
  <si>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</si>
  <si>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</si>
  <si>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</si>
  <si>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</si>
  <si>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</si>
  <si>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</si>
  <si>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</si>
  <si>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</si>
  <si>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</si>
  <si>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</si>
  <si>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</si>
  <si>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</si>
  <si>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</si>
  <si>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</si>
  <si>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</si>
  <si>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</si>
  <si>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</si>
  <si>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</si>
  <si>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</si>
  <si>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</si>
  <si>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</si>
  <si>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</si>
  <si>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</si>
  <si>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</si>
  <si>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</si>
  <si>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</si>
  <si>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</si>
  <si>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</si>
  <si>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</si>
  <si>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</si>
  <si>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</si>
  <si>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</si>
  <si>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</si>
  <si>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</si>
  <si>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</si>
  <si>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</si>
  <si>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</si>
  <si>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</si>
  <si>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</si>
  <si>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</si>
  <si>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</si>
  <si>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</si>
  <si>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</si>
  <si>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</si>
  <si>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</si>
  <si>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</si>
  <si>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</si>
  <si>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</si>
  <si>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</si>
  <si>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</si>
  <si>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</si>
  <si>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</si>
  <si>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</si>
  <si>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</si>
  <si>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</si>
  <si>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</si>
  <si>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</si>
  <si>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</si>
  <si>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</si>
  <si>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</si>
  <si>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</si>
  <si>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</si>
  <si>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</si>
  <si>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</si>
  <si>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</si>
  <si>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</si>
  <si>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</si>
  <si>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</si>
  <si>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</si>
  <si>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</si>
  <si>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</si>
  <si>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</si>
  <si>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</si>
  <si>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</si>
  <si>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</si>
  <si>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</si>
  <si>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</si>
  <si>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</si>
  <si>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</si>
  <si>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</si>
  <si>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</si>
  <si>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</si>
  <si>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</si>
  <si>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</si>
  <si>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</si>
  <si>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</si>
  <si>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</si>
  <si>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</si>
  <si>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</si>
  <si>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</si>
  <si>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</si>
  <si>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</si>
  <si>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</si>
  <si>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</si>
  <si>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</si>
  <si>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</si>
  <si>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</si>
  <si>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</si>
  <si>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</si>
  <si>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</si>
  <si>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</si>
  <si>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</si>
  <si>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</si>
  <si>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</si>
  <si>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</si>
  <si>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</si>
  <si>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</si>
  <si>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</si>
  <si>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</si>
  <si>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</si>
  <si>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</si>
  <si>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</si>
  <si>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</si>
  <si>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</si>
  <si>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</si>
  <si>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</si>
  <si>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</si>
  <si>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</si>
  <si>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</si>
  <si>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</si>
  <si>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</si>
  <si>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</si>
  <si>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</si>
  <si>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</si>
  <si>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</si>
  <si>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</si>
  <si>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</si>
  <si>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</si>
  <si>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</si>
  <si>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</si>
  <si>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</si>
  <si>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</si>
  <si>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</si>
  <si>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</si>
  <si>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</si>
  <si>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</si>
  <si>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</si>
  <si>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</si>
  <si>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</si>
  <si>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</si>
  <si>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</si>
  <si>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</si>
  <si>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</si>
  <si>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</si>
  <si>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</si>
  <si>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</si>
  <si>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</si>
  <si>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</si>
  <si>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</si>
  <si>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</si>
  <si>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</si>
  <si>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</si>
  <si>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</si>
  <si>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</si>
  <si>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</si>
  <si>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</si>
  <si>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</si>
  <si>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</si>
  <si>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</si>
  <si>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</si>
  <si>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</si>
  <si>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</si>
  <si>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</si>
  <si>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</si>
  <si>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</si>
  <si>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</si>
  <si>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</si>
  <si>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</si>
  <si>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</si>
  <si>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</si>
  <si>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</si>
  <si>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</si>
  <si>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</si>
  <si>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</si>
  <si>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</si>
  <si>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</si>
  <si>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</si>
  <si>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</si>
  <si>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</si>
  <si>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</si>
  <si>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</si>
  <si>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</si>
  <si>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</si>
  <si>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</si>
  <si>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</si>
  <si>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</si>
  <si>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</si>
  <si>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</si>
  <si>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</si>
  <si>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</si>
  <si>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</si>
  <si>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</si>
  <si>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</si>
  <si>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</si>
  <si>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</si>
  <si>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</si>
  <si>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</si>
  <si>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</si>
  <si>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</si>
  <si>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</si>
  <si>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</si>
  <si>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</si>
  <si>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</si>
  <si>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</si>
  <si>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</si>
  <si>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</si>
  <si>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</si>
  <si>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</si>
  <si>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</si>
  <si>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</si>
  <si>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</si>
  <si>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</si>
  <si>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</si>
  <si>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</si>
  <si>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</si>
  <si>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</si>
  <si>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</si>
  <si>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</si>
  <si>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</si>
  <si>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</si>
  <si>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</si>
  <si>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</si>
  <si>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</si>
  <si>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</si>
  <si>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</si>
  <si>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</si>
  <si>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</si>
  <si>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</si>
  <si>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</si>
  <si>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</si>
  <si>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</si>
  <si>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</si>
  <si>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</si>
  <si>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</si>
  <si>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</si>
  <si>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</si>
  <si>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</si>
  <si>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</si>
  <si>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</si>
  <si>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</si>
  <si>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</si>
  <si>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</si>
  <si>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</si>
  <si>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</si>
  <si>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</si>
  <si>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</si>
  <si>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</si>
  <si>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</si>
  <si>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</si>
  <si>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</si>
  <si>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</si>
  <si>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</si>
  <si>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</si>
  <si>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</si>
  <si>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</si>
  <si>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</si>
  <si>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</si>
  <si>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</si>
  <si>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</si>
  <si>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</si>
  <si>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</si>
  <si>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</si>
  <si>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</si>
  <si>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</si>
  <si>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</si>
  <si>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</si>
  <si>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</si>
  <si>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</si>
  <si>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</si>
  <si>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</si>
  <si>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</si>
  <si>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</si>
  <si>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</si>
  <si>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</si>
  <si>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</si>
  <si>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</si>
  <si>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</si>
  <si>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</si>
  <si>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</si>
  <si>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</si>
  <si>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</si>
  <si>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</si>
  <si>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</si>
  <si>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</si>
  <si>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</si>
  <si>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</si>
  <si>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</si>
  <si>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</si>
  <si>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</si>
  <si>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</si>
  <si>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</si>
  <si>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</si>
  <si>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</si>
  <si>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</si>
  <si>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</si>
  <si>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</si>
  <si>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</si>
  <si>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</si>
  <si>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</si>
  <si>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</si>
  <si>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</si>
  <si>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</si>
  <si>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</si>
  <si>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</si>
  <si>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</si>
  <si>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</si>
  <si>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</si>
  <si>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</si>
  <si>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</si>
  <si>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</si>
  <si>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</si>
  <si>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</si>
  <si>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</si>
  <si>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</si>
  <si>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</si>
  <si>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</si>
  <si>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</si>
  <si>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</si>
  <si>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</si>
  <si>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</si>
  <si>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</si>
  <si>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</si>
  <si>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</si>
  <si>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</si>
  <si>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</si>
  <si>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</si>
  <si>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</si>
  <si>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</si>
  <si>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</si>
  <si>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</si>
  <si>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</si>
  <si>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</si>
  <si>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</si>
  <si>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</si>
  <si>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</si>
  <si>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</si>
  <si>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</si>
  <si>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</si>
  <si>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</si>
  <si>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</si>
  <si>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</si>
  <si>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</si>
  <si>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</si>
  <si>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</si>
  <si>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</si>
  <si>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</si>
  <si>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</si>
  <si>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</si>
  <si>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</si>
  <si>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</si>
  <si>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</si>
  <si>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</si>
  <si>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</si>
  <si>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</si>
  <si>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</si>
  <si>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</si>
  <si>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</si>
  <si>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</si>
  <si>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</si>
  <si>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</si>
  <si>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</si>
  <si>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</si>
  <si>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</si>
  <si>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</si>
  <si>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</si>
  <si>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</si>
  <si>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</si>
  <si>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</si>
  <si>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</si>
  <si>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</si>
  <si>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</si>
  <si>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</si>
  <si>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</si>
  <si>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</si>
  <si>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</si>
  <si>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</si>
  <si>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</si>
  <si>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</si>
  <si>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</si>
  <si>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</si>
  <si>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</si>
  <si>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</si>
  <si>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</si>
  <si>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</si>
  <si>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</si>
  <si>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</si>
  <si>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</si>
  <si>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</si>
  <si>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</si>
  <si>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</si>
  <si>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</si>
  <si>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</si>
  <si>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</si>
  <si>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</si>
  <si>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</si>
  <si>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</si>
  <si>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</si>
  <si>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</si>
  <si>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</si>
  <si>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</si>
  <si>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</si>
  <si>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</si>
  <si>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</si>
  <si>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</si>
  <si>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</si>
  <si>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</si>
  <si>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</si>
  <si>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</si>
  <si>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</si>
  <si>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</si>
  <si>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</si>
  <si>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</si>
  <si>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</si>
  <si>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</si>
  <si>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</si>
  <si>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</si>
  <si>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</si>
  <si>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</si>
  <si>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</si>
  <si>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</si>
  <si>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</si>
  <si>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</si>
  <si>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</si>
  <si>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</si>
  <si>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</si>
  <si>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</si>
  <si>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</si>
  <si>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</si>
  <si>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</si>
  <si>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</si>
  <si>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</si>
  <si>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</si>
  <si>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</si>
  <si>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</si>
  <si>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</si>
  <si>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</si>
  <si>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</si>
  <si>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</si>
  <si>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</si>
  <si>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</si>
  <si>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</si>
  <si>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</si>
  <si>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</si>
  <si>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</si>
  <si>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</si>
  <si>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</si>
  <si>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</si>
  <si>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</si>
  <si>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</si>
  <si>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</si>
  <si>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</si>
  <si>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</si>
  <si>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</si>
  <si>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</si>
  <si>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</si>
  <si>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</si>
  <si>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</si>
  <si>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</si>
  <si>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</si>
  <si>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</si>
  <si>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</si>
  <si>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</si>
  <si>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</si>
  <si>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</si>
  <si>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</si>
  <si>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</si>
  <si>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</si>
  <si>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</si>
  <si>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</si>
  <si>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</si>
  <si>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</si>
  <si>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</si>
  <si>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</si>
  <si>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</si>
  <si>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</si>
  <si>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</si>
  <si>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</si>
  <si>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</si>
  <si>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</si>
  <si>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</si>
  <si>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</si>
  <si>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</si>
  <si>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</si>
  <si>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</si>
  <si>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</si>
  <si>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</si>
  <si>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</si>
  <si>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</si>
  <si>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</si>
  <si>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</si>
  <si>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</si>
  <si>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</si>
  <si>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</si>
  <si>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</si>
  <si>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</si>
  <si>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</si>
  <si>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</si>
  <si>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</si>
  <si>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</si>
  <si>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</si>
  <si>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</si>
  <si>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</si>
  <si>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</si>
  <si>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</si>
  <si>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</si>
  <si>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</si>
  <si>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</si>
  <si>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</si>
  <si>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</si>
  <si>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</si>
  <si>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</si>
  <si>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</si>
  <si>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</si>
  <si>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</si>
  <si>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</si>
  <si>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</si>
  <si>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</si>
  <si>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</si>
  <si>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</si>
  <si>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</si>
  <si>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</si>
  <si>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</si>
  <si>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</si>
  <si>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</si>
  <si>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</si>
  <si>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</si>
  <si>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</si>
  <si>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</si>
  <si>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</si>
  <si>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</si>
  <si>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</si>
  <si>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</si>
  <si>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</si>
  <si>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</si>
  <si>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</si>
  <si>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</si>
  <si>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</si>
  <si>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</si>
  <si>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</si>
  <si>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</si>
  <si>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</si>
  <si>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</si>
  <si>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</si>
  <si>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</si>
  <si>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</si>
  <si>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</si>
  <si>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</si>
  <si>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</si>
  <si>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</si>
  <si>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</si>
  <si>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</si>
  <si>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</si>
  <si>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</si>
  <si>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</si>
  <si>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</si>
  <si>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</si>
  <si>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</si>
  <si>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</si>
  <si>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</si>
  <si>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</si>
  <si>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</si>
  <si>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</si>
  <si>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</si>
  <si>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</si>
  <si>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</si>
  <si>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</si>
  <si>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</si>
  <si>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</si>
  <si>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</si>
  <si>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</si>
  <si>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</si>
  <si>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</si>
  <si>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</si>
  <si>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</si>
  <si>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</si>
  <si>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</si>
  <si>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</si>
  <si>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</si>
  <si>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</si>
  <si>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</si>
  <si>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</si>
  <si>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</si>
  <si>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</si>
  <si>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</si>
  <si>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</si>
  <si>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</si>
  <si>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</si>
  <si>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</si>
  <si>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</si>
  <si>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</si>
  <si>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</si>
  <si>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</si>
  <si>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</si>
  <si>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</si>
  <si>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</si>
  <si>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</si>
  <si>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</si>
  <si>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</si>
  <si>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</si>
  <si>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</si>
  <si>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</si>
  <si>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</si>
  <si>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</si>
  <si>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</si>
  <si>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</si>
  <si>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</si>
  <si>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</si>
  <si>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</si>
  <si>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</si>
  <si>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</si>
  <si>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</si>
  <si>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</si>
  <si>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</si>
  <si>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</si>
  <si>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</si>
  <si>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</si>
  <si>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</si>
  <si>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</si>
  <si>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</si>
  <si>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</si>
  <si>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</si>
  <si>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</si>
  <si>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</si>
  <si>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</si>
  <si>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</si>
  <si>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</si>
  <si>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</si>
  <si>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</si>
  <si>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</si>
  <si>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</si>
  <si>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</si>
  <si>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</si>
  <si>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</si>
  <si>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</si>
  <si>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</si>
  <si>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</si>
  <si>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</si>
  <si>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</si>
  <si>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</si>
  <si>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</si>
  <si>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</si>
  <si>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</si>
  <si>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</si>
  <si>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</si>
  <si>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</si>
  <si>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</si>
  <si>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</si>
  <si>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</si>
  <si>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</si>
  <si>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</si>
  <si>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</si>
  <si>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</si>
  <si>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</si>
  <si>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</si>
  <si>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</si>
  <si>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</si>
  <si>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</si>
  <si>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</si>
  <si>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</si>
  <si>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</si>
  <si>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</si>
  <si>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</si>
  <si>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</si>
  <si>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</si>
  <si>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</si>
  <si>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</si>
  <si>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</si>
  <si>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</si>
  <si>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</si>
  <si>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</si>
  <si>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</si>
  <si>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</si>
  <si>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</si>
  <si>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</si>
  <si>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</si>
  <si>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</si>
  <si>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</si>
  <si>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</si>
  <si>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</si>
  <si>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</si>
  <si>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</si>
  <si>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</si>
  <si>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</si>
  <si>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</si>
  <si>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</si>
  <si>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</si>
  <si>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</si>
  <si>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</si>
  <si>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</si>
  <si>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</si>
  <si>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</si>
  <si>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</si>
  <si>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</si>
  <si>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</si>
  <si>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</si>
  <si>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</si>
  <si>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</si>
  <si>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</si>
  <si>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</si>
  <si>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</si>
  <si>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</si>
  <si>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</si>
  <si>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</si>
  <si>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</si>
  <si>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</si>
  <si>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</si>
  <si>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</si>
  <si>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</si>
  <si>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</si>
  <si>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</si>
  <si>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</si>
  <si>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</si>
  <si>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</si>
  <si>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</si>
  <si>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</si>
  <si>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</si>
  <si>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</si>
  <si>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</si>
  <si>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</si>
  <si>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</si>
  <si>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</si>
  <si>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</si>
  <si>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</si>
  <si>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</si>
  <si>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</si>
  <si>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</si>
  <si>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</si>
  <si>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</si>
  <si>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</si>
  <si>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</si>
  <si>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</si>
  <si>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</si>
  <si>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</si>
  <si>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</si>
  <si>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</si>
  <si>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</si>
  <si>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</si>
  <si>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</si>
  <si>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</si>
  <si>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</si>
  <si>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</si>
  <si>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</si>
  <si>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</si>
  <si>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</si>
  <si>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</si>
  <si>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</si>
  <si>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</si>
  <si>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</si>
  <si>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</si>
  <si>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</si>
  <si>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</si>
  <si>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</si>
  <si>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</si>
  <si>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</si>
  <si>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</si>
  <si>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</si>
  <si>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</si>
  <si>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</si>
  <si>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</si>
  <si>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</si>
  <si>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</si>
  <si>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</si>
  <si>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</si>
  <si>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</si>
  <si>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</si>
  <si>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</si>
  <si>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</si>
  <si>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</si>
  <si>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</si>
  <si>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</si>
  <si>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</si>
  <si>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</si>
  <si>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</si>
  <si>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</si>
  <si>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</si>
  <si>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</si>
  <si>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</si>
  <si>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</si>
  <si>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</si>
  <si>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</si>
  <si>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</si>
  <si>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</si>
  <si>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</si>
  <si>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</si>
  <si>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</si>
  <si>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</si>
  <si>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</si>
  <si>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</si>
  <si>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</si>
  <si>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</si>
  <si>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</si>
  <si>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</si>
  <si>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</si>
  <si>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</si>
  <si>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</si>
  <si>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</si>
  <si>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</si>
  <si>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</si>
  <si>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</si>
  <si>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</si>
  <si>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</si>
  <si>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</si>
  <si>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</si>
  <si>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</si>
  <si>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</si>
  <si>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</si>
  <si>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</si>
  <si>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</si>
  <si>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</si>
  <si>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</si>
  <si>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</si>
  <si>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</si>
  <si>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</si>
  <si>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</si>
  <si>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</si>
  <si>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</si>
  <si>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</si>
  <si>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</si>
  <si>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</si>
  <si>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</si>
  <si>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</si>
  <si>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</si>
  <si>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</si>
  <si>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</si>
  <si>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</si>
  <si>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</si>
  <si>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</si>
  <si>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</si>
  <si>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</si>
  <si>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</si>
  <si>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</si>
  <si>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</si>
  <si>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</si>
  <si>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</si>
  <si>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</si>
  <si>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</si>
  <si>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</si>
  <si>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</si>
  <si>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</si>
  <si>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</si>
  <si>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</si>
  <si>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</si>
  <si>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</si>
  <si>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</si>
  <si>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</si>
  <si>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</si>
  <si>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</si>
  <si>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</si>
  <si>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</si>
  <si>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</si>
  <si>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</si>
  <si>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</si>
  <si>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</si>
  <si>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</si>
  <si>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</si>
  <si>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</si>
  <si>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</si>
  <si>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</si>
  <si>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</si>
  <si>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</si>
  <si>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</si>
  <si>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</si>
  <si>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</si>
  <si>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</si>
  <si>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</si>
  <si>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</si>
  <si>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</si>
  <si>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</si>
  <si>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</si>
  <si>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</si>
  <si>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</si>
  <si>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</si>
  <si>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</si>
  <si>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</si>
  <si>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</si>
  <si>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</si>
  <si>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</si>
  <si>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</si>
  <si>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</si>
  <si>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</si>
  <si>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</si>
  <si>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</si>
  <si>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</si>
  <si>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</si>
  <si>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</si>
  <si>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</si>
  <si>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</si>
  <si>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</si>
  <si>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</si>
  <si>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</si>
  <si>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</si>
  <si>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</si>
  <si>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</si>
  <si>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</si>
  <si>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</si>
  <si>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</si>
  <si>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</si>
  <si>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</si>
  <si>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</si>
  <si>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</si>
  <si>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</si>
  <si>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</si>
  <si>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</si>
  <si>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</si>
  <si>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</si>
  <si>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</si>
  <si>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</si>
  <si>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</si>
  <si>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</si>
  <si>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</si>
  <si>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</si>
  <si>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</si>
  <si>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</si>
  <si>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</si>
  <si>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</si>
  <si>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</si>
  <si>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</si>
  <si>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</si>
  <si>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</si>
  <si>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</si>
  <si>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</si>
  <si>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</si>
  <si>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</si>
  <si>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</si>
  <si>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</si>
  <si>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</si>
  <si>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</si>
  <si>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</si>
  <si>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</si>
  <si>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</si>
  <si>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</si>
  <si>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</si>
  <si>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</si>
  <si>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</si>
  <si>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</si>
  <si>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</si>
  <si>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</si>
  <si>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</si>
  <si>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</si>
  <si>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</si>
  <si>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</si>
  <si>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</si>
  <si>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</si>
  <si>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</si>
  <si>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</si>
  <si>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</si>
  <si>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</si>
  <si>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</si>
  <si>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</si>
  <si>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</si>
  <si>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</si>
  <si>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</si>
  <si>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</si>
  <si>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</si>
  <si>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</si>
  <si>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</si>
  <si>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</si>
  <si>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</si>
  <si>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</si>
  <si>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</si>
  <si>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</si>
  <si>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</si>
  <si>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</si>
  <si>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</si>
  <si>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</si>
  <si>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</si>
  <si>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</si>
  <si>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</si>
  <si>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</si>
  <si>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</si>
  <si>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</si>
  <si>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</si>
  <si>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</si>
  <si>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</si>
  <si>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</si>
  <si>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</si>
  <si>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</si>
  <si>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</si>
  <si>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</si>
  <si>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</si>
  <si>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</si>
  <si>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</si>
  <si>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</si>
  <si>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</si>
  <si>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</si>
  <si>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</si>
  <si>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</si>
  <si>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</si>
  <si>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</si>
  <si>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</si>
  <si>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</si>
  <si>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</si>
  <si>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</si>
  <si>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</si>
  <si>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</si>
  <si>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</si>
  <si>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</si>
  <si>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</si>
  <si>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</si>
  <si>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</si>
  <si>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</si>
  <si>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</si>
  <si>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</si>
  <si>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</si>
  <si>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</si>
  <si>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</si>
  <si>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</si>
  <si>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</si>
  <si>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</si>
  <si>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</si>
  <si>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</si>
  <si>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</si>
  <si>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</si>
  <si>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</si>
  <si>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</si>
  <si>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</si>
  <si>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</si>
  <si>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</si>
  <si>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</si>
  <si>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</si>
  <si>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</si>
  <si>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</si>
  <si>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</si>
  <si>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</si>
  <si>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</si>
  <si>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</si>
  <si>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</si>
  <si>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</si>
  <si>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</si>
  <si>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</si>
  <si>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</si>
  <si>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</si>
  <si>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</si>
  <si>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</si>
  <si>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</si>
  <si>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</si>
  <si>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</si>
  <si>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</si>
  <si>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</si>
  <si>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</si>
  <si>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</si>
  <si>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</si>
  <si>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</si>
  <si>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</si>
  <si>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</si>
  <si>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</si>
  <si>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</si>
  <si>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</si>
  <si>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</si>
  <si>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</si>
  <si>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</si>
  <si>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</si>
  <si>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</si>
  <si>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</si>
  <si>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</si>
  <si>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</si>
  <si>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</si>
  <si>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</si>
  <si>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</si>
  <si>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</si>
  <si>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</si>
  <si>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</si>
  <si>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</si>
  <si>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</si>
  <si>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</si>
  <si>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</si>
  <si>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</si>
  <si>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</si>
  <si>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</si>
  <si>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</si>
  <si>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</si>
  <si>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</si>
  <si>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</si>
  <si>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</si>
  <si>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</si>
  <si>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</si>
  <si>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</si>
  <si>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</si>
  <si>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</si>
  <si>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</si>
  <si>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</si>
  <si>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</si>
  <si>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</si>
  <si>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</si>
  <si>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</si>
  <si>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</si>
  <si>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</si>
  <si>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</si>
  <si>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</si>
  <si>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</si>
  <si>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</si>
  <si>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</si>
  <si>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</si>
  <si>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</si>
  <si>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</si>
  <si>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</si>
  <si>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</si>
  <si>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</si>
  <si>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</si>
  <si>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</si>
  <si>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</si>
  <si>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</si>
  <si>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</si>
  <si>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</si>
  <si>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</si>
  <si>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</si>
  <si>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</si>
  <si>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</si>
  <si>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</si>
  <si>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</si>
  <si>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</si>
  <si>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</si>
  <si>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</si>
  <si>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</si>
  <si>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</si>
  <si>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</si>
  <si>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</si>
  <si>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</si>
  <si>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</si>
  <si>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</si>
  <si>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</si>
  <si>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</si>
  <si>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</si>
  <si>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</si>
  <si>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</si>
  <si>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</si>
  <si>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</si>
  <si>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</si>
  <si>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</si>
  <si>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</si>
  <si>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</si>
  <si>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</si>
  <si>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</si>
  <si>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</si>
  <si>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</si>
  <si>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</si>
  <si>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</si>
  <si>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</si>
  <si>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</si>
  <si>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</si>
  <si>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</si>
  <si>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</si>
  <si>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</si>
  <si>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</si>
  <si>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</si>
  <si>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</si>
  <si>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</si>
  <si>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</si>
  <si>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</si>
  <si>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</si>
  <si>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</si>
  <si>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</si>
  <si>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</si>
  <si>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</si>
  <si>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</si>
  <si>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</si>
  <si>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</si>
  <si>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</si>
  <si>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</si>
  <si>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</si>
  <si>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</si>
  <si>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</si>
  <si>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</si>
  <si>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</si>
  <si>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</si>
  <si>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</si>
  <si>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</si>
  <si>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</si>
  <si>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</si>
  <si>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</si>
  <si>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</si>
  <si>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</si>
  <si>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</si>
  <si>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</si>
  <si>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</si>
  <si>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</si>
  <si>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</si>
  <si>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</si>
  <si>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</si>
  <si>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</si>
  <si>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</si>
  <si>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</si>
  <si>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</si>
  <si>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</si>
  <si>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</si>
  <si>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</si>
  <si>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</si>
  <si>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</si>
  <si>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</si>
  <si>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</si>
  <si>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</si>
  <si>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</si>
  <si>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</si>
  <si>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</si>
  <si>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</si>
  <si>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</si>
  <si>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</si>
  <si>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</si>
  <si>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</si>
  <si>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</si>
  <si>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</si>
  <si>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</si>
  <si>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</si>
  <si>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</si>
  <si>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</si>
  <si>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</si>
  <si>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</si>
  <si>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</si>
  <si>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</si>
  <si>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</si>
  <si>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</si>
  <si>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</si>
  <si>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</si>
  <si>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</si>
  <si>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</si>
  <si>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</si>
  <si>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</si>
  <si>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</si>
  <si>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</si>
  <si>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</si>
  <si>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</si>
  <si>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</si>
  <si>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</si>
  <si>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</si>
  <si>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</si>
  <si>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</si>
  <si>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</si>
  <si>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</si>
  <si>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</si>
  <si>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</si>
  <si>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</si>
  <si>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</si>
  <si>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</si>
  <si>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</si>
  <si>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</si>
  <si>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</si>
  <si>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</si>
  <si>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</si>
  <si>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</si>
  <si>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</si>
  <si>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</si>
  <si>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</si>
  <si>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</si>
  <si>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</si>
  <si>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</si>
  <si>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</si>
  <si>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</si>
  <si>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</si>
  <si>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</si>
  <si>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</si>
  <si>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</si>
  <si>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</si>
  <si>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</si>
  <si>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</si>
  <si>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</si>
  <si>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</si>
  <si>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</si>
  <si>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</si>
  <si>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</si>
  <si>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</si>
  <si>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</si>
  <si>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</si>
  <si>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</si>
  <si>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</si>
  <si>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</si>
  <si>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</si>
  <si>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</si>
  <si>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</si>
  <si>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</si>
  <si>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</si>
  <si>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</si>
  <si>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</si>
  <si>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</si>
  <si>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</si>
  <si>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</si>
  <si>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</si>
  <si>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</si>
  <si>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</si>
  <si>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</si>
  <si>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</si>
  <si>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</si>
  <si>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</si>
  <si>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</si>
  <si>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</si>
  <si>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</si>
  <si>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</si>
  <si>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</si>
  <si>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</si>
  <si>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</si>
  <si>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</si>
  <si>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</si>
  <si>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</si>
  <si>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</si>
  <si>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</si>
  <si>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</si>
  <si>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</si>
  <si>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</si>
  <si>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</si>
  <si>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</si>
  <si>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</si>
  <si>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</si>
  <si>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</si>
  <si>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</si>
  <si>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</si>
  <si>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</si>
  <si>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</si>
  <si>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</si>
  <si>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</si>
  <si>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</si>
  <si>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</si>
  <si>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</si>
  <si>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</si>
  <si>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</si>
  <si>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</si>
  <si>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</si>
  <si>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</si>
  <si>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</si>
  <si>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</si>
  <si>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</si>
  <si>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</si>
  <si>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</si>
  <si>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</si>
  <si>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</si>
  <si>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</si>
  <si>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</si>
  <si>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</si>
  <si>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</si>
  <si>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</si>
  <si>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</si>
  <si>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</si>
  <si>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</si>
  <si>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</si>
  <si>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</si>
  <si>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</si>
  <si>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</si>
  <si>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</si>
  <si>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</si>
  <si>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</si>
  <si>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</si>
  <si>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</si>
  <si>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</si>
  <si>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</si>
  <si>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</si>
  <si>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</si>
  <si>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</si>
  <si>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</si>
  <si>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</si>
  <si>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</si>
  <si>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</si>
  <si>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</si>
  <si>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</si>
  <si>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</si>
  <si>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</si>
  <si>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</si>
  <si>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</si>
  <si>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</si>
  <si>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</si>
  <si>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</si>
  <si>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</si>
  <si>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</si>
  <si>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</si>
  <si>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</si>
  <si>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</si>
  <si>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</si>
  <si>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</si>
  <si>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</si>
  <si>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</si>
  <si>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</si>
  <si>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</si>
  <si>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</si>
  <si>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</si>
  <si>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</si>
  <si>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</si>
  <si>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</si>
  <si>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</si>
  <si>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</si>
  <si>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</si>
  <si>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</si>
  <si>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</si>
  <si>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</si>
  <si>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</si>
  <si>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</si>
  <si>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</si>
  <si>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</si>
  <si>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</si>
  <si>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</si>
  <si>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</si>
  <si>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</si>
  <si>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</si>
  <si>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</si>
  <si>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</si>
  <si>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</si>
  <si>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</si>
  <si>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</si>
  <si>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</si>
  <si>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</si>
  <si>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</si>
  <si>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</si>
  <si>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</si>
  <si>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</si>
  <si>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</si>
  <si>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</si>
  <si>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</si>
  <si>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</si>
  <si>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</si>
  <si>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</si>
  <si>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</si>
  <si>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</si>
  <si>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</si>
  <si>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</si>
  <si>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</si>
  <si>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</si>
  <si>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</si>
  <si>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</si>
  <si>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</si>
  <si>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</si>
  <si>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</si>
  <si>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</si>
  <si>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</si>
  <si>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</si>
  <si>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</si>
  <si>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</si>
  <si>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</si>
  <si>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</si>
  <si>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</si>
  <si>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</si>
  <si>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</si>
  <si>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</si>
  <si>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</si>
  <si>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</si>
  <si>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</si>
  <si>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</si>
  <si>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</si>
  <si>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</si>
  <si>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</si>
  <si>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</si>
  <si>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</si>
  <si>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</si>
  <si>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</si>
  <si>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</si>
  <si>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</si>
  <si>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</si>
  <si>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</si>
  <si>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</si>
  <si>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</si>
  <si>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</si>
  <si>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</si>
  <si>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</si>
  <si>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</si>
  <si>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</si>
  <si>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</si>
  <si>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</si>
  <si>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</si>
  <si>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</si>
  <si>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</si>
  <si>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</si>
  <si>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</si>
  <si>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</si>
  <si>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</si>
  <si>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</si>
  <si>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</si>
  <si>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</si>
  <si>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</si>
  <si>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</si>
  <si>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</si>
  <si>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</si>
  <si>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</si>
  <si>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</si>
  <si>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</si>
  <si>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</si>
  <si>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</si>
  <si>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</si>
  <si>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</si>
  <si>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</si>
  <si>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</si>
  <si>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</si>
  <si>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</si>
  <si>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</si>
  <si>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</si>
  <si>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</si>
  <si>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</si>
  <si>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</si>
  <si>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</si>
  <si>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</si>
  <si>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</si>
  <si>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</si>
  <si>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</si>
  <si>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</si>
  <si>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</si>
  <si>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</si>
  <si>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</si>
  <si>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</si>
  <si>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</si>
  <si>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</si>
  <si>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</si>
  <si>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</si>
  <si>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</si>
  <si>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</si>
  <si>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</si>
  <si>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</si>
  <si>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</si>
  <si>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</si>
  <si>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</si>
  <si>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</si>
  <si>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</si>
  <si>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</si>
  <si>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</si>
  <si>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</si>
  <si>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</si>
  <si>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</si>
  <si>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</si>
  <si>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</si>
  <si>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</si>
  <si>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</si>
  <si>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</si>
  <si>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</si>
  <si>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</si>
  <si>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</si>
  <si>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</si>
  <si>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</si>
  <si>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</si>
  <si>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</si>
  <si>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</si>
  <si>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</si>
  <si>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</si>
  <si>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</si>
  <si>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</si>
  <si>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</si>
  <si>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</si>
  <si>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</si>
  <si>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</si>
  <si>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</si>
  <si>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</si>
  <si>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</si>
  <si>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</si>
  <si>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</si>
  <si>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</si>
  <si>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</si>
  <si>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</si>
  <si>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</si>
  <si>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</si>
  <si>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</si>
  <si>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</si>
  <si>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</si>
  <si>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</si>
  <si>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</si>
  <si>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</si>
  <si>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</si>
  <si>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</si>
  <si>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</si>
  <si>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</si>
  <si>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</si>
  <si>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</si>
  <si>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</si>
  <si>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</si>
  <si>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</si>
  <si>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</si>
  <si>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</si>
  <si>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</si>
  <si>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</si>
  <si>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</si>
  <si>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</si>
  <si>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</si>
  <si>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</si>
  <si>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</si>
  <si>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</si>
  <si>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</si>
  <si>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</si>
  <si>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</si>
  <si>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</si>
  <si>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</si>
  <si>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</si>
  <si>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</si>
  <si>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</si>
  <si>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</si>
  <si>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</si>
  <si>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</si>
  <si>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</si>
  <si>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</si>
  <si>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</si>
  <si>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</si>
  <si>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</si>
  <si>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</si>
  <si>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</si>
  <si>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</si>
  <si>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</si>
  <si>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</si>
  <si>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</si>
  <si>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</si>
  <si>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</si>
  <si>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</si>
  <si>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</si>
  <si>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</si>
  <si>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</si>
  <si>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</si>
  <si>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</si>
  <si>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</si>
  <si>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</si>
  <si>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</si>
  <si>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</si>
  <si>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</si>
  <si>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</si>
  <si>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</si>
  <si>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</si>
  <si>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</si>
  <si>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</si>
  <si>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</si>
  <si>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</si>
  <si>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</si>
  <si>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</si>
  <si>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</si>
  <si>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</si>
  <si>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</si>
  <si>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</si>
  <si>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</si>
  <si>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</si>
  <si>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</si>
  <si>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</si>
  <si>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</si>
  <si>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</si>
  <si>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</si>
  <si>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</si>
  <si>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</si>
  <si>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</si>
  <si>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</si>
  <si>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</si>
  <si>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</si>
  <si>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</si>
  <si>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</si>
  <si>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</si>
  <si>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</si>
  <si>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</si>
  <si>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</si>
  <si>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</si>
  <si>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</si>
  <si>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</si>
  <si>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</si>
  <si>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</si>
  <si>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</si>
  <si>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</si>
  <si>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</si>
  <si>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</si>
  <si>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</si>
  <si>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</si>
  <si>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</si>
  <si>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</si>
  <si>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</si>
  <si>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</si>
  <si>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</si>
  <si>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</si>
  <si>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</si>
  <si>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</si>
  <si>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</si>
  <si>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</si>
  <si>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</si>
  <si>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</si>
  <si>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</si>
  <si>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</si>
  <si>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</si>
  <si>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</si>
  <si>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</si>
  <si>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</si>
  <si>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</si>
  <si>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</si>
  <si>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</si>
  <si>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</si>
  <si>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</si>
  <si>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</si>
  <si>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</si>
  <si>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</si>
  <si>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</si>
  <si>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</si>
  <si>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</si>
  <si>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</si>
  <si>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</si>
  <si>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</si>
  <si>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</si>
  <si>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</si>
  <si>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</si>
  <si>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</si>
  <si>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</si>
  <si>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</si>
  <si>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</si>
  <si>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</si>
  <si>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</si>
  <si>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</si>
  <si>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</si>
  <si>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</si>
  <si>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</si>
  <si>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</si>
  <si>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</si>
  <si>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</si>
  <si>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</si>
  <si>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</si>
  <si>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</si>
  <si>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</si>
  <si>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</si>
  <si>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</si>
  <si>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</si>
  <si>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</si>
  <si>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</si>
  <si>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</si>
  <si>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</si>
  <si>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</si>
  <si>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</si>
  <si>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</si>
  <si>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</si>
  <si>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</si>
  <si>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</si>
  <si>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</si>
  <si>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</si>
  <si>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</si>
  <si>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</si>
  <si>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</si>
  <si>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</si>
  <si>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</si>
  <si>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</si>
  <si>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</si>
  <si>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</si>
  <si>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</si>
  <si>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</si>
  <si>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</si>
  <si>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</si>
  <si>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</si>
  <si>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</si>
  <si>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</si>
  <si>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</si>
  <si>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</si>
  <si>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</si>
  <si>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</si>
  <si>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</si>
  <si>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</si>
  <si>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</si>
  <si>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</si>
  <si>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</si>
  <si>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</si>
  <si>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</si>
  <si>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</si>
  <si>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</si>
  <si>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</si>
  <si>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</si>
  <si>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</si>
  <si>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</si>
  <si>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</si>
  <si>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</si>
  <si>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</si>
  <si>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</si>
  <si>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</si>
  <si>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</si>
  <si>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</si>
  <si>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</si>
  <si>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</si>
  <si>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</si>
  <si>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</si>
  <si>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</si>
  <si>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</si>
  <si>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</si>
  <si>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</si>
  <si>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</si>
  <si>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</si>
  <si>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</si>
  <si>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</si>
  <si>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</si>
  <si>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</si>
  <si>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</si>
  <si>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</si>
  <si>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</si>
  <si>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</si>
  <si>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</si>
  <si>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</si>
  <si>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</si>
  <si>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</si>
  <si>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</si>
  <si>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</si>
  <si>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</si>
  <si>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</si>
  <si>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</si>
  <si>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</si>
  <si>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</si>
  <si>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</si>
  <si>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</si>
  <si>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</si>
  <si>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</si>
  <si>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</si>
  <si>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</si>
  <si>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</si>
  <si>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</si>
  <si>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</si>
  <si>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</si>
  <si>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</si>
  <si>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</si>
  <si>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</si>
  <si>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</si>
  <si>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</si>
  <si>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</si>
  <si>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</si>
  <si>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</si>
  <si>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</si>
  <si>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</si>
  <si>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</si>
  <si>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</si>
  <si>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</si>
  <si>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</si>
  <si>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</si>
  <si>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</si>
  <si>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</si>
  <si>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</si>
  <si>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</si>
  <si>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</si>
  <si>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</si>
  <si>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</si>
  <si>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</si>
  <si>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</si>
  <si>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</si>
  <si>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</si>
  <si>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</si>
  <si>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</si>
  <si>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</si>
  <si>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</si>
  <si>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</si>
  <si>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</si>
  <si>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</si>
  <si>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</si>
  <si>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</si>
  <si>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</si>
  <si>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</si>
  <si>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</si>
  <si>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</si>
  <si>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</si>
  <si>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</si>
  <si>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</si>
  <si>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</si>
  <si>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</si>
  <si>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</si>
  <si>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</si>
  <si>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</si>
  <si>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</si>
  <si>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</si>
  <si>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</si>
  <si>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</si>
  <si>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</si>
  <si>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</si>
  <si>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</si>
  <si>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</si>
  <si>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</si>
  <si>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</si>
  <si>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</si>
  <si>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</si>
  <si>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</si>
  <si>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</si>
  <si>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</si>
  <si>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</si>
  <si>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</si>
  <si>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</si>
  <si>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</si>
  <si>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</si>
  <si>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</si>
  <si>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</si>
  <si>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</si>
  <si>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</si>
  <si>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</si>
  <si>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</si>
  <si>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</si>
  <si>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</si>
  <si>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</si>
  <si>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</si>
  <si>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</si>
  <si>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</si>
  <si>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</si>
  <si>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</si>
  <si>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</si>
  <si>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</si>
  <si>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</si>
  <si>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</si>
  <si>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</si>
  <si>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</si>
  <si>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</si>
  <si>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</si>
  <si>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</si>
  <si>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</si>
  <si>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</si>
  <si>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</si>
  <si>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</si>
  <si>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</si>
  <si>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</si>
  <si>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</si>
  <si>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</si>
  <si>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</si>
  <si>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</si>
  <si>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</si>
  <si>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</si>
  <si>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</si>
  <si>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</si>
  <si>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</si>
  <si>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</si>
  <si>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</si>
  <si>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</si>
  <si>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</si>
  <si>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</si>
  <si>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</si>
  <si>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</si>
  <si>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</si>
  <si>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</si>
  <si>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</si>
  <si>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</si>
  <si>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</si>
  <si>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</si>
  <si>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</si>
  <si>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</si>
  <si>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</si>
  <si>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</si>
  <si>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</si>
  <si>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</si>
  <si>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</si>
  <si>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</si>
  <si>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</si>
  <si>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</si>
  <si>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</si>
  <si>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</si>
  <si>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</si>
  <si>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</si>
  <si>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</si>
  <si>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</si>
  <si>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</si>
  <si>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</si>
  <si>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</si>
  <si>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</si>
  <si>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</si>
  <si>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</si>
  <si>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</si>
  <si>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</si>
  <si>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</si>
  <si>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</si>
  <si>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</si>
  <si>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</si>
  <si>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</si>
  <si>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</si>
  <si>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</si>
  <si>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</si>
  <si>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</si>
  <si>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</si>
  <si>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</si>
  <si>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</si>
  <si>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</si>
  <si>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</si>
  <si>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</si>
  <si>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</si>
  <si>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</si>
  <si>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</si>
  <si>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</si>
  <si>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</si>
  <si>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</si>
  <si>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</si>
  <si>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</si>
  <si>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</si>
  <si>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</si>
  <si>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</si>
  <si>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</si>
  <si>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</si>
  <si>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</si>
  <si>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</si>
  <si>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</si>
  <si>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</si>
  <si>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</si>
  <si>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</si>
  <si>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</si>
  <si>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</si>
  <si>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</si>
  <si>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</si>
  <si>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</si>
  <si>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</si>
  <si>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</si>
  <si>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</si>
  <si>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</si>
  <si>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</si>
  <si>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</si>
  <si>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</si>
  <si>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</si>
  <si>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</si>
  <si>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</si>
  <si>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</si>
  <si>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</si>
  <si>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</si>
  <si>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</si>
  <si>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</si>
  <si>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</si>
  <si>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</si>
  <si>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</si>
  <si>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</si>
  <si>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</si>
  <si>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</si>
  <si>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</si>
  <si>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</si>
  <si>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</si>
  <si>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</si>
  <si>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</si>
  <si>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</si>
  <si>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</si>
  <si>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</si>
  <si>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</si>
  <si>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</si>
  <si>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</si>
  <si>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</si>
  <si>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</si>
  <si>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</si>
  <si>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</si>
  <si>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</si>
  <si>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</si>
  <si>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</si>
  <si>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</si>
  <si>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</si>
  <si>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</si>
  <si>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</si>
  <si>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</si>
  <si>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</si>
  <si>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</si>
  <si>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</si>
  <si>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</si>
  <si>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</si>
  <si>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</si>
  <si>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</si>
  <si>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</si>
  <si>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</si>
  <si>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</si>
  <si>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</si>
  <si>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</si>
  <si>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</si>
  <si>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</si>
  <si>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</si>
  <si>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</si>
  <si>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</si>
  <si>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</si>
  <si>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</si>
  <si>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</si>
  <si>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</si>
  <si>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</si>
  <si>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</si>
  <si>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</si>
  <si>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</si>
  <si>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</si>
  <si>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</si>
  <si>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</si>
  <si>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</si>
  <si>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</si>
  <si>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</si>
  <si>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</si>
  <si>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</si>
  <si>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</si>
  <si>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</si>
  <si>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</si>
  <si>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</si>
  <si>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</si>
  <si>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</si>
  <si>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</si>
  <si>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</si>
  <si>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</si>
  <si>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</si>
  <si>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</si>
  <si>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</si>
  <si>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</si>
  <si>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</si>
  <si>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</si>
  <si>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</si>
  <si>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</si>
  <si>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</si>
  <si>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</si>
  <si>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</si>
  <si>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</si>
  <si>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</si>
  <si>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</si>
  <si>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</si>
  <si>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</si>
  <si>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</si>
  <si>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</si>
  <si>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</si>
  <si>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</si>
  <si>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</si>
  <si>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</si>
  <si>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</si>
  <si>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</si>
  <si>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</si>
  <si>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</si>
  <si>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</si>
  <si>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</si>
  <si>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</si>
  <si>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</si>
  <si>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</si>
  <si>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</si>
  <si>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</si>
  <si>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</si>
  <si>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</si>
  <si>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</si>
  <si>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</si>
  <si>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</si>
  <si>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</si>
  <si>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</si>
  <si>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</si>
  <si>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</si>
  <si>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</si>
  <si>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</si>
  <si>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</si>
  <si>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</si>
  <si>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</si>
  <si>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</si>
  <si>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</si>
  <si>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</si>
  <si>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</si>
  <si>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</si>
  <si>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</si>
  <si>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</si>
  <si>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</si>
  <si>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</si>
  <si>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</si>
  <si>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</si>
  <si>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</si>
  <si>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</si>
  <si>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</si>
  <si>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</si>
  <si>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</si>
  <si>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</si>
  <si>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</si>
  <si>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</si>
  <si>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</si>
  <si>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</si>
  <si>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</si>
  <si>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</si>
  <si>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</si>
  <si>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</si>
  <si>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</si>
  <si>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</si>
  <si>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</si>
  <si>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</si>
  <si>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</si>
  <si>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</si>
  <si>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</si>
  <si>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</si>
  <si>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</si>
  <si>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</si>
  <si>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</si>
  <si>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</si>
  <si>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</si>
  <si>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</si>
  <si>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</si>
  <si>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</si>
  <si>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</si>
  <si>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</si>
  <si>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</si>
  <si>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</si>
  <si>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</si>
  <si>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</si>
  <si>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</si>
  <si>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</si>
  <si>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</si>
  <si>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</si>
  <si>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</si>
  <si>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</si>
  <si>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</si>
  <si>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</si>
  <si>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</si>
  <si>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</si>
  <si>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</si>
  <si>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</si>
  <si>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</si>
  <si>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</si>
  <si>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</si>
  <si>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</si>
  <si>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</si>
  <si>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</si>
  <si>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</si>
  <si>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</si>
  <si>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</si>
  <si>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</si>
  <si>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</si>
  <si>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</si>
  <si>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</si>
  <si>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</si>
  <si>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</si>
  <si>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</si>
  <si>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</si>
  <si>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</si>
  <si>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</si>
  <si>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</si>
  <si>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</si>
  <si>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</si>
  <si>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</si>
  <si>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</si>
  <si>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</si>
  <si>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</si>
  <si>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</si>
  <si>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</si>
  <si>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</si>
  <si>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</si>
  <si>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</si>
  <si>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</si>
  <si>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</si>
  <si>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</si>
  <si>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</si>
  <si>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</si>
  <si>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</si>
  <si>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</si>
  <si>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</si>
  <si>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</si>
  <si>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</si>
  <si>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</si>
  <si>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</si>
  <si>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</si>
  <si>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</si>
  <si>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</si>
  <si>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</si>
  <si>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</si>
  <si>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</si>
  <si>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</si>
  <si>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</si>
  <si>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</si>
  <si>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</si>
  <si>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</si>
  <si>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</si>
  <si>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</si>
  <si>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</si>
  <si>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</si>
  <si>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</si>
  <si>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</si>
  <si>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</si>
  <si>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</si>
  <si>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</si>
  <si>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</si>
  <si>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</si>
  <si>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</si>
  <si>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</si>
  <si>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</si>
  <si>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</si>
  <si>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</si>
  <si>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</si>
  <si>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</si>
  <si>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</si>
  <si>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</si>
  <si>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</si>
  <si>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</si>
  <si>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</si>
  <si>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</si>
  <si>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</si>
  <si>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</si>
  <si>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</si>
  <si>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</si>
  <si>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</si>
  <si>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</si>
  <si>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</si>
  <si>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</si>
  <si>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</si>
  <si>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</si>
  <si>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</si>
  <si>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</si>
  <si>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</si>
  <si>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</si>
  <si>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</si>
  <si>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</si>
  <si>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</si>
  <si>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</si>
  <si>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</si>
  <si>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</si>
  <si>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</si>
  <si>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</si>
  <si>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</si>
  <si>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</si>
  <si>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</si>
  <si>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</si>
  <si>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</si>
  <si>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</si>
  <si>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</si>
  <si>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</si>
  <si>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</si>
  <si>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</si>
  <si>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</si>
  <si>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</si>
  <si>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</si>
  <si>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</si>
  <si>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</si>
  <si>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</si>
  <si>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</si>
  <si>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</si>
  <si>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</si>
  <si>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</si>
  <si>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</si>
  <si>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</si>
  <si>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</si>
  <si>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</si>
  <si>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</si>
  <si>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</si>
  <si>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</si>
  <si>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</si>
  <si>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</si>
  <si>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</si>
  <si>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</si>
  <si>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</si>
  <si>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</si>
  <si>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</si>
  <si>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</si>
  <si>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</si>
  <si>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</si>
  <si>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</si>
  <si>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</si>
  <si>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</si>
  <si>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</si>
  <si>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</si>
  <si>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</si>
  <si>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</si>
  <si>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</si>
  <si>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</si>
  <si>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</si>
  <si>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</si>
  <si>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</si>
  <si>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</si>
  <si>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</si>
  <si>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</si>
  <si>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</si>
  <si>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</si>
  <si>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</si>
  <si>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</si>
  <si>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</si>
  <si>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</si>
  <si>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</si>
  <si>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</si>
  <si>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</si>
  <si>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</si>
  <si>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</si>
  <si>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</si>
  <si>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</si>
  <si>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</si>
  <si>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</si>
  <si>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</si>
  <si>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</si>
  <si>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</si>
  <si>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</si>
  <si>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</si>
  <si>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</si>
  <si>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</si>
  <si>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</si>
  <si>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</si>
  <si>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</si>
  <si>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</si>
  <si>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</si>
  <si>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</si>
  <si>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</si>
  <si>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</si>
  <si>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</si>
  <si>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</si>
  <si>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</si>
  <si>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</si>
  <si>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</si>
  <si>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</si>
  <si>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</si>
  <si>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</si>
  <si>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</si>
  <si>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</si>
  <si>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</si>
  <si>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</si>
  <si>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</si>
  <si>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</si>
  <si>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</si>
  <si>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</si>
  <si>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</si>
  <si>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</si>
  <si>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</si>
  <si>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</si>
  <si>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</si>
  <si>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</si>
  <si>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</si>
  <si>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</si>
  <si>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</si>
  <si>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</si>
  <si>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</si>
  <si>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</si>
  <si>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</si>
  <si>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</si>
  <si>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</si>
  <si>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</si>
  <si>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</si>
  <si>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</si>
  <si>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</si>
  <si>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</si>
  <si>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</si>
  <si>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</si>
  <si>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</si>
  <si>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</si>
  <si>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</si>
  <si>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</si>
  <si>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</si>
  <si>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</si>
  <si>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</si>
  <si>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</si>
  <si>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</si>
  <si>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</si>
  <si>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</si>
  <si>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</si>
  <si>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</si>
  <si>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</si>
  <si>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</si>
  <si>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</si>
  <si>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</si>
  <si>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</si>
  <si>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</si>
  <si>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</si>
  <si>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</si>
  <si>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</si>
  <si>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</si>
  <si>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</si>
  <si>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</si>
  <si>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</si>
  <si>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</si>
  <si>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</si>
  <si>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</si>
  <si>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</si>
  <si>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</si>
  <si>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</si>
  <si>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</si>
  <si>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</si>
  <si>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</si>
  <si>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</si>
  <si>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</si>
  <si>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</si>
  <si>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</si>
  <si>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</si>
  <si>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</si>
  <si>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</si>
  <si>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</si>
  <si>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</si>
  <si>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</si>
  <si>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</si>
  <si>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</si>
  <si>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</si>
  <si>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</si>
  <si>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</si>
  <si>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</si>
  <si>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</si>
  <si>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</si>
  <si>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</si>
  <si>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</si>
  <si>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</si>
  <si>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</si>
  <si>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</si>
  <si>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</si>
  <si>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</si>
  <si>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</si>
  <si>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</si>
  <si>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</si>
  <si>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</si>
  <si>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</si>
  <si>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</si>
  <si>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</si>
  <si>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</si>
  <si>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</si>
  <si>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</si>
  <si>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</si>
  <si>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</si>
  <si>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</si>
  <si>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</si>
  <si>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</si>
  <si>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</si>
  <si>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</si>
  <si>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</si>
  <si>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</si>
  <si>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</si>
  <si>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</si>
  <si>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</si>
  <si>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</si>
  <si>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</si>
  <si>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</si>
  <si>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</si>
  <si>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</si>
  <si>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</si>
  <si>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</si>
  <si>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</si>
  <si>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</si>
  <si>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</si>
  <si>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</si>
  <si>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</si>
  <si>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</si>
  <si>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</si>
  <si>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</si>
  <si>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</si>
  <si>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</si>
  <si>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</si>
  <si>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</si>
  <si>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</si>
  <si>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</si>
  <si>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</si>
  <si>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</si>
  <si>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</si>
  <si>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</si>
  <si>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</si>
  <si>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</si>
  <si>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</si>
  <si>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</si>
  <si>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</si>
  <si>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</si>
  <si>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</si>
  <si>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</si>
  <si>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</si>
  <si>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</si>
  <si>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</si>
  <si>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</si>
  <si>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</si>
  <si>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</si>
  <si>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</si>
  <si>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</si>
  <si>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</si>
  <si>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</si>
  <si>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</si>
  <si>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</si>
  <si>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</si>
  <si>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</si>
  <si>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</si>
  <si>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</si>
  <si>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</si>
  <si>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</si>
  <si>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</si>
  <si>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</si>
  <si>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</si>
  <si>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</si>
  <si>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</si>
  <si>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</si>
  <si>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</si>
  <si>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</si>
  <si>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</si>
  <si>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</si>
  <si>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</si>
  <si>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</si>
  <si>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</si>
  <si>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</si>
  <si>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</si>
  <si>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</si>
  <si>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</si>
  <si>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</si>
  <si>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</si>
  <si>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</si>
  <si>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</si>
  <si>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</si>
  <si>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</si>
  <si>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</si>
  <si>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</si>
  <si>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</si>
  <si>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</si>
  <si>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</si>
  <si>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</si>
  <si>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</si>
  <si>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</si>
  <si>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</si>
  <si>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</si>
  <si>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</si>
  <si>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</si>
  <si>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</si>
  <si>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</si>
  <si>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</si>
  <si>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</si>
  <si>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</si>
  <si>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</si>
  <si>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</si>
  <si>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</si>
  <si>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</si>
  <si>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</si>
  <si>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</si>
  <si>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</si>
  <si>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</si>
  <si>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</si>
  <si>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</si>
  <si>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</si>
  <si>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</si>
  <si>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</si>
  <si>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</si>
  <si>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</si>
  <si>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</si>
  <si>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</si>
  <si>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</si>
  <si>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</si>
  <si>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</si>
  <si>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</si>
  <si>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</si>
  <si>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</si>
  <si>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</si>
  <si>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</si>
  <si>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</si>
  <si>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</si>
  <si>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</si>
  <si>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</si>
  <si>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</si>
  <si>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</si>
  <si>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</si>
  <si>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</si>
  <si>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</si>
  <si>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</si>
  <si>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</si>
  <si>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</si>
  <si>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</si>
  <si>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</si>
  <si>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</si>
  <si>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</si>
  <si>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</si>
  <si>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</si>
  <si>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</si>
  <si>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</si>
  <si>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</si>
  <si>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</si>
  <si>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</si>
  <si>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</si>
  <si>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</si>
  <si>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</si>
  <si>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</si>
  <si>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</si>
  <si>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</si>
  <si>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</si>
  <si>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</si>
  <si>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</si>
  <si>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</si>
  <si>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</si>
  <si>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</si>
  <si>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</si>
  <si>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</si>
  <si>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</si>
  <si>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</si>
  <si>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</si>
  <si>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</si>
  <si>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</si>
  <si>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</si>
  <si>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</si>
  <si>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</si>
  <si>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</si>
  <si>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</si>
  <si>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</si>
  <si>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</si>
  <si>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</si>
  <si>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</si>
  <si>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</si>
  <si>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</si>
  <si>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</si>
  <si>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</si>
  <si>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</si>
  <si>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</si>
  <si>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</si>
  <si>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</si>
  <si>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</si>
  <si>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</si>
  <si>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</si>
  <si>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</si>
  <si>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</si>
  <si>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</si>
  <si>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</si>
  <si>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</si>
  <si>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</si>
  <si>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</si>
  <si>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</si>
  <si>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</si>
  <si>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</si>
  <si>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</si>
  <si>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</si>
  <si>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</si>
  <si>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</si>
  <si>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</si>
  <si>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</si>
  <si>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</si>
  <si>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</si>
  <si>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</si>
  <si>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</si>
  <si>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</si>
  <si>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</si>
  <si>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</si>
  <si>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</si>
  <si>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</si>
  <si>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</si>
  <si>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</si>
  <si>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</si>
  <si>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</si>
  <si>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</si>
  <si>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</si>
  <si>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</si>
  <si>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</si>
  <si>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</si>
  <si>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</si>
  <si>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</si>
  <si>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</si>
  <si>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</si>
  <si>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</si>
  <si>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</si>
  <si>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</si>
  <si>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</si>
  <si>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</si>
  <si>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</si>
  <si>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</si>
  <si>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</si>
  <si>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</si>
  <si>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</si>
  <si>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</si>
  <si>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</si>
  <si>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</si>
  <si>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</si>
  <si>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</si>
  <si>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</si>
  <si>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</si>
  <si>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</si>
  <si>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</si>
  <si>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</si>
  <si>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</si>
  <si>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</si>
  <si>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</si>
  <si>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</si>
  <si>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</si>
  <si>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</si>
  <si>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</si>
  <si>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</si>
  <si>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</si>
  <si>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</si>
  <si>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</si>
  <si>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</si>
  <si>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</si>
  <si>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</si>
  <si>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</si>
  <si>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</si>
  <si>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</si>
  <si>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</si>
  <si>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</si>
  <si>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</si>
  <si>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</si>
  <si>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</si>
  <si>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</si>
  <si>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</si>
  <si>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</si>
  <si>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</si>
  <si>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</si>
  <si>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</si>
  <si>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</si>
  <si>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</si>
  <si>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</si>
  <si>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</si>
  <si>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</si>
  <si>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</si>
  <si>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</si>
  <si>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</si>
  <si>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</si>
  <si>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</si>
  <si>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</si>
  <si>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</si>
  <si>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</si>
  <si>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</si>
  <si>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</si>
  <si>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</si>
  <si>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</si>
  <si>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</si>
  <si>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</si>
  <si>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</si>
  <si>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</si>
  <si>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</si>
  <si>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</si>
  <si>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</si>
  <si>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</si>
  <si>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</si>
  <si>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</si>
  <si>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</si>
  <si>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</si>
  <si>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</si>
  <si>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</si>
  <si>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</si>
  <si>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</si>
  <si>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</si>
  <si>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</si>
  <si>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</si>
  <si>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</si>
  <si>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</si>
  <si>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</si>
  <si>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</si>
  <si>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</si>
  <si>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</si>
  <si>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</si>
  <si>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</si>
  <si>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</si>
  <si>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</si>
  <si>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</si>
  <si>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</si>
  <si>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</si>
  <si>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</si>
  <si>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</si>
  <si>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</si>
  <si>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</si>
  <si>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</si>
  <si>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</si>
  <si>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</si>
  <si>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</si>
  <si>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</si>
  <si>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</si>
  <si>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</si>
  <si>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</si>
  <si>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</si>
  <si>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</si>
  <si>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</si>
  <si>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</si>
  <si>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</si>
  <si>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</si>
  <si>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</si>
  <si>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</si>
  <si>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</si>
  <si>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</si>
  <si>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</si>
  <si>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</si>
  <si>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</si>
  <si>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</si>
  <si>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</si>
  <si>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</si>
  <si>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</si>
  <si>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</si>
  <si>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</si>
  <si>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</si>
  <si>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</si>
  <si>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</si>
  <si>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</si>
  <si>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</si>
  <si>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</si>
  <si>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</si>
  <si>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</si>
  <si>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</si>
  <si>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</si>
  <si>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</si>
  <si>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</si>
  <si>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</si>
  <si>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</si>
  <si>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</si>
  <si>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</si>
  <si>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</si>
  <si>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</si>
  <si>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</si>
  <si>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</si>
  <si>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</si>
  <si>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</si>
  <si>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</si>
  <si>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</si>
  <si>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</si>
  <si>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</si>
  <si>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</si>
  <si>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</si>
  <si>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</si>
  <si>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</si>
  <si>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</si>
  <si>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</si>
  <si>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</si>
  <si>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</si>
  <si>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</si>
  <si>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</si>
  <si>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</si>
  <si>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</si>
  <si>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</si>
  <si>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</si>
  <si>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</si>
  <si>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</si>
  <si>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</si>
  <si>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</si>
  <si>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</si>
  <si>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</si>
  <si>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</si>
  <si>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</si>
  <si>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</si>
  <si>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</si>
  <si>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</si>
  <si>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</si>
  <si>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</si>
  <si>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</si>
  <si>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</si>
  <si>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</si>
  <si>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</si>
  <si>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</si>
  <si>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</si>
  <si>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</si>
  <si>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</si>
  <si>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</si>
  <si>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</si>
  <si>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</si>
  <si>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</si>
  <si>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</si>
  <si>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</si>
  <si>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</si>
  <si>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</si>
  <si>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</si>
  <si>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</si>
  <si>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</si>
  <si>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</si>
  <si>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</si>
  <si>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</si>
  <si>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</si>
  <si>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</si>
  <si>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</si>
  <si>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</si>
  <si>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</si>
  <si>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</si>
  <si>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</si>
  <si>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</si>
  <si>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</si>
  <si>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</si>
  <si>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</si>
  <si>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</si>
  <si>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</si>
  <si>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</si>
  <si>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</si>
  <si>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</si>
  <si>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</si>
  <si>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</si>
  <si>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</si>
  <si>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</si>
  <si>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</si>
  <si>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</si>
  <si>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</si>
  <si>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</si>
  <si>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</si>
  <si>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</si>
  <si>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</si>
  <si>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</si>
  <si>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</si>
  <si>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</si>
  <si>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</si>
  <si>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</si>
  <si>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</si>
  <si>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</si>
  <si>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</si>
  <si>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</si>
  <si>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</si>
  <si>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</si>
  <si>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</si>
  <si>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</si>
  <si>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</si>
  <si>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</si>
  <si>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</si>
  <si>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</si>
  <si>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</si>
  <si>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</si>
  <si>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</si>
  <si>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</si>
  <si>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</si>
  <si>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</si>
  <si>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</si>
  <si>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</si>
  <si>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</si>
  <si>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</si>
  <si>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</si>
  <si>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</si>
  <si>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</si>
  <si>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</si>
  <si>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</si>
  <si>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</si>
  <si>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</si>
  <si>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</si>
  <si>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</si>
  <si>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</si>
  <si>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</si>
  <si>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</si>
  <si>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</si>
  <si>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</si>
  <si>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</si>
  <si>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</si>
  <si>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</si>
  <si>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</si>
  <si>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</si>
  <si>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</si>
  <si>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</si>
  <si>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</si>
  <si>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</si>
  <si>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</si>
  <si>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</si>
  <si>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</si>
  <si>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</si>
  <si>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</si>
  <si>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</si>
  <si>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</si>
  <si>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</si>
  <si>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</si>
  <si>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</si>
  <si>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</si>
  <si>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</si>
  <si>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</si>
  <si>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</si>
  <si>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</si>
  <si>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</si>
  <si>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</si>
  <si>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</si>
  <si>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</si>
  <si>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</si>
  <si>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</si>
  <si>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</si>
  <si>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</si>
  <si>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</si>
  <si>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</si>
  <si>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</si>
  <si>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</si>
  <si>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</si>
  <si>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</si>
  <si>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</si>
  <si>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</si>
  <si>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</si>
  <si>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</si>
  <si>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</si>
  <si>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</si>
  <si>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</si>
  <si>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</si>
  <si>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</si>
  <si>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</si>
  <si>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</si>
  <si>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</si>
  <si>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</si>
  <si>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</si>
  <si>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</si>
  <si>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</si>
  <si>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</si>
  <si>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</si>
  <si>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</si>
  <si>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</si>
  <si>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</si>
  <si>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</si>
  <si>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</si>
  <si>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</si>
  <si>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</si>
  <si>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</si>
  <si>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</si>
  <si>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</si>
  <si>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</si>
  <si>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</si>
  <si>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</si>
  <si>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</si>
  <si>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</si>
  <si>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</si>
  <si>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</si>
  <si>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</si>
  <si>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</si>
  <si>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</si>
  <si>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</si>
  <si>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</si>
  <si>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</si>
  <si>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</si>
  <si>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</si>
  <si>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</si>
  <si>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</si>
  <si>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</si>
  <si>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</si>
  <si>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</si>
  <si>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</si>
  <si>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</si>
  <si>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</si>
  <si>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</si>
  <si>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</si>
  <si>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</si>
  <si>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</si>
  <si>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</si>
  <si>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</si>
  <si>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</si>
  <si>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</si>
  <si>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</si>
  <si>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</si>
  <si>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</si>
  <si>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</si>
  <si>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</si>
  <si>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</si>
  <si>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</si>
  <si>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</si>
  <si>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</si>
  <si>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</si>
  <si>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</si>
  <si>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</si>
  <si>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</si>
  <si>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</si>
  <si>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</si>
  <si>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</si>
  <si>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</si>
  <si>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</si>
  <si>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</si>
  <si>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</si>
  <si>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</si>
  <si>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</si>
  <si>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</si>
  <si>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</si>
  <si>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</si>
  <si>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</si>
  <si>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</si>
  <si>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</si>
  <si>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</si>
  <si>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</si>
  <si>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</si>
  <si>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</si>
  <si>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</si>
  <si>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</si>
  <si>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</si>
  <si>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</si>
  <si>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</si>
  <si>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</si>
  <si>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</si>
  <si>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</si>
  <si>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</si>
  <si>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</si>
  <si>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</si>
  <si>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</si>
  <si>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</si>
  <si>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</si>
  <si>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</si>
  <si>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</si>
  <si>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</si>
  <si>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</si>
  <si>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</si>
  <si>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</si>
  <si>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</si>
  <si>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</si>
  <si>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</si>
  <si>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</si>
  <si>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</si>
  <si>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</si>
  <si>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</si>
  <si>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</si>
  <si>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</si>
  <si>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</si>
  <si>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</si>
  <si>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</si>
  <si>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</si>
  <si>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</si>
  <si>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</si>
  <si>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</si>
  <si>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</si>
  <si>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</si>
  <si>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</si>
  <si>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</si>
  <si>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</si>
  <si>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</si>
  <si>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</si>
  <si>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</si>
  <si>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</si>
  <si>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</si>
  <si>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</si>
  <si>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</si>
  <si>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</si>
  <si>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</si>
  <si>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</si>
  <si>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</si>
  <si>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</si>
  <si>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</si>
  <si>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</si>
  <si>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</si>
  <si>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</si>
  <si>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</si>
  <si>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</si>
  <si>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</si>
  <si>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</si>
  <si>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</si>
  <si>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</si>
  <si>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</si>
  <si>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</si>
  <si>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</si>
  <si>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</si>
  <si>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</si>
  <si>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</si>
  <si>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</si>
  <si>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</si>
  <si>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</si>
  <si>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</si>
  <si>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</si>
  <si>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</si>
  <si>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</si>
  <si>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</si>
  <si>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</si>
  <si>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</si>
  <si>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</si>
  <si>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</si>
  <si>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</si>
  <si>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</si>
  <si>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</si>
  <si>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</si>
  <si>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</si>
  <si>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</si>
  <si>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</si>
  <si>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</si>
  <si>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</si>
  <si>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</si>
  <si>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</si>
  <si>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</si>
  <si>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</si>
  <si>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</si>
  <si>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</si>
  <si>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</si>
  <si>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</si>
  <si>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</si>
  <si>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</si>
  <si>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</si>
  <si>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</si>
  <si>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</si>
  <si>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</si>
  <si>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</si>
  <si>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</si>
  <si>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</si>
  <si>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</si>
  <si>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</si>
  <si>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</si>
  <si>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</si>
  <si>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</si>
  <si>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</si>
  <si>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</si>
  <si>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</si>
  <si>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</si>
  <si>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</si>
  <si>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</si>
  <si>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</si>
  <si>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</si>
  <si>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</si>
  <si>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</si>
  <si>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</si>
  <si>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</si>
  <si>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</si>
  <si>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</si>
  <si>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</si>
  <si>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</si>
  <si>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</si>
  <si>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</si>
  <si>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</si>
  <si>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</si>
  <si>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</si>
  <si>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</si>
  <si>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</si>
  <si>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</si>
  <si>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</si>
  <si>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</si>
  <si>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</si>
  <si>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</si>
  <si>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</si>
  <si>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</si>
  <si>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</si>
  <si>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</si>
  <si>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</si>
  <si>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</si>
  <si>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</si>
  <si>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</si>
  <si>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</si>
  <si>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</si>
  <si>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</si>
  <si>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</si>
  <si>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</si>
  <si>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</si>
  <si>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</si>
  <si>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</si>
  <si>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</si>
  <si>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</si>
  <si>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</si>
  <si>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</si>
  <si>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</si>
  <si>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</si>
  <si>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</si>
  <si>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</si>
  <si>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</si>
  <si>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</si>
  <si>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</si>
  <si>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</si>
  <si>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</si>
  <si>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</si>
  <si>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</si>
  <si>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</si>
  <si>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</si>
  <si>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</si>
  <si>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</si>
  <si>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</si>
  <si>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</si>
  <si>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</si>
  <si>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</si>
  <si>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</si>
  <si>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</si>
  <si>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</si>
  <si>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</si>
  <si>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</si>
  <si>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</si>
  <si>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</si>
  <si>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</si>
  <si>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</si>
  <si>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</si>
  <si>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</si>
  <si>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</si>
  <si>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</si>
  <si>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</si>
  <si>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</si>
  <si>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</si>
  <si>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</si>
  <si>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</si>
  <si>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</si>
  <si>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</si>
  <si>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</si>
  <si>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</si>
  <si>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</si>
  <si>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</si>
  <si>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</si>
  <si>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</si>
  <si>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</si>
  <si>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</si>
  <si>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</si>
  <si>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</si>
  <si>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</si>
  <si>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</si>
  <si>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</si>
  <si>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</si>
  <si>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</si>
  <si>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</si>
  <si>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</si>
  <si>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</si>
  <si>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</si>
  <si>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</si>
  <si>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</si>
  <si>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</si>
  <si>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</si>
  <si>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</si>
  <si>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</si>
  <si>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</si>
  <si>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</si>
  <si>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</si>
  <si>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</si>
  <si>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</si>
  <si>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</si>
  <si>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</si>
  <si>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</si>
  <si>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</si>
  <si>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</si>
  <si>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</si>
  <si>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</si>
  <si>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</si>
  <si>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</si>
  <si>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</si>
  <si>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</si>
  <si>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</si>
  <si>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</si>
  <si>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</si>
  <si>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</si>
  <si>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</si>
  <si>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</si>
  <si>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</si>
  <si>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</si>
  <si>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</si>
  <si>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</si>
  <si>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</si>
  <si>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</si>
  <si>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</si>
  <si>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</si>
  <si>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</si>
  <si>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</si>
  <si>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</si>
  <si>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</si>
  <si>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</si>
  <si>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</si>
  <si>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</si>
  <si>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</si>
  <si>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</si>
  <si>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</si>
  <si>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</si>
  <si>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</si>
  <si>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</si>
  <si>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</si>
  <si>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</si>
  <si>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</si>
  <si>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</si>
  <si>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</si>
  <si>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</si>
  <si>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</si>
  <si>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</si>
  <si>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</si>
  <si>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</si>
  <si>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</si>
  <si>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</si>
  <si>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</si>
  <si>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</si>
  <si>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</si>
  <si>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</si>
  <si>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</si>
  <si>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</si>
  <si>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</si>
  <si>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</si>
  <si>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</si>
  <si>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</si>
  <si>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</si>
  <si>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</si>
  <si>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</si>
  <si>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</si>
  <si>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</si>
  <si>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</si>
  <si>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</si>
  <si>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</si>
  <si>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</si>
  <si>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</si>
  <si>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</si>
  <si>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</si>
  <si>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</si>
  <si>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</si>
  <si>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</si>
  <si>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</si>
  <si>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</si>
  <si>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</si>
  <si>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</si>
  <si>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</si>
  <si>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</si>
  <si>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</si>
  <si>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</si>
  <si>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</si>
  <si>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</si>
  <si>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</si>
  <si>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</si>
  <si>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</si>
  <si>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</si>
  <si>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</si>
  <si>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</si>
  <si>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</si>
  <si>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</si>
  <si>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</si>
  <si>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</si>
  <si>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</si>
  <si>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</si>
  <si>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</si>
  <si>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</si>
  <si>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</si>
  <si>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</si>
  <si>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</si>
  <si>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</si>
  <si>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</si>
  <si>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</si>
  <si>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</si>
  <si>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</si>
  <si>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</si>
  <si>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</si>
  <si>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</si>
  <si>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</si>
  <si>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</si>
  <si>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</si>
  <si>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</si>
  <si>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</si>
  <si>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</si>
  <si>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</si>
  <si>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</si>
  <si>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</si>
  <si>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</si>
  <si>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</si>
  <si>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</si>
  <si>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</si>
  <si>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</si>
  <si>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</si>
  <si>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</si>
  <si>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</si>
  <si>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</si>
  <si>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</si>
  <si>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</si>
  <si>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</si>
  <si>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</si>
  <si>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</si>
  <si>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</si>
  <si>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</si>
  <si>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</si>
  <si>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</si>
  <si>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</si>
  <si>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</si>
  <si>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</si>
  <si>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</si>
  <si>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</si>
  <si>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</si>
  <si>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</si>
  <si>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</si>
  <si>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</si>
  <si>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</si>
  <si>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</si>
  <si>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</si>
  <si>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</si>
  <si>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</si>
  <si>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</si>
  <si>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</si>
  <si>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</si>
  <si>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</si>
  <si>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</si>
  <si>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</si>
  <si>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</si>
  <si>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</si>
  <si>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</si>
  <si>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</si>
  <si>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</si>
  <si>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</si>
  <si>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</si>
  <si>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</si>
  <si>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</si>
  <si>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</si>
  <si>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</si>
  <si>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</si>
  <si>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</si>
  <si>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</si>
  <si>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</si>
  <si>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</si>
  <si>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</si>
  <si>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</si>
  <si>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</si>
  <si>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</si>
  <si>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</si>
  <si>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</si>
  <si>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</si>
  <si>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</si>
  <si>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</si>
  <si>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</si>
  <si>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</si>
  <si>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</si>
  <si>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</si>
  <si>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</si>
  <si>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</si>
  <si>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</si>
  <si>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</si>
  <si>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</si>
  <si>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</si>
  <si>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</si>
  <si>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</si>
  <si>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</si>
  <si>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</si>
  <si>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</si>
  <si>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</si>
  <si>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</si>
  <si>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</si>
  <si>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</si>
  <si>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</si>
  <si>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</si>
  <si>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</si>
  <si>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</si>
  <si>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</si>
  <si>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</si>
  <si>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</si>
  <si>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</si>
  <si>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</si>
  <si>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</si>
  <si>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</si>
  <si>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</si>
  <si>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</si>
  <si>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</si>
  <si>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</si>
  <si>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</si>
  <si>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</si>
  <si>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</si>
  <si>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</si>
  <si>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</si>
  <si>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</si>
  <si>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</si>
  <si>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</si>
  <si>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</si>
  <si>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</si>
  <si>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</si>
  <si>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</si>
  <si>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</si>
  <si>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</si>
  <si>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</si>
  <si>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</si>
  <si>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</si>
  <si>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</si>
  <si>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</si>
  <si>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</si>
  <si>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</si>
  <si>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</si>
  <si>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</si>
  <si>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</si>
  <si>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</si>
  <si>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</si>
  <si>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</si>
  <si>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</si>
  <si>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</si>
  <si>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</si>
  <si>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</si>
  <si>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</si>
  <si>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</si>
  <si>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</si>
  <si>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</si>
  <si>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</si>
  <si>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</si>
  <si>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</si>
  <si>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</si>
  <si>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</si>
  <si>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</si>
  <si>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</si>
  <si>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</si>
  <si>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</si>
  <si>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</si>
  <si>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</si>
  <si>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</si>
  <si>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</si>
  <si>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</si>
  <si>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</si>
  <si>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</si>
  <si>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</si>
  <si>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</si>
  <si>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</si>
  <si>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</si>
  <si>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</si>
  <si>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</si>
  <si>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</si>
  <si>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</si>
  <si>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</si>
  <si>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</si>
  <si>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</si>
  <si>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</si>
  <si>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</si>
  <si>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</si>
  <si>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</si>
  <si>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</si>
  <si>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</si>
  <si>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</si>
  <si>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</si>
  <si>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</si>
  <si>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</si>
  <si>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</si>
  <si>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</si>
  <si>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</si>
  <si>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</si>
  <si>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</si>
  <si>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</si>
  <si>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</si>
  <si>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</si>
  <si>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</si>
  <si>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</si>
  <si>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</si>
  <si>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</si>
  <si>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</si>
  <si>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</si>
  <si>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</si>
  <si>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</si>
  <si>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</si>
  <si>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</si>
  <si>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</si>
  <si>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</si>
  <si>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</si>
  <si>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</si>
  <si>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</si>
  <si>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</si>
  <si>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</si>
  <si>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</si>
  <si>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</si>
  <si>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</si>
  <si>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</si>
  <si>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</si>
  <si>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</si>
  <si>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</si>
  <si>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</si>
  <si>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</si>
  <si>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</si>
  <si>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</si>
  <si>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</si>
  <si>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</si>
  <si>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</si>
  <si>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</si>
  <si>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</si>
  <si>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</si>
  <si>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</si>
  <si>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</si>
  <si>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</si>
  <si>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</si>
  <si>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</si>
  <si>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</si>
  <si>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</si>
  <si>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</si>
  <si>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</si>
  <si>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</si>
  <si>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</si>
  <si>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</si>
  <si>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</si>
  <si>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</si>
  <si>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</si>
  <si>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</si>
  <si>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</si>
  <si>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</si>
  <si>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</si>
  <si>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</si>
  <si>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</si>
  <si>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</si>
  <si>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</si>
  <si>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</si>
  <si>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</si>
  <si>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</si>
  <si>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</si>
  <si>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</si>
  <si>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</si>
  <si>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</si>
  <si>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</si>
  <si>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</si>
  <si>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</si>
  <si>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</si>
  <si>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</si>
  <si>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</si>
  <si>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</si>
  <si>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</si>
  <si>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</si>
  <si>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</si>
  <si>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</si>
  <si>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</si>
  <si>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</si>
  <si>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</si>
  <si>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</si>
  <si>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</si>
  <si>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</si>
  <si>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</si>
  <si>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</si>
  <si>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</si>
  <si>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</si>
  <si>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</si>
  <si>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</si>
  <si>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</si>
  <si>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</si>
  <si>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</si>
  <si>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</si>
  <si>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</si>
  <si>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</si>
  <si>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</si>
  <si>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</si>
  <si>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</si>
  <si>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</si>
  <si>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</si>
  <si>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</si>
  <si>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</si>
  <si>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</si>
  <si>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</si>
  <si>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</si>
  <si>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</si>
  <si>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</si>
  <si>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</si>
  <si>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</si>
  <si>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</si>
  <si>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</si>
  <si>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</si>
  <si>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</si>
  <si>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</si>
  <si>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</si>
  <si>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</si>
  <si>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</si>
  <si>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</si>
  <si>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</si>
  <si>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</si>
  <si>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</si>
  <si>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</si>
  <si>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</si>
  <si>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</si>
  <si>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</si>
  <si>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</si>
  <si>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</si>
  <si>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</si>
  <si>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</si>
  <si>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</si>
  <si>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</si>
  <si>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</si>
  <si>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</si>
  <si>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</si>
  <si>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</si>
  <si>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</si>
  <si>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</si>
  <si>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</si>
  <si>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</si>
  <si>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</si>
  <si>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</si>
  <si>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</si>
  <si>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</si>
  <si>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</si>
  <si>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</si>
  <si>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</si>
  <si>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</si>
  <si>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</si>
  <si>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</si>
  <si>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</si>
  <si>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</si>
  <si>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</si>
  <si>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</si>
  <si>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</si>
  <si>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</si>
  <si>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</si>
  <si>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</si>
  <si>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</si>
  <si>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</si>
  <si>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</si>
  <si>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</si>
  <si>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</si>
  <si>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</si>
  <si>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</si>
  <si>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</si>
  <si>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</si>
  <si>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</si>
  <si>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</si>
  <si>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</si>
  <si>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</si>
  <si>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</si>
  <si>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</si>
  <si>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</si>
  <si>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</si>
  <si>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</si>
  <si>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</si>
  <si>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</si>
  <si>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</si>
  <si>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</si>
  <si>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</si>
  <si>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</si>
  <si>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</si>
  <si>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</si>
  <si>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</si>
  <si>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</si>
  <si>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</si>
  <si>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</si>
  <si>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</si>
  <si>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</si>
  <si>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</si>
  <si>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</si>
  <si>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</si>
  <si>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</si>
  <si>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</si>
  <si>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</si>
  <si>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</si>
  <si>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</si>
  <si>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</si>
  <si>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</si>
  <si>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</si>
  <si>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</si>
  <si>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</si>
  <si>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</si>
  <si>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</si>
  <si>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</si>
  <si>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</si>
  <si>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</si>
  <si>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</si>
  <si>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</si>
  <si>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</si>
  <si>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</si>
  <si>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</si>
  <si>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</si>
  <si>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</si>
  <si>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</si>
  <si>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</si>
  <si>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</si>
  <si>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</si>
  <si>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</si>
  <si>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</si>
  <si>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</si>
  <si>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</si>
  <si>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</si>
  <si>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</si>
  <si>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</si>
  <si>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</si>
  <si>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</si>
  <si>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</si>
  <si>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</si>
  <si>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</si>
  <si>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</si>
  <si>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</si>
  <si>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</si>
  <si>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</si>
  <si>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</si>
  <si>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</si>
  <si>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</si>
  <si>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</si>
  <si>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</si>
  <si>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</si>
  <si>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</si>
  <si>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</si>
  <si>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</si>
  <si>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</si>
  <si>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</si>
  <si>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</si>
  <si>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</si>
  <si>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</si>
  <si>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</si>
  <si>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</si>
  <si>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</si>
  <si>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</si>
  <si>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</si>
  <si>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</si>
  <si>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</si>
  <si>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</si>
  <si>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</si>
  <si>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</si>
  <si>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</si>
  <si>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</si>
  <si>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</si>
  <si>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</si>
  <si>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</si>
  <si>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</si>
  <si>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</si>
  <si>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</si>
  <si>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</si>
  <si>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</si>
  <si>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</si>
  <si>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</si>
  <si>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</si>
  <si>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</si>
  <si>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</si>
  <si>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</si>
  <si>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</si>
  <si>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</si>
  <si>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</si>
  <si>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</si>
  <si>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</si>
  <si>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</si>
  <si>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</si>
  <si>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</si>
  <si>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</si>
  <si>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</si>
  <si>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</si>
  <si>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</si>
  <si>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</si>
  <si>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</si>
  <si>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</si>
  <si>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</si>
  <si>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</si>
  <si>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</si>
  <si>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</si>
  <si>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</si>
  <si>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</si>
  <si>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</si>
  <si>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</si>
  <si>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</si>
  <si>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</si>
  <si>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</si>
  <si>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</si>
  <si>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</si>
  <si>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</si>
  <si>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</si>
  <si>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</si>
  <si>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</si>
  <si>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</si>
  <si>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</si>
  <si>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</si>
  <si>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</si>
  <si>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</si>
  <si>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</si>
  <si>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</si>
  <si>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</si>
  <si>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</si>
  <si>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</si>
  <si>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</si>
  <si>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</si>
  <si>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</si>
  <si>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</si>
  <si>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</si>
  <si>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</si>
  <si>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</si>
  <si>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</si>
  <si>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</si>
  <si>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</si>
  <si>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</si>
  <si>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</si>
  <si>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</si>
  <si>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</si>
  <si>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</si>
  <si>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</si>
  <si>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</si>
  <si>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</si>
  <si>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</si>
  <si>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</si>
  <si>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</si>
  <si>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</si>
  <si>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</si>
  <si>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</si>
  <si>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</si>
  <si>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</si>
  <si>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</si>
  <si>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</si>
  <si>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</si>
  <si>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</si>
  <si>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</si>
  <si>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</si>
  <si>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</si>
  <si>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</si>
  <si>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</si>
  <si>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</si>
  <si>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</si>
  <si>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</si>
  <si>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</si>
  <si>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</si>
  <si>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</si>
  <si>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</si>
  <si>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</si>
  <si>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</si>
  <si>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</si>
  <si>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</si>
  <si>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</si>
  <si>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</si>
  <si>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</si>
  <si>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</si>
  <si>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</si>
  <si>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</si>
  <si>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</si>
  <si>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</si>
  <si>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</si>
  <si>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</si>
  <si>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</si>
  <si>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</si>
  <si>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</si>
  <si>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</si>
  <si>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</si>
  <si>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</si>
  <si>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</si>
  <si>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</si>
  <si>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</si>
  <si>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</si>
  <si>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</si>
  <si>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</si>
  <si>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</si>
  <si>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</si>
  <si>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</si>
  <si>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</si>
  <si>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</si>
  <si>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</si>
  <si>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</si>
  <si>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</si>
  <si>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</si>
  <si>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</si>
  <si>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</si>
  <si>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</si>
  <si>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</si>
  <si>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</si>
  <si>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</si>
  <si>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</si>
  <si>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</si>
  <si>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</si>
  <si>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</si>
  <si>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</si>
  <si>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</si>
  <si>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</si>
  <si>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</si>
  <si>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</si>
  <si>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</si>
  <si>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</si>
  <si>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</si>
  <si>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</si>
  <si>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</si>
  <si>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</si>
  <si>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</si>
  <si>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</si>
  <si>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</si>
  <si>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</si>
  <si>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</si>
  <si>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</si>
  <si>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</si>
  <si>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</si>
  <si>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</si>
  <si>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</si>
  <si>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</si>
  <si>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</si>
  <si>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</si>
  <si>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</si>
  <si>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</si>
  <si>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</si>
  <si>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</si>
  <si>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</si>
  <si>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</si>
  <si>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</si>
  <si>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</si>
  <si>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</si>
  <si>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</si>
  <si>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</si>
  <si>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</si>
  <si>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</si>
  <si>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</si>
  <si>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</si>
  <si>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</si>
  <si>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</si>
  <si>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</si>
  <si>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</si>
  <si>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</si>
  <si>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</si>
  <si>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</si>
  <si>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</si>
  <si>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</si>
  <si>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</si>
  <si>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</si>
  <si>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</si>
  <si>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</si>
  <si>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</si>
  <si>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</si>
  <si>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</si>
  <si>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</si>
  <si>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</si>
  <si>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</si>
  <si>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</si>
  <si>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</si>
  <si>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</si>
  <si>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</si>
  <si>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</si>
  <si>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</si>
  <si>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</si>
  <si>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</si>
  <si>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</si>
  <si>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</si>
  <si>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</si>
  <si>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</si>
  <si>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</si>
  <si>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</si>
  <si>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</si>
  <si>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</si>
  <si>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</si>
  <si>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</si>
  <si>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</si>
  <si>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</si>
  <si>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</si>
  <si>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</si>
  <si>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</si>
  <si>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</si>
  <si>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</si>
  <si>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</si>
  <si>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</si>
  <si>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</si>
  <si>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</si>
  <si>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</si>
  <si>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</si>
  <si>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</si>
  <si>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</si>
  <si>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</si>
  <si>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</si>
  <si>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</si>
  <si>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</si>
  <si>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</si>
  <si>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</si>
  <si>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</si>
  <si>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</si>
  <si>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</si>
  <si>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</si>
  <si>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</si>
  <si>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</si>
  <si>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</si>
  <si>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</si>
  <si>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</si>
  <si>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</si>
  <si>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</si>
  <si>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</si>
  <si>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</si>
  <si>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</si>
  <si>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</si>
  <si>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</si>
  <si>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</si>
  <si>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</si>
  <si>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</si>
  <si>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</si>
  <si>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</si>
  <si>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</si>
  <si>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</si>
  <si>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</si>
  <si>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</si>
  <si>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</si>
  <si>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</si>
  <si>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</si>
  <si>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</si>
  <si>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</si>
  <si>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</si>
  <si>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</si>
  <si>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</si>
  <si>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</si>
  <si>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</si>
  <si>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</si>
  <si>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</si>
  <si>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</si>
  <si>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</si>
  <si>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</si>
  <si>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</si>
  <si>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</si>
  <si>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</si>
  <si>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</si>
  <si>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</si>
  <si>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</si>
  <si>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</si>
  <si>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</si>
  <si>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</si>
  <si>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</si>
  <si>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</si>
  <si>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</si>
  <si>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</si>
  <si>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</si>
  <si>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</si>
  <si>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</si>
  <si>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</si>
  <si>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</si>
  <si>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</si>
  <si>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</si>
  <si>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</si>
  <si>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</si>
  <si>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</si>
  <si>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</si>
  <si>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</si>
  <si>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</si>
  <si>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</si>
  <si>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</si>
  <si>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</si>
  <si>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</si>
  <si>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</si>
  <si>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</si>
  <si>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</si>
  <si>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</si>
  <si>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</si>
  <si>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</si>
  <si>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</si>
  <si>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</si>
  <si>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</si>
  <si>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</si>
  <si>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</si>
  <si>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</si>
  <si>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</si>
  <si>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</si>
  <si>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</si>
  <si>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</si>
  <si>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</si>
  <si>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</si>
  <si>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</si>
  <si>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</si>
  <si>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</si>
  <si>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</si>
  <si>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</si>
  <si>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</si>
  <si>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</si>
  <si>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</si>
  <si>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</si>
  <si>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</si>
  <si>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</si>
  <si>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</si>
  <si>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</si>
  <si>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</si>
  <si>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</si>
  <si>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</si>
  <si>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</si>
  <si>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</si>
  <si>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</si>
  <si>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</si>
  <si>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</si>
  <si>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</si>
  <si>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</si>
  <si>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</si>
  <si>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</si>
  <si>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</si>
  <si>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</si>
  <si>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</si>
  <si>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</si>
  <si>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</si>
  <si>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</si>
  <si>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</si>
  <si>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</si>
  <si>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</si>
  <si>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</si>
  <si>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</si>
  <si>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</si>
  <si>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</si>
  <si>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</si>
  <si>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</si>
  <si>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</si>
  <si>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</si>
  <si>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</si>
  <si>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</si>
  <si>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</si>
  <si>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</si>
  <si>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</si>
  <si>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</si>
  <si>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</si>
  <si>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</si>
  <si>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</si>
  <si>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</si>
  <si>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</si>
  <si>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</si>
  <si>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</si>
  <si>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</si>
  <si>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</si>
  <si>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</si>
  <si>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</si>
  <si>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</si>
  <si>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</si>
  <si>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</si>
  <si>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</si>
  <si>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</si>
  <si>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</si>
  <si>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</si>
  <si>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</si>
  <si>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</si>
  <si>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</si>
  <si>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</si>
  <si>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</si>
  <si>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</si>
  <si>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</si>
  <si>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</si>
  <si>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</si>
  <si>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</si>
  <si>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</si>
  <si>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</si>
  <si>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</si>
  <si>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</si>
  <si>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</si>
  <si>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</si>
  <si>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</si>
  <si>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</si>
  <si>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</si>
  <si>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</si>
  <si>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</si>
  <si>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</si>
  <si>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</si>
  <si>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</si>
  <si>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</si>
  <si>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</si>
  <si>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</si>
  <si>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</si>
  <si>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</si>
  <si>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</si>
  <si>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</si>
  <si>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</si>
  <si>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</si>
  <si>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</si>
  <si>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</si>
  <si>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</si>
  <si>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</si>
  <si>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</si>
  <si>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</si>
  <si>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</si>
  <si>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</si>
  <si>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</si>
  <si>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</si>
  <si>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</si>
  <si>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</si>
  <si>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</si>
  <si>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</si>
  <si>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</si>
  <si>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</si>
  <si>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</si>
  <si>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</si>
  <si>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</si>
  <si>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</si>
  <si>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</si>
  <si>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</si>
  <si>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</si>
  <si>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</si>
  <si>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</si>
  <si>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</si>
  <si>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</si>
  <si>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</si>
  <si>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</si>
  <si>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</si>
  <si>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</si>
  <si>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</si>
  <si>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</si>
  <si>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</si>
  <si>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</si>
  <si>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</si>
  <si>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</si>
  <si>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</si>
  <si>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</si>
  <si>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</si>
  <si>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</si>
  <si>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</si>
  <si>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</si>
  <si>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</si>
  <si>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</si>
  <si>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</si>
  <si>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</si>
  <si>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</si>
  <si>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</si>
  <si>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</si>
  <si>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</si>
  <si>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</si>
  <si>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</si>
  <si>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</si>
  <si>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</si>
  <si>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</si>
  <si>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</si>
  <si>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</si>
  <si>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</si>
  <si>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</si>
  <si>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</si>
  <si>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</si>
  <si>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</si>
  <si>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</si>
  <si>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</si>
  <si>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</si>
  <si>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</si>
  <si>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</si>
  <si>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</si>
  <si>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</si>
  <si>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</si>
  <si>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</si>
  <si>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</si>
  <si>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</si>
  <si>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</si>
  <si>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</si>
  <si>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</si>
  <si>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</si>
  <si>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</si>
  <si>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</si>
  <si>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</si>
  <si>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</si>
  <si>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</si>
  <si>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</si>
  <si>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</si>
  <si>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</si>
  <si>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</si>
  <si>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</si>
  <si>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</si>
  <si>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</si>
  <si>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</si>
  <si>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</si>
  <si>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</si>
  <si>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</si>
  <si>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</si>
  <si>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</si>
  <si>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</si>
  <si>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</si>
  <si>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</si>
  <si>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</si>
  <si>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</si>
  <si>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</si>
  <si>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</si>
  <si>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</si>
  <si>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</si>
  <si>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</si>
  <si>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</si>
  <si>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</si>
  <si>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</si>
  <si>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</si>
  <si>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</si>
  <si>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</si>
  <si>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</si>
  <si>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</si>
  <si>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</si>
  <si>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</si>
  <si>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</si>
  <si>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</si>
  <si>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</si>
  <si>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</si>
  <si>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</si>
  <si>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</si>
  <si>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</si>
  <si>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</si>
  <si>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</si>
  <si>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</si>
  <si>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</si>
  <si>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</si>
  <si>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</si>
  <si>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</si>
  <si>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</si>
  <si>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</si>
  <si>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</si>
  <si>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</si>
  <si>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</si>
  <si>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</si>
  <si>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</si>
  <si>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</si>
  <si>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</si>
  <si>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</si>
  <si>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</si>
  <si>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</si>
  <si>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</si>
  <si>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</si>
  <si>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</si>
  <si>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</si>
  <si>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</si>
  <si>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</si>
  <si>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</si>
  <si>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</si>
  <si>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</si>
  <si>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</si>
  <si>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</si>
  <si>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</si>
  <si>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</si>
  <si>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</si>
  <si>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</si>
  <si>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</si>
  <si>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</si>
  <si>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</si>
  <si>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</si>
  <si>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</si>
  <si>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</si>
  <si>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</si>
  <si>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</si>
  <si>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</si>
  <si>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</si>
  <si>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</si>
  <si>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</si>
  <si>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</si>
  <si>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</si>
  <si>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</si>
  <si>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</si>
  <si>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</si>
  <si>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</si>
  <si>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</si>
  <si>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</si>
  <si>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</si>
  <si>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</si>
  <si>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</si>
  <si>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</si>
  <si>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</si>
  <si>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</si>
  <si>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</si>
  <si>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</si>
  <si>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</si>
  <si>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</si>
  <si>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</si>
  <si>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</si>
  <si>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</si>
  <si>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</si>
  <si>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</si>
  <si>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</si>
  <si>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</si>
  <si>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</si>
  <si>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</si>
  <si>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</si>
  <si>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</si>
  <si>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</si>
  <si>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</si>
  <si>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</si>
  <si>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</si>
  <si>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</si>
  <si>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</si>
  <si>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</si>
  <si>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</si>
  <si>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</si>
  <si>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</si>
  <si>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</si>
  <si>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</si>
  <si>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</si>
  <si>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</si>
  <si>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</si>
  <si>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</si>
  <si>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</si>
  <si>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</si>
  <si>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</si>
  <si>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</si>
  <si>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</si>
  <si>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</si>
  <si>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</si>
  <si>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</si>
  <si>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</si>
  <si>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</si>
  <si>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</si>
  <si>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</si>
  <si>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</si>
  <si>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</si>
  <si>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</si>
  <si>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</si>
  <si>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</si>
  <si>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</si>
  <si>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</si>
  <si>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</si>
  <si>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</si>
  <si>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</si>
  <si>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</si>
  <si>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</si>
  <si>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</si>
  <si>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</si>
  <si>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</si>
  <si>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</si>
  <si>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</si>
  <si>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</si>
  <si>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</si>
  <si>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</si>
  <si>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</si>
  <si>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</si>
  <si>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</si>
  <si>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</si>
  <si>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</si>
  <si>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</si>
  <si>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</si>
  <si>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</si>
  <si>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</si>
  <si>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</si>
  <si>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</si>
  <si>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</si>
  <si>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</si>
  <si>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</si>
  <si>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</si>
  <si>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</si>
  <si>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</si>
  <si>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</si>
  <si>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</si>
  <si>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</si>
  <si>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</si>
  <si>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</si>
  <si>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</si>
  <si>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</si>
  <si>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</si>
  <si>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</si>
  <si>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</si>
  <si>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</si>
  <si>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</si>
  <si>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</si>
  <si>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</si>
  <si>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</si>
  <si>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</si>
  <si>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</si>
  <si>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</si>
  <si>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</si>
  <si>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</si>
  <si>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</si>
  <si>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</si>
  <si>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</si>
  <si>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</si>
  <si>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</si>
  <si>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</si>
  <si>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</si>
  <si>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</si>
  <si>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</si>
  <si>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</si>
  <si>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</si>
  <si>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</si>
  <si>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</si>
  <si>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</si>
  <si>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</si>
  <si>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</si>
  <si>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</si>
  <si>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</si>
  <si>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</si>
  <si>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</si>
  <si>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</si>
  <si>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</si>
  <si>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</si>
  <si>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</si>
  <si>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</si>
  <si>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</si>
  <si>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</si>
  <si>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</si>
  <si>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</si>
  <si>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</si>
  <si>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</si>
  <si>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</si>
  <si>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</si>
  <si>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</si>
  <si>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</si>
  <si>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</si>
  <si>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</si>
  <si>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</si>
  <si>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</si>
  <si>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</si>
  <si>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</si>
  <si>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</si>
  <si>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</si>
  <si>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</si>
  <si>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</si>
  <si>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</si>
  <si>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</si>
  <si>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</si>
  <si>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</si>
  <si>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</si>
  <si>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</si>
  <si>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</si>
  <si>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</si>
  <si>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</si>
  <si>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</si>
  <si>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</si>
  <si>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</si>
  <si>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</si>
  <si>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</si>
  <si>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</si>
  <si>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</si>
  <si>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</si>
  <si>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</si>
  <si>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</si>
  <si>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</si>
  <si>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</si>
  <si>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</si>
  <si>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</si>
  <si>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</si>
  <si>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</si>
  <si>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</si>
  <si>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</si>
  <si>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</si>
  <si>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</si>
  <si>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</si>
  <si>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</si>
  <si>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</si>
  <si>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</si>
  <si>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</si>
  <si>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</si>
  <si>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</si>
  <si>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</si>
  <si>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</si>
  <si>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</si>
  <si>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</si>
  <si>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</si>
  <si>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</si>
  <si>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</si>
  <si>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</si>
  <si>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</si>
  <si>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</si>
  <si>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</si>
  <si>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</si>
  <si>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</si>
  <si>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</si>
  <si>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</si>
  <si>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</si>
  <si>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</si>
  <si>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</si>
  <si>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</si>
  <si>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</si>
  <si>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</si>
  <si>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</si>
  <si>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</si>
  <si>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</si>
  <si>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</si>
  <si>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</si>
  <si>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</si>
  <si>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</si>
  <si>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</si>
  <si>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</si>
  <si>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</si>
  <si>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</si>
  <si>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</si>
  <si>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</si>
  <si>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</si>
  <si>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</si>
  <si>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</si>
  <si>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</si>
  <si>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</si>
  <si>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</si>
  <si>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</si>
  <si>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</si>
  <si>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</si>
  <si>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</si>
  <si>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</si>
  <si>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</si>
  <si>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</si>
  <si>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</si>
  <si>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</si>
  <si>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</si>
  <si>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</si>
  <si>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</si>
  <si>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</si>
  <si>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</si>
  <si>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</si>
  <si>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</si>
  <si>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</si>
  <si>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</si>
  <si>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</si>
  <si>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</si>
  <si>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</si>
  <si>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</si>
  <si>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</si>
  <si>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</si>
  <si>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</si>
  <si>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</si>
  <si>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</si>
  <si>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</si>
  <si>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</si>
  <si>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</si>
  <si>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</si>
  <si>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</si>
  <si>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</si>
  <si>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</si>
  <si>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</si>
  <si>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</si>
  <si>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</si>
  <si>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</si>
  <si>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</si>
  <si>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</si>
  <si>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</si>
  <si>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</si>
  <si>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</si>
  <si>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</si>
  <si>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</si>
  <si>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</si>
  <si>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</si>
  <si>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</si>
  <si>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</si>
  <si>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</si>
  <si>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</si>
  <si>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</si>
  <si>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</si>
  <si>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</si>
  <si>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</si>
  <si>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</si>
  <si>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</si>
  <si>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</si>
  <si>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</si>
  <si>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</si>
  <si>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</si>
  <si>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</si>
  <si>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</si>
  <si>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</si>
  <si>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</si>
  <si>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</si>
  <si>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</si>
  <si>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</si>
  <si>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</si>
  <si>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</si>
  <si>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</si>
  <si>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</si>
  <si>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</si>
  <si>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</si>
  <si>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</si>
  <si>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</si>
  <si>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</si>
  <si>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</si>
  <si>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</si>
  <si>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</si>
  <si>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</si>
  <si>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</si>
  <si>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</si>
  <si>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</si>
  <si>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</si>
  <si>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</si>
  <si>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</si>
  <si>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</si>
  <si>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</si>
  <si>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</si>
  <si>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</si>
  <si>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</si>
  <si>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</si>
  <si>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</si>
  <si>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</si>
  <si>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</si>
  <si>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</si>
  <si>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</si>
  <si>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</si>
  <si>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</si>
  <si>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</si>
  <si>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</si>
  <si>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</si>
  <si>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</si>
  <si>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</si>
  <si>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</si>
  <si>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</si>
  <si>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</si>
  <si>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</si>
  <si>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</si>
  <si>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</si>
  <si>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</si>
  <si>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</si>
  <si>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</si>
  <si>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</si>
  <si>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</si>
  <si>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</si>
  <si>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</si>
  <si>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</si>
  <si>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</si>
  <si>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</si>
  <si>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</si>
  <si>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</si>
  <si>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</si>
  <si>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</si>
  <si>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</si>
  <si>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</si>
  <si>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</si>
  <si>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</si>
  <si>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</si>
  <si>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</si>
  <si>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</si>
  <si>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</si>
  <si>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</si>
  <si>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</si>
  <si>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</si>
  <si>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</si>
  <si>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</si>
  <si>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</si>
  <si>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</si>
  <si>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</si>
  <si>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</si>
  <si>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</si>
  <si>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</si>
  <si>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</si>
  <si>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</si>
  <si>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</si>
  <si>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</si>
  <si>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</si>
  <si>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</si>
  <si>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</si>
  <si>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</si>
  <si>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</si>
  <si>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</si>
  <si>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</si>
  <si>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</si>
  <si>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</si>
  <si>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</si>
  <si>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</si>
  <si>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</si>
  <si>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</si>
  <si>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</si>
  <si>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</si>
  <si>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</si>
  <si>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</si>
  <si>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</si>
  <si>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</si>
  <si>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</si>
  <si>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</si>
  <si>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</si>
  <si>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</si>
  <si>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</si>
  <si>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</si>
  <si>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</si>
  <si>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</si>
  <si>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</si>
  <si>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</si>
  <si>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</si>
  <si>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</si>
  <si>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</si>
  <si>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</si>
  <si>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</si>
  <si>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</si>
  <si>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</si>
  <si>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</si>
  <si>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</si>
  <si>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</si>
  <si>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</si>
  <si>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</si>
  <si>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</si>
  <si>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</si>
  <si>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</si>
  <si>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</si>
  <si>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</si>
  <si>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</si>
  <si>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</si>
  <si>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</si>
  <si>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</si>
  <si>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</si>
  <si>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</si>
  <si>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</si>
  <si>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</si>
  <si>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</si>
  <si>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</si>
  <si>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</si>
  <si>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</si>
  <si>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</si>
  <si>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</si>
  <si>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</si>
  <si>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</si>
  <si>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</si>
  <si>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</si>
  <si>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</si>
  <si>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</si>
  <si>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</si>
  <si>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</si>
  <si>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</si>
  <si>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</si>
  <si>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</si>
  <si>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</si>
  <si>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</si>
  <si>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</si>
  <si>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</si>
  <si>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</si>
  <si>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</si>
  <si>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</si>
  <si>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</si>
  <si>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</si>
  <si>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</si>
  <si>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</si>
  <si>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</si>
  <si>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</si>
  <si>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</si>
  <si>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</si>
  <si>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</si>
  <si>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</si>
  <si>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</si>
  <si>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</si>
  <si>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</si>
  <si>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</si>
  <si>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</si>
  <si>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</si>
  <si>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</si>
  <si>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</si>
  <si>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</si>
  <si>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</si>
  <si>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</si>
  <si>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</si>
  <si>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</si>
  <si>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</si>
  <si>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</si>
  <si>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</si>
  <si>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</si>
  <si>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</si>
  <si>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</si>
  <si>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</si>
  <si>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</si>
  <si>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</si>
  <si>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</si>
  <si>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</si>
  <si>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</si>
  <si>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</si>
  <si>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</si>
  <si>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</si>
  <si>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</si>
  <si>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</si>
  <si>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</si>
  <si>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</si>
  <si>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</si>
  <si>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</si>
  <si>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</si>
  <si>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</si>
  <si>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</si>
  <si>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</si>
  <si>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</si>
  <si>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</si>
  <si>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</si>
  <si>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</si>
  <si>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</si>
  <si>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</si>
  <si>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</si>
  <si>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</si>
  <si>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</si>
  <si>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</si>
  <si>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</si>
  <si>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</si>
  <si>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</si>
  <si>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</si>
  <si>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</si>
  <si>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</si>
  <si>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</si>
  <si>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</si>
  <si>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</si>
  <si>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</si>
  <si>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</si>
  <si>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</si>
  <si>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</si>
  <si>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</si>
  <si>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</si>
  <si>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</si>
  <si>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</si>
  <si>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</si>
  <si>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</si>
  <si>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</si>
  <si>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</si>
  <si>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</si>
  <si>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</si>
  <si>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</si>
  <si>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</si>
  <si>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</si>
  <si>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</si>
  <si>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</si>
  <si>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</si>
  <si>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</si>
  <si>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</si>
  <si>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</si>
  <si>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</si>
  <si>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</si>
  <si>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</si>
  <si>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</si>
  <si>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</si>
  <si>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</si>
  <si>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</si>
  <si>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</si>
  <si>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</si>
  <si>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</si>
  <si>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</si>
  <si>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</si>
  <si>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</si>
  <si>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</si>
  <si>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</si>
  <si>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</si>
  <si>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</si>
  <si>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</si>
  <si>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</si>
  <si>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</si>
  <si>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</si>
  <si>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</si>
  <si>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</si>
  <si>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</si>
  <si>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</si>
  <si>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</si>
  <si>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</si>
  <si>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</si>
  <si>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</si>
  <si>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</si>
  <si>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</si>
  <si>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</si>
  <si>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</si>
  <si>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</si>
  <si>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</si>
  <si>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</si>
  <si>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</si>
  <si>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</si>
  <si>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</si>
  <si>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</si>
  <si>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</si>
  <si>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</si>
  <si>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</si>
  <si>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</si>
  <si>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</si>
  <si>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</si>
  <si>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</si>
  <si>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</si>
  <si>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</si>
  <si>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</si>
  <si>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</si>
  <si>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</si>
  <si>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</si>
  <si>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</si>
  <si>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</si>
  <si>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</si>
  <si>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</si>
  <si>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</si>
  <si>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</si>
  <si>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</si>
  <si>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</si>
  <si>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</si>
  <si>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</si>
  <si>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</si>
  <si>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</si>
  <si>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</si>
  <si>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</si>
  <si>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</si>
  <si>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</si>
  <si>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</si>
  <si>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</si>
  <si>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</si>
  <si>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</si>
  <si>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</si>
  <si>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</si>
  <si>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</si>
  <si>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</si>
  <si>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</si>
  <si>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</si>
  <si>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</si>
  <si>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</si>
  <si>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</si>
  <si>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</si>
  <si>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</si>
  <si>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</si>
  <si>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</si>
  <si>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</si>
  <si>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</si>
  <si>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</si>
  <si>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</si>
  <si>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</si>
  <si>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</si>
  <si>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</si>
  <si>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</si>
  <si>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</si>
  <si>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</si>
  <si>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</si>
  <si>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</si>
  <si>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</si>
  <si>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</si>
  <si>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</si>
  <si>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</si>
  <si>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</si>
  <si>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</si>
  <si>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</si>
  <si>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</si>
  <si>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</si>
  <si>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</si>
  <si>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</si>
  <si>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</si>
  <si>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</si>
  <si>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</si>
  <si>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</si>
  <si>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</si>
  <si>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</si>
  <si>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</si>
  <si>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</si>
  <si>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</si>
  <si>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</si>
  <si>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</si>
  <si>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</si>
  <si>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</si>
  <si>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</si>
  <si>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</si>
  <si>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</si>
  <si>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</si>
  <si>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</si>
  <si>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</si>
  <si>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</si>
  <si>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</si>
  <si>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</si>
  <si>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</si>
  <si>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</si>
  <si>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</si>
  <si>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</si>
  <si>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</si>
  <si>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</si>
  <si>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</si>
  <si>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</si>
  <si>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</si>
  <si>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</si>
  <si>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</si>
  <si>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</si>
  <si>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</si>
  <si>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</si>
  <si>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</si>
  <si>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</si>
  <si>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</si>
  <si>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</si>
  <si>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</si>
  <si>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</si>
  <si>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</si>
  <si>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</si>
  <si>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</si>
  <si>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</si>
  <si>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</si>
  <si>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</si>
  <si>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</si>
  <si>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</si>
  <si>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</si>
  <si>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</si>
  <si>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</si>
  <si>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</si>
  <si>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</si>
  <si>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</si>
  <si>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</si>
  <si>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</si>
  <si>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</si>
  <si>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</si>
  <si>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</si>
  <si>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</si>
  <si>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</si>
  <si>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</si>
  <si>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</si>
  <si>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</si>
  <si>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</si>
  <si>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</si>
  <si>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</si>
  <si>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</si>
  <si>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</si>
  <si>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</si>
  <si>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</si>
  <si>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</si>
  <si>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</si>
  <si>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</si>
  <si>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</si>
  <si>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</si>
  <si>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</si>
  <si>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</si>
  <si>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</si>
  <si>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</si>
  <si>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</si>
  <si>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</si>
  <si>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</si>
  <si>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</si>
  <si>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</si>
  <si>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</si>
  <si>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</si>
  <si>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</si>
  <si>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</si>
  <si>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</si>
  <si>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</si>
  <si>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</si>
  <si>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</si>
  <si>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</si>
  <si>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</si>
  <si>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</si>
  <si>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</si>
  <si>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</si>
  <si>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</si>
  <si>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</si>
  <si>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</si>
  <si>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</si>
  <si>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</si>
  <si>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</si>
  <si>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</si>
  <si>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</si>
  <si>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</si>
  <si>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</si>
  <si>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</si>
  <si>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</si>
  <si>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</si>
  <si>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</si>
  <si>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</si>
  <si>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</si>
  <si>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</si>
  <si>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</si>
  <si>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</si>
  <si>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</si>
  <si>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</si>
  <si>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</si>
  <si>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</si>
  <si>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</si>
  <si>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</si>
  <si>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</si>
  <si>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</si>
  <si>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</si>
  <si>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</si>
  <si>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</si>
  <si>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</si>
  <si>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</si>
  <si>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</si>
  <si>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</si>
  <si>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</si>
  <si>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</si>
  <si>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</si>
  <si>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</si>
  <si>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</si>
  <si>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</si>
  <si>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</si>
  <si>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</si>
  <si>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</si>
  <si>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</si>
  <si>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</si>
  <si>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</si>
  <si>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</si>
  <si>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</si>
  <si>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</si>
  <si>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</si>
  <si>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</si>
  <si>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</si>
  <si>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</si>
  <si>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</si>
  <si>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</si>
  <si>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</si>
  <si>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</si>
  <si>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</si>
  <si>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</si>
  <si>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</si>
  <si>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</si>
  <si>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</si>
  <si>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</si>
  <si>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</si>
  <si>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</si>
  <si>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</si>
  <si>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</si>
  <si>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</si>
  <si>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</si>
  <si>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</si>
  <si>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</si>
  <si>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</si>
  <si>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</si>
  <si>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</si>
  <si>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</si>
  <si>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</si>
  <si>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</si>
  <si>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</si>
  <si>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</si>
  <si>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</si>
  <si>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</si>
  <si>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</si>
  <si>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</si>
  <si>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</si>
  <si>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</si>
  <si>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</si>
  <si>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</si>
  <si>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</si>
  <si>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</si>
  <si>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</si>
  <si>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</si>
  <si>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</si>
  <si>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</si>
  <si>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</si>
  <si>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</si>
  <si>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</si>
  <si>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</si>
  <si>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</si>
  <si>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</si>
  <si>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</si>
  <si>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</si>
  <si>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</si>
  <si>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</si>
  <si>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</si>
  <si>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</si>
  <si>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</si>
  <si>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</si>
  <si>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</si>
  <si>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</si>
  <si>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</si>
  <si>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</si>
  <si>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</si>
  <si>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</si>
  <si>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</si>
  <si>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</si>
  <si>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</si>
  <si>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</si>
  <si>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</si>
  <si>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</si>
  <si>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</si>
  <si>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</si>
  <si>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</si>
  <si>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</si>
  <si>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</si>
  <si>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</si>
  <si>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</si>
  <si>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</si>
  <si>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</si>
  <si>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</si>
  <si>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</si>
  <si>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</si>
  <si>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</si>
  <si>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</si>
  <si>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</si>
  <si>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</si>
  <si>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</si>
  <si>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</si>
  <si>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</si>
  <si>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</si>
  <si>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</si>
  <si>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</si>
  <si>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</si>
  <si>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</si>
  <si>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</si>
  <si>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</si>
  <si>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</si>
  <si>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</si>
  <si>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</si>
  <si>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</si>
  <si>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</si>
  <si>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</si>
  <si>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</si>
  <si>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</si>
  <si>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</si>
  <si>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</si>
  <si>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</si>
  <si>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</si>
  <si>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</si>
  <si>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</si>
  <si>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</si>
  <si>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</si>
  <si>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</si>
  <si>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</si>
  <si>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</si>
  <si>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</si>
  <si>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</si>
  <si>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</si>
  <si>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</si>
  <si>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</si>
  <si>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</si>
  <si>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</si>
  <si>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</si>
  <si>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</si>
  <si>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</si>
  <si>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</si>
  <si>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</si>
  <si>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</si>
  <si>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</si>
  <si>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</si>
  <si>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</si>
  <si>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</si>
  <si>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</si>
  <si>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</si>
  <si>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</si>
  <si>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</si>
  <si>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</si>
  <si>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</si>
  <si>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</si>
  <si>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</si>
  <si>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</si>
  <si>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</si>
  <si>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</si>
  <si>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</si>
  <si>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</si>
  <si>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</si>
  <si>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</si>
  <si>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</si>
  <si>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</si>
  <si>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</si>
  <si>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</si>
  <si>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</si>
  <si>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</si>
  <si>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</si>
  <si>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</si>
  <si>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</si>
  <si>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</si>
  <si>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</si>
  <si>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</si>
  <si>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</si>
  <si>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</si>
  <si>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</si>
  <si>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</si>
  <si>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</si>
  <si>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</si>
  <si>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</si>
  <si>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</si>
  <si>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</si>
  <si>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</si>
  <si>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</si>
  <si>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</si>
  <si>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</si>
  <si>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</si>
  <si>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</si>
  <si>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</si>
  <si>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</si>
  <si>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</si>
  <si>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</si>
  <si>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</si>
  <si>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</si>
  <si>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</si>
  <si>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</si>
  <si>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</si>
  <si>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</si>
  <si>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</si>
  <si>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</si>
  <si>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</si>
  <si>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</si>
  <si>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</si>
  <si>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</si>
  <si>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</si>
  <si>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</si>
  <si>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</si>
  <si>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</si>
  <si>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</si>
  <si>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</si>
  <si>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</si>
  <si>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</si>
  <si>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</si>
  <si>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</si>
  <si>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</si>
  <si>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</si>
  <si>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</si>
  <si>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</si>
  <si>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</si>
  <si>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</si>
  <si>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</si>
  <si>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</si>
  <si>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</si>
  <si>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</si>
  <si>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</si>
  <si>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</si>
  <si>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</si>
  <si>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</si>
  <si>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</si>
  <si>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</si>
  <si>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</si>
  <si>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</si>
  <si>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</si>
  <si>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</si>
  <si>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</si>
  <si>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</si>
  <si>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</si>
  <si>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</si>
  <si>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</si>
  <si>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</si>
  <si>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</si>
  <si>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</si>
  <si>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</si>
  <si>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</si>
  <si>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</si>
  <si>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</si>
  <si>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</si>
  <si>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</si>
  <si>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</si>
  <si>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</si>
  <si>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</si>
  <si>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</si>
  <si>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</si>
  <si>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</si>
  <si>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</si>
  <si>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</si>
  <si>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</si>
  <si>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</si>
  <si>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</si>
  <si>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</si>
  <si>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</si>
  <si>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</si>
  <si>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</si>
  <si>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</si>
  <si>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</si>
  <si>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</si>
  <si>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</si>
  <si>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</si>
  <si>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</si>
  <si>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</si>
  <si>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</si>
  <si>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</si>
  <si>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</si>
  <si>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</si>
  <si>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</si>
  <si>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</si>
  <si>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</si>
  <si>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</si>
  <si>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</si>
  <si>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</si>
  <si>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</si>
  <si>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</si>
  <si>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</si>
  <si>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</si>
  <si>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</si>
  <si>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</si>
  <si>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</si>
  <si>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</si>
  <si>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</si>
  <si>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</si>
  <si>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</si>
  <si>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</si>
  <si>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</si>
  <si>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</si>
  <si>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</si>
  <si>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</si>
  <si>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</si>
  <si>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</si>
  <si>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</si>
  <si>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</si>
  <si>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</si>
  <si>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</si>
  <si>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</si>
  <si>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</si>
  <si>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</si>
  <si>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</si>
  <si>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</si>
  <si>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</si>
  <si>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</si>
  <si>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</si>
  <si>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</si>
  <si>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</si>
  <si>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</si>
  <si>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</si>
  <si>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</si>
  <si>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</si>
  <si>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</si>
  <si>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</si>
  <si>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</si>
  <si>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</si>
  <si>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</si>
  <si>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</si>
  <si>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</si>
  <si>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</si>
  <si>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</si>
  <si>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</si>
  <si>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</si>
  <si>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</si>
  <si>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</si>
  <si>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</si>
  <si>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</si>
  <si>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</si>
  <si>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</si>
  <si>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</si>
  <si>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</si>
  <si>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</si>
  <si>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</si>
  <si>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</si>
  <si>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</si>
  <si>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</si>
  <si>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</si>
  <si>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</si>
  <si>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</si>
  <si>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</si>
  <si>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</si>
  <si>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</si>
  <si>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</si>
  <si>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</si>
  <si>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</si>
  <si>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</si>
  <si>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</si>
  <si>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</si>
  <si>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</si>
  <si>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</si>
  <si>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</si>
  <si>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</si>
  <si>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</si>
  <si>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</si>
  <si>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</si>
  <si>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</si>
  <si>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</si>
  <si>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</si>
  <si>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</si>
  <si>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</si>
  <si>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</si>
  <si>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</si>
  <si>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</si>
  <si>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</si>
  <si>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</si>
  <si>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</si>
  <si>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</si>
  <si>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</si>
  <si>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</si>
  <si>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</si>
  <si>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</si>
  <si>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</si>
  <si>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</si>
  <si>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</si>
  <si>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</si>
  <si>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</si>
  <si>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</si>
  <si>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</si>
  <si>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</si>
  <si>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</si>
  <si>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</si>
  <si>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</si>
  <si>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</si>
  <si>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</si>
  <si>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</si>
  <si>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</si>
  <si>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</si>
  <si>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</si>
  <si>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</si>
  <si>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</si>
  <si>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</si>
  <si>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</si>
  <si>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</si>
  <si>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</si>
  <si>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</si>
  <si>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</si>
  <si>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</si>
  <si>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</si>
  <si>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</si>
  <si>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</si>
  <si>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</si>
  <si>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</si>
  <si>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</si>
  <si>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</si>
  <si>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</si>
  <si>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</si>
  <si>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</si>
  <si>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</si>
  <si>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</si>
  <si>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</si>
  <si>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</si>
  <si>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</si>
  <si>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</si>
  <si>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</si>
  <si>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</si>
  <si>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</si>
  <si>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</si>
  <si>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</si>
  <si>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</si>
  <si>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</si>
  <si>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</si>
  <si>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</si>
  <si>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</si>
  <si>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</si>
  <si>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</si>
  <si>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</si>
  <si>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</si>
  <si>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</si>
  <si>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</si>
  <si>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</si>
  <si>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</si>
  <si>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</si>
  <si>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</si>
  <si>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</si>
  <si>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</si>
  <si>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</si>
  <si>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</si>
  <si>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</si>
  <si>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</si>
  <si>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</si>
  <si>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</si>
  <si>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</si>
  <si>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</si>
  <si>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</si>
  <si>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</si>
  <si>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</si>
  <si>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</si>
  <si>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</si>
  <si>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</si>
  <si>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</si>
  <si>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</si>
  <si>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</si>
  <si>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</si>
  <si>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</si>
  <si>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</si>
  <si>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</si>
  <si>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</si>
  <si>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</si>
  <si>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</si>
  <si>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</si>
  <si>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</si>
  <si>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</si>
  <si>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</si>
  <si>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</si>
  <si>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</si>
  <si>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</si>
  <si>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</si>
  <si>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</si>
  <si>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</si>
  <si>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</si>
  <si>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</si>
  <si>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</si>
  <si>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</si>
  <si>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</si>
  <si>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</si>
  <si>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</si>
  <si>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</si>
  <si>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</si>
  <si>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</si>
  <si>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</si>
  <si>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</si>
  <si>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</si>
  <si>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</si>
  <si>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</si>
  <si>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</si>
  <si>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</si>
  <si>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</si>
  <si>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</si>
  <si>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</si>
  <si>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</si>
  <si>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</si>
  <si>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</si>
  <si>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</si>
  <si>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</si>
  <si>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</si>
  <si>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</si>
  <si>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</si>
  <si>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</si>
  <si>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</si>
  <si>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</si>
  <si>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</si>
  <si>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</si>
  <si>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</si>
  <si>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</si>
  <si>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</si>
  <si>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</si>
  <si>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</si>
  <si>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</si>
  <si>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</si>
  <si>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</si>
  <si>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</si>
  <si>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</si>
  <si>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</si>
  <si>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</si>
  <si>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</si>
  <si>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</si>
  <si>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</si>
  <si>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</si>
  <si>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</si>
  <si>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</si>
  <si>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</si>
  <si>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</si>
  <si>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</si>
  <si>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</si>
  <si>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</si>
  <si>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</si>
  <si>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</si>
  <si>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</si>
  <si>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</si>
  <si>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</si>
  <si>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</si>
  <si>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</si>
  <si>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</si>
  <si>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</si>
  <si>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</si>
  <si>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</si>
  <si>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</si>
  <si>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</si>
  <si>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</si>
  <si>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</si>
  <si>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</si>
  <si>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</si>
  <si>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</si>
  <si>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</si>
  <si>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</si>
  <si>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</si>
  <si>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</si>
  <si>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</si>
  <si>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</si>
  <si>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</si>
  <si>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</si>
  <si>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</si>
  <si>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</si>
  <si>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</si>
  <si>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</si>
  <si>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</si>
  <si>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</si>
  <si>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</si>
  <si>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</si>
  <si>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</si>
  <si>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</si>
  <si>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</si>
  <si>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</si>
  <si>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</si>
  <si>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</si>
  <si>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</si>
  <si>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</si>
  <si>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</si>
  <si>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</si>
  <si>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</si>
  <si>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</si>
  <si>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</si>
  <si>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</si>
  <si>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</si>
  <si>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</si>
  <si>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</si>
  <si>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</si>
  <si>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</si>
  <si>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</si>
  <si>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</si>
  <si>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</si>
  <si>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</si>
  <si>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</si>
  <si>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</si>
  <si>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</si>
  <si>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</si>
  <si>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</si>
  <si>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</si>
  <si>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</si>
  <si>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</si>
  <si>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</si>
  <si>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</si>
  <si>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</si>
  <si>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</si>
  <si>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</si>
  <si>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</si>
  <si>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</si>
  <si>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</si>
  <si>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</si>
  <si>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</si>
  <si>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</si>
  <si>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</si>
  <si>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</si>
  <si>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</si>
  <si>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</si>
  <si>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</si>
  <si>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</si>
  <si>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</si>
  <si>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</si>
  <si>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</si>
  <si>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</si>
  <si>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</si>
  <si>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</si>
  <si>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</si>
  <si>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</si>
  <si>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</si>
  <si>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</si>
  <si>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</si>
  <si>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</si>
  <si>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</si>
  <si>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</si>
  <si>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</si>
  <si>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</si>
  <si>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</si>
  <si>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</si>
  <si>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</si>
  <si>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</si>
  <si>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</si>
  <si>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</si>
  <si>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</si>
  <si>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</si>
  <si>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</si>
  <si>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</si>
  <si>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</si>
  <si>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</si>
  <si>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</si>
  <si>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</si>
  <si>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</si>
  <si>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</si>
  <si>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</si>
  <si>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</si>
  <si>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</si>
  <si>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</si>
  <si>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</si>
  <si>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</si>
  <si>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</si>
  <si>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</si>
  <si>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</si>
  <si>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</si>
  <si>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</si>
  <si>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</si>
  <si>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</si>
  <si>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</si>
  <si>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</si>
  <si>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</si>
  <si>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</si>
  <si>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</si>
  <si>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</si>
  <si>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</si>
  <si>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</si>
  <si>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</si>
  <si>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</si>
  <si>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</si>
  <si>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</si>
  <si>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</si>
  <si>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</si>
  <si>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</si>
  <si>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</si>
  <si>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</si>
  <si>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</si>
  <si>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</si>
  <si>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</si>
  <si>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</si>
  <si>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</si>
  <si>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</si>
  <si>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</si>
  <si>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</si>
  <si>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</si>
  <si>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</si>
  <si>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</si>
  <si>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</si>
  <si>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</si>
  <si>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</si>
  <si>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</si>
  <si>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</si>
  <si>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</si>
  <si>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</si>
  <si>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</si>
  <si>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</si>
  <si>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</si>
  <si>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</si>
  <si>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</si>
  <si>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</si>
  <si>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</si>
  <si>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</si>
  <si>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</si>
  <si>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</si>
  <si>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</si>
  <si>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</si>
  <si>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</si>
  <si>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</si>
  <si>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</si>
  <si>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</si>
  <si>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</si>
  <si>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</si>
  <si>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</si>
  <si>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</si>
  <si>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</si>
  <si>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</si>
  <si>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</si>
  <si>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</si>
  <si>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</si>
  <si>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</si>
  <si>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</si>
  <si>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</si>
  <si>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</si>
  <si>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</si>
  <si>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</si>
  <si>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</si>
  <si>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</si>
  <si>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</si>
  <si>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</si>
  <si>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</si>
  <si>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</si>
  <si>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</si>
  <si>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</si>
  <si>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</si>
  <si>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</si>
  <si>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</si>
  <si>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</si>
  <si>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</si>
  <si>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</si>
  <si>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</si>
  <si>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</si>
  <si>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</si>
  <si>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</si>
  <si>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</si>
  <si>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</si>
  <si>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</si>
  <si>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</si>
  <si>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</si>
  <si>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</si>
  <si>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</si>
  <si>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</si>
  <si>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</si>
  <si>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</si>
  <si>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</si>
  <si>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</si>
  <si>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</si>
  <si>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</si>
  <si>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</si>
  <si>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</si>
  <si>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</si>
  <si>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</si>
  <si>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</si>
  <si>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</si>
  <si>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</si>
  <si>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</si>
  <si>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</si>
  <si>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</si>
  <si>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</si>
  <si>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</si>
  <si>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</si>
  <si>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</si>
  <si>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</si>
  <si>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</si>
  <si>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</si>
  <si>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</si>
  <si>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</si>
  <si>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</si>
  <si>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</si>
  <si>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</si>
  <si>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</si>
  <si>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</si>
  <si>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</si>
  <si>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</si>
  <si>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</si>
  <si>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</si>
  <si>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</si>
  <si>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</si>
  <si>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</si>
  <si>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</si>
  <si>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</si>
  <si>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</si>
  <si>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</si>
  <si>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</si>
  <si>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</si>
  <si>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</si>
  <si>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</si>
  <si>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</si>
  <si>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</si>
  <si>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</si>
  <si>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</si>
  <si>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</si>
  <si>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</si>
  <si>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</si>
  <si>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</si>
  <si>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</si>
  <si>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</si>
  <si>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</si>
  <si>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</si>
  <si>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</si>
  <si>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</si>
  <si>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</si>
  <si>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</si>
  <si>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</si>
  <si>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</si>
  <si>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</si>
  <si>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</si>
  <si>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</si>
  <si>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</si>
  <si>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</si>
  <si>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</si>
  <si>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</si>
  <si>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</si>
  <si>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</si>
  <si>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</si>
  <si>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</si>
  <si>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</si>
  <si>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</si>
  <si>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</si>
  <si>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</si>
  <si>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</si>
  <si>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</si>
  <si>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</si>
  <si>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</si>
  <si>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</si>
  <si>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</si>
  <si>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</si>
  <si>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</si>
  <si>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</si>
  <si>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</si>
  <si>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</si>
  <si>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</si>
  <si>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</si>
  <si>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</si>
  <si>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</si>
  <si>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</si>
  <si>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</si>
  <si>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</si>
  <si>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</si>
  <si>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</si>
  <si>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</si>
  <si>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</si>
  <si>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</si>
  <si>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</si>
  <si>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</si>
  <si>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</si>
  <si>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</si>
  <si>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</si>
  <si>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</si>
  <si>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</si>
  <si>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</si>
  <si>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</si>
  <si>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</si>
  <si>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</si>
  <si>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</si>
  <si>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</si>
  <si>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</si>
  <si>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</si>
  <si>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</si>
  <si>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</si>
  <si>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</si>
  <si>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</si>
  <si>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</si>
  <si>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</si>
  <si>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</si>
  <si>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</si>
  <si>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</si>
  <si>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</si>
  <si>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</si>
  <si>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</si>
  <si>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</si>
  <si>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</si>
  <si>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</si>
  <si>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</si>
  <si>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</si>
  <si>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</si>
  <si>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</si>
  <si>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</si>
  <si>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</si>
  <si>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</si>
  <si>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</si>
  <si>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</si>
  <si>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</si>
  <si>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</si>
  <si>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</si>
  <si>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</si>
  <si>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</si>
  <si>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</si>
  <si>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</si>
  <si>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</si>
  <si>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</si>
  <si>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</si>
  <si>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</si>
  <si>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</si>
  <si>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</si>
  <si>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</si>
  <si>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</si>
  <si>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</si>
  <si>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</si>
  <si>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</si>
  <si>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</si>
  <si>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</si>
  <si>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</si>
  <si>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</si>
  <si>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</si>
  <si>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</si>
  <si>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</si>
  <si>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</si>
  <si>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</si>
  <si>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</si>
  <si>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</si>
  <si>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</si>
  <si>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</si>
  <si>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</si>
  <si>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</si>
  <si>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</si>
  <si>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</si>
  <si>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</si>
  <si>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</si>
  <si>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</si>
  <si>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</si>
  <si>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</si>
  <si>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</si>
  <si>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</si>
  <si>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</si>
  <si>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</si>
  <si>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</si>
  <si>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</si>
  <si>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</si>
  <si>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</si>
  <si>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</si>
  <si>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</si>
  <si>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</si>
  <si>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</si>
  <si>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</si>
  <si>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</si>
  <si>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</si>
  <si>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</si>
  <si>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</si>
  <si>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</si>
  <si>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</si>
  <si>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</si>
  <si>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</si>
  <si>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</si>
  <si>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</si>
  <si>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</si>
  <si>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</si>
  <si>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</si>
  <si>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</si>
  <si>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</si>
  <si>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</si>
  <si>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</si>
  <si>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</si>
  <si>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</si>
  <si>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</si>
  <si>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</si>
  <si>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</si>
  <si>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</si>
  <si>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</si>
  <si>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</si>
  <si>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</si>
  <si>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</si>
  <si>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</si>
  <si>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</si>
  <si>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</si>
  <si>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</si>
  <si>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</si>
  <si>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</si>
  <si>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</si>
  <si>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</si>
  <si>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</si>
  <si>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</si>
  <si>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</si>
  <si>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</si>
  <si>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</si>
  <si>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</si>
  <si>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</si>
  <si>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</si>
  <si>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</si>
  <si>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</si>
  <si>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</si>
  <si>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</si>
  <si>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</si>
  <si>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</si>
  <si>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</si>
  <si>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</si>
  <si>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</si>
  <si>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</si>
  <si>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</si>
  <si>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</si>
  <si>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</si>
  <si>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</si>
  <si>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</si>
  <si>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</si>
  <si>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</si>
  <si>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</si>
  <si>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</si>
  <si>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</si>
  <si>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</si>
  <si>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</si>
  <si>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</si>
  <si>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</si>
  <si>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</si>
  <si>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</si>
  <si>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</si>
  <si>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</si>
  <si>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</si>
  <si>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</si>
  <si>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</si>
  <si>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</si>
  <si>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</si>
  <si>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</si>
  <si>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</si>
  <si>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</si>
  <si>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</si>
  <si>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</si>
  <si>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</si>
  <si>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</si>
  <si>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</si>
  <si>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</si>
  <si>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</si>
  <si>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</si>
  <si>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</si>
  <si>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</si>
  <si>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</si>
  <si>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</si>
  <si>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</si>
  <si>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</si>
  <si>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</si>
  <si>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</si>
  <si>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</si>
  <si>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</si>
  <si>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</si>
  <si>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</si>
  <si>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</si>
  <si>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</si>
  <si>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</si>
  <si>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</si>
  <si>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</si>
  <si>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</si>
  <si>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</si>
  <si>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</si>
  <si>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</si>
  <si>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</si>
  <si>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</si>
  <si>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</si>
  <si>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</si>
  <si>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</si>
  <si>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</si>
  <si>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</si>
  <si>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</si>
  <si>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</si>
  <si>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</si>
  <si>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</si>
  <si>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</si>
  <si>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</si>
  <si>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</si>
  <si>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</si>
  <si>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</si>
  <si>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</si>
  <si>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</si>
  <si>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</si>
  <si>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</si>
  <si>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</si>
  <si>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</si>
  <si>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</si>
  <si>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</si>
  <si>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</si>
  <si>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</si>
  <si>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</si>
  <si>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</si>
  <si>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</si>
  <si>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</si>
  <si>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</si>
  <si>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</si>
  <si>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</si>
  <si>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</si>
  <si>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</si>
  <si>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</si>
  <si>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</si>
  <si>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</si>
  <si>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</si>
  <si>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</si>
  <si>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</si>
  <si>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</si>
  <si>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</si>
  <si>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</si>
  <si>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</si>
  <si>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</si>
  <si>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</si>
  <si>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</si>
  <si>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</si>
  <si>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</si>
  <si>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</si>
  <si>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</si>
  <si>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</si>
  <si>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</si>
  <si>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</si>
  <si>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</si>
  <si>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</si>
  <si>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</si>
  <si>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</si>
  <si>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</si>
  <si>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</si>
  <si>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</si>
  <si>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</si>
  <si>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</si>
  <si>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</si>
  <si>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</si>
  <si>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</si>
  <si>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</si>
  <si>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</si>
  <si>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</si>
  <si>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</si>
  <si>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</si>
  <si>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</si>
  <si>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</si>
  <si>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</si>
  <si>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</si>
  <si>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</si>
  <si>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</si>
  <si>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</si>
  <si>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</si>
  <si>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</si>
  <si>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</si>
  <si>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</si>
  <si>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</si>
  <si>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</si>
  <si>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</si>
  <si>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</si>
  <si>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</si>
  <si>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</si>
  <si>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</si>
  <si>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</si>
  <si>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</si>
  <si>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</si>
  <si>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</si>
  <si>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</si>
  <si>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</si>
  <si>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</si>
  <si>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</si>
  <si>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</si>
  <si>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</si>
  <si>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</si>
  <si>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</si>
  <si>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</si>
  <si>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</si>
  <si>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</si>
  <si>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</si>
  <si>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</si>
  <si>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</si>
  <si>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</si>
  <si>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</si>
  <si>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</si>
  <si>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</si>
  <si>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</si>
  <si>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</si>
  <si>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</si>
  <si>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</si>
  <si>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</si>
  <si>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</si>
  <si>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</si>
  <si>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</si>
  <si>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</si>
  <si>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</si>
  <si>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</si>
  <si>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</si>
  <si>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</si>
  <si>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</si>
  <si>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</si>
  <si>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</si>
  <si>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</si>
  <si>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</si>
  <si>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</si>
  <si>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</si>
  <si>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</si>
  <si>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</si>
  <si>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</si>
  <si>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</si>
  <si>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</si>
  <si>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</si>
  <si>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</si>
  <si>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</si>
  <si>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</si>
  <si>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</si>
  <si>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</si>
  <si>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</si>
  <si>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</si>
  <si>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</si>
  <si>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</si>
  <si>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</si>
  <si>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</si>
  <si>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</si>
  <si>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</si>
  <si>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</si>
  <si>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</si>
  <si>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</si>
  <si>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</si>
  <si>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</si>
  <si>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</si>
  <si>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</si>
  <si>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</si>
  <si>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</si>
  <si>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</si>
  <si>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</si>
  <si>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</si>
  <si>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</si>
  <si>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</si>
  <si>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</si>
  <si>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</si>
  <si>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</si>
  <si>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</si>
  <si>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</si>
  <si>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</si>
  <si>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</si>
  <si>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</si>
  <si>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</si>
  <si>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</si>
  <si>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</si>
  <si>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</si>
  <si>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</si>
  <si>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</si>
  <si>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</si>
  <si>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</si>
  <si>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</si>
  <si>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</si>
  <si>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</si>
  <si>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</si>
  <si>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</si>
  <si>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</si>
  <si>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</si>
  <si>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</si>
  <si>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</si>
  <si>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</si>
  <si>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</si>
  <si>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</si>
  <si>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</si>
  <si>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</si>
  <si>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</si>
  <si>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</si>
  <si>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</si>
  <si>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</si>
  <si>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</si>
  <si>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</si>
  <si>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</si>
  <si>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</si>
  <si>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</si>
  <si>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</si>
  <si>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</si>
  <si>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</si>
  <si>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</si>
  <si>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</si>
  <si>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</si>
  <si>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</si>
  <si>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</si>
  <si>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</si>
  <si>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</si>
  <si>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</si>
  <si>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</si>
  <si>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</si>
  <si>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</si>
  <si>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</si>
  <si>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</si>
  <si>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</si>
  <si>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</si>
  <si>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</si>
  <si>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</si>
  <si>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</si>
  <si>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</si>
  <si>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</si>
  <si>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</si>
  <si>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</si>
  <si>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</si>
  <si>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</si>
  <si>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</si>
  <si>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</si>
  <si>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</si>
  <si>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</si>
  <si>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</si>
  <si>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</si>
  <si>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</si>
  <si>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</si>
  <si>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</si>
  <si>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</si>
  <si>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</si>
  <si>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</si>
  <si>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</si>
  <si>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</si>
  <si>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</si>
  <si>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</si>
  <si>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</si>
  <si>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</si>
  <si>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</si>
  <si>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</si>
  <si>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</si>
  <si>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</si>
  <si>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</si>
  <si>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</si>
  <si>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</si>
  <si>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</si>
  <si>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</si>
  <si>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</si>
  <si>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</si>
  <si>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</si>
  <si>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</si>
  <si>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</si>
  <si>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</si>
  <si>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</si>
  <si>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</si>
  <si>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</si>
  <si>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</si>
  <si>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</si>
  <si>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</si>
  <si>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</si>
  <si>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</si>
  <si>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</si>
  <si>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</si>
  <si>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</si>
  <si>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</si>
  <si>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</si>
  <si>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</si>
  <si>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</si>
  <si>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</si>
  <si>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</si>
  <si>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</si>
  <si>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</si>
  <si>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</si>
  <si>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</si>
  <si>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</si>
  <si>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</si>
  <si>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</si>
  <si>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</si>
  <si>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</si>
  <si>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</si>
  <si>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</si>
  <si>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</si>
  <si>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</si>
  <si>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</si>
  <si>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</si>
  <si>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</si>
  <si>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</si>
  <si>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</si>
  <si>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</si>
  <si>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</si>
  <si>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</si>
  <si>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</si>
  <si>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</si>
  <si>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</si>
  <si>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</si>
  <si>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</si>
  <si>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</si>
  <si>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</si>
  <si>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</si>
  <si>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</si>
  <si>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</si>
  <si>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</si>
  <si>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</si>
  <si>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</si>
  <si>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</si>
  <si>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</si>
  <si>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</si>
  <si>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</si>
  <si>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</si>
  <si>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</si>
  <si>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</si>
  <si>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</si>
  <si>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</si>
  <si>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</si>
  <si>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</si>
  <si>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</si>
  <si>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</si>
  <si>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</si>
  <si>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</si>
  <si>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</si>
  <si>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</si>
  <si>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</si>
  <si>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</si>
  <si>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</si>
  <si>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</si>
  <si>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</si>
  <si>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</si>
  <si>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</si>
  <si>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</si>
  <si>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</si>
  <si>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</si>
  <si>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</si>
  <si>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</si>
  <si>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</si>
  <si>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</si>
  <si>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</si>
  <si>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</si>
  <si>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</si>
  <si>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</si>
  <si>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</si>
  <si>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</si>
  <si>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</si>
  <si>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</si>
  <si>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</si>
  <si>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</si>
  <si>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</si>
  <si>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</si>
  <si>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</si>
  <si>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</si>
  <si>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</si>
  <si>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</si>
  <si>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</si>
  <si>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</si>
  <si>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</si>
  <si>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</si>
  <si>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</si>
  <si>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</si>
  <si>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</si>
  <si>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</si>
  <si>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</si>
  <si>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</si>
  <si>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</si>
  <si>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</si>
  <si>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</si>
  <si>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</si>
  <si>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</si>
  <si>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</si>
  <si>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</si>
  <si>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</si>
  <si>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</si>
  <si>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</si>
  <si>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</si>
  <si>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</si>
  <si>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</si>
  <si>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</si>
  <si>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</si>
  <si>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</si>
  <si>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</si>
  <si>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</si>
  <si>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</si>
  <si>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</si>
  <si>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</si>
  <si>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</si>
  <si>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</si>
  <si>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</si>
  <si>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</si>
  <si>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</si>
  <si>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</si>
  <si>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</si>
  <si>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</si>
  <si>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</si>
  <si>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</si>
  <si>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</si>
  <si>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</si>
  <si>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</si>
  <si>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</si>
  <si>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</si>
  <si>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</si>
  <si>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</si>
  <si>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</si>
  <si>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</si>
  <si>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</si>
  <si>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</si>
  <si>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</si>
  <si>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</si>
  <si>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</si>
  <si>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</si>
  <si>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</si>
  <si>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</si>
  <si>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</si>
  <si>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</si>
  <si>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</si>
  <si>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</si>
  <si>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</si>
  <si>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</si>
  <si>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</si>
  <si>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</si>
  <si>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</si>
  <si>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</si>
  <si>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</si>
  <si>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</si>
  <si>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</si>
  <si>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</si>
  <si>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</si>
  <si>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</si>
  <si>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</si>
  <si>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</si>
  <si>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</si>
  <si>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</si>
  <si>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</si>
  <si>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</si>
  <si>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</si>
  <si>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</si>
  <si>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</si>
  <si>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</si>
  <si>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</si>
  <si>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</si>
  <si>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</si>
  <si>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</si>
  <si>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</si>
  <si>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</si>
  <si>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</si>
  <si>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</si>
  <si>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</si>
  <si>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</si>
  <si>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</si>
  <si>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</si>
  <si>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</si>
  <si>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</si>
  <si>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</si>
  <si>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</si>
  <si>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</si>
  <si>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</si>
  <si>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</si>
  <si>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</si>
  <si>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</si>
  <si>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</si>
  <si>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</si>
  <si>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</si>
  <si>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</si>
  <si>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</si>
  <si>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</si>
  <si>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</si>
  <si>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</si>
  <si>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</si>
  <si>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</si>
  <si>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</si>
  <si>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</si>
  <si>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</si>
  <si>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</si>
  <si>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</si>
  <si>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</si>
  <si>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</si>
  <si>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</si>
  <si>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</si>
  <si>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</si>
  <si>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</si>
  <si>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</si>
  <si>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</si>
  <si>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</si>
  <si>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</si>
  <si>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</si>
  <si>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</si>
  <si>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</si>
  <si>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</si>
  <si>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</si>
  <si>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</si>
  <si>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</si>
  <si>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</si>
  <si>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</si>
  <si>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</si>
  <si>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</si>
  <si>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</si>
  <si>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</si>
  <si>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</si>
  <si>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</si>
  <si>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</si>
  <si>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</si>
  <si>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</si>
  <si>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</si>
  <si>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</si>
  <si>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</si>
  <si>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</si>
  <si>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</si>
  <si>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</si>
  <si>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</si>
  <si>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</si>
  <si>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</si>
  <si>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</si>
  <si>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</si>
  <si>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</si>
  <si>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</si>
  <si>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</si>
  <si>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</si>
  <si>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</si>
  <si>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</si>
  <si>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</si>
  <si>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</si>
  <si>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</si>
  <si>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</si>
  <si>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</si>
  <si>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</si>
  <si>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</si>
  <si>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</si>
  <si>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</si>
  <si>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</si>
  <si>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</si>
  <si>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</si>
  <si>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</si>
  <si>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</si>
  <si>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</si>
  <si>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</si>
  <si>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</si>
  <si>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</si>
  <si>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</si>
  <si>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</si>
  <si>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</si>
  <si>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</si>
  <si>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</si>
  <si>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</si>
  <si>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</si>
  <si>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</si>
  <si>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</si>
  <si>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</si>
  <si>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</si>
  <si>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</si>
  <si>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</si>
  <si>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</si>
  <si>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</si>
  <si>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</si>
  <si>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</si>
  <si>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</si>
  <si>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</si>
  <si>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</si>
  <si>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</si>
  <si>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</si>
  <si>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</si>
  <si>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</si>
  <si>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</si>
  <si>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</si>
  <si>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</si>
  <si>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</si>
  <si>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</si>
  <si>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</si>
  <si>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</si>
  <si>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</si>
  <si>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</si>
  <si>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</si>
  <si>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</si>
  <si>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</si>
  <si>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</si>
  <si>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</si>
  <si>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</si>
  <si>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</si>
  <si>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</si>
  <si>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</si>
  <si>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</si>
  <si>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</si>
  <si>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</si>
  <si>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</si>
  <si>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</si>
  <si>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</si>
  <si>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</si>
  <si>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</si>
  <si>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</si>
  <si>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</si>
  <si>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</si>
  <si>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</si>
  <si>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</si>
  <si>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</si>
  <si>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</si>
  <si>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</si>
  <si>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</si>
  <si>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</si>
  <si>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</si>
  <si>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</si>
  <si>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</si>
  <si>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</si>
  <si>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</si>
  <si>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</si>
  <si>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</si>
  <si>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</si>
  <si>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</si>
  <si>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</si>
  <si>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</si>
  <si>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</si>
  <si>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</si>
  <si>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</si>
  <si>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</si>
  <si>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</si>
  <si>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</si>
  <si>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</si>
  <si>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</si>
  <si>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</si>
  <si>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</si>
  <si>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</si>
  <si>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</si>
  <si>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</si>
  <si>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</si>
  <si>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</si>
  <si>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</si>
  <si>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</si>
  <si>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</si>
  <si>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</si>
  <si>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</si>
  <si>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</si>
  <si>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</si>
  <si>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</si>
  <si>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</si>
  <si>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</si>
  <si>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</si>
  <si>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</si>
  <si>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</si>
  <si>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</si>
  <si>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</si>
  <si>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</si>
  <si>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</si>
  <si>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</si>
  <si>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</si>
  <si>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</si>
  <si>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</si>
  <si>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</si>
  <si>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</si>
  <si>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</si>
  <si>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</si>
  <si>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</si>
  <si>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</si>
  <si>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</si>
  <si>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</si>
  <si>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</si>
  <si>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</si>
  <si>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</si>
  <si>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</si>
  <si>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</si>
  <si>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</si>
  <si>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</si>
  <si>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</si>
  <si>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</si>
  <si>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</si>
  <si>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</si>
  <si>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</si>
  <si>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</si>
  <si>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</si>
  <si>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</si>
  <si>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</si>
  <si>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</si>
  <si>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</si>
  <si>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</si>
  <si>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</si>
  <si>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</si>
  <si>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</si>
  <si>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</si>
  <si>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</si>
  <si>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</si>
  <si>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</si>
  <si>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</si>
  <si>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</si>
  <si>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</si>
  <si>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</si>
  <si>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</si>
  <si>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</si>
  <si>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</si>
  <si>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</si>
  <si>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</si>
  <si>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</si>
  <si>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</si>
  <si>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</si>
  <si>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</si>
  <si>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</si>
  <si>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</si>
  <si>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</si>
  <si>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</si>
  <si>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</si>
  <si>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</si>
  <si>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</si>
  <si>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</si>
  <si>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</si>
  <si>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</si>
  <si>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</si>
  <si>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</si>
  <si>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</si>
  <si>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</si>
  <si>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</si>
  <si>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</si>
  <si>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</si>
  <si>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</si>
  <si>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</si>
  <si>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</si>
  <si>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</si>
  <si>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</si>
  <si>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</si>
  <si>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</si>
  <si>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</si>
  <si>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</si>
  <si>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</si>
  <si>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</si>
  <si>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</si>
  <si>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</si>
  <si>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</si>
  <si>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</si>
  <si>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</si>
  <si>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</si>
  <si>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</si>
  <si>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</si>
  <si>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</si>
  <si>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</si>
  <si>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</si>
  <si>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</si>
  <si>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</si>
  <si>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</si>
  <si>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</si>
  <si>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</si>
  <si>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</si>
  <si>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</si>
  <si>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</si>
  <si>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</si>
  <si>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</si>
  <si>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</si>
  <si>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</si>
  <si>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</si>
  <si>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</si>
  <si>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</si>
  <si>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</si>
  <si>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</si>
  <si>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</si>
  <si>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</si>
  <si>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</si>
  <si>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</si>
  <si>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</si>
  <si>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</si>
  <si>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</si>
  <si>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</si>
  <si>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</si>
  <si>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</si>
  <si>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</si>
  <si>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</si>
  <si>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</si>
  <si>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</si>
  <si>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</si>
  <si>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</si>
  <si>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</si>
  <si>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</si>
  <si>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</si>
  <si>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</si>
  <si>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</si>
  <si>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</si>
  <si>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</si>
  <si>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</si>
  <si>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</si>
  <si>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</si>
  <si>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</si>
  <si>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</si>
  <si>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</si>
  <si>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</si>
  <si>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</si>
  <si>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</si>
  <si>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</si>
  <si>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</si>
  <si>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</si>
  <si>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</si>
  <si>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</si>
  <si>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</si>
  <si>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</si>
  <si>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</si>
  <si>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</si>
  <si>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</si>
  <si>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</si>
  <si>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</si>
  <si>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</si>
  <si>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</si>
  <si>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</si>
  <si>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</si>
  <si>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</si>
  <si>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</si>
  <si>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</si>
  <si>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</si>
  <si>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</si>
  <si>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</si>
  <si>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</si>
  <si>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</si>
  <si>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</si>
  <si>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</si>
  <si>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</si>
  <si>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</si>
  <si>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</si>
  <si>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</si>
  <si>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</si>
  <si>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</si>
  <si>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</si>
  <si>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</si>
  <si>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</si>
  <si>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</si>
  <si>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</si>
  <si>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</si>
  <si>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</si>
  <si>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</si>
  <si>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</si>
  <si>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</si>
  <si>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</si>
  <si>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</si>
  <si>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</si>
  <si>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</si>
  <si>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</si>
  <si>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</si>
  <si>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</si>
  <si>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</si>
  <si>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</si>
  <si>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</si>
  <si>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</si>
  <si>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</si>
  <si>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</si>
  <si>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</si>
  <si>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</si>
  <si>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</si>
  <si>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</si>
  <si>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</si>
  <si>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</si>
  <si>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</si>
  <si>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</si>
  <si>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</si>
  <si>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</si>
  <si>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</si>
  <si>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</si>
  <si>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</si>
  <si>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</si>
  <si>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</si>
  <si>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</si>
  <si>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</si>
  <si>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</si>
  <si>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</si>
  <si>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</si>
  <si>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</si>
  <si>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</si>
  <si>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</si>
  <si>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</si>
  <si>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</si>
  <si>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</si>
  <si>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</si>
  <si>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</si>
  <si>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</si>
  <si>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</si>
  <si>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</si>
  <si>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</si>
  <si>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</si>
  <si>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</si>
  <si>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</si>
  <si>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</si>
  <si>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</si>
  <si>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</si>
  <si>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</si>
  <si>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</si>
  <si>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</si>
  <si>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</si>
  <si>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</si>
  <si>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</si>
  <si>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</si>
  <si>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</si>
  <si>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</si>
  <si>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</si>
  <si>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</si>
  <si>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</si>
  <si>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</si>
  <si>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</si>
  <si>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</si>
  <si>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</si>
  <si>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</si>
  <si>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</si>
  <si>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</si>
  <si>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</si>
  <si>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</si>
  <si>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</si>
  <si>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</si>
  <si>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</si>
  <si>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</si>
  <si>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</si>
  <si>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</si>
  <si>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</si>
  <si>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</si>
  <si>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</si>
  <si>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</si>
  <si>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</si>
  <si>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</si>
  <si>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</si>
  <si>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</si>
  <si>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</si>
  <si>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</si>
  <si>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</si>
  <si>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</si>
  <si>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</si>
  <si>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</si>
  <si>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</si>
  <si>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</si>
  <si>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</si>
  <si>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</si>
  <si>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</si>
  <si>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</si>
  <si>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</si>
  <si>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</si>
  <si>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</si>
  <si>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</si>
  <si>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</si>
  <si>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</si>
  <si>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</si>
  <si>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</si>
  <si>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</si>
  <si>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</si>
  <si>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</si>
  <si>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</si>
  <si>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</si>
  <si>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</si>
  <si>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</si>
  <si>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</si>
  <si>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</si>
  <si>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</si>
  <si>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</si>
  <si>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</si>
  <si>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</si>
  <si>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</si>
  <si>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</si>
  <si>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</si>
  <si>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</si>
  <si>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</si>
  <si>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</si>
  <si>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</si>
  <si>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</si>
  <si>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</si>
  <si>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</si>
  <si>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</si>
  <si>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</si>
  <si>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</si>
  <si>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</si>
  <si>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</si>
  <si>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</si>
  <si>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</si>
  <si>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</si>
  <si>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</si>
  <si>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</si>
  <si>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</si>
  <si>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</si>
  <si>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</si>
  <si>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</si>
  <si>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</si>
  <si>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</si>
  <si>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</si>
  <si>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</si>
  <si>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</si>
  <si>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</si>
  <si>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</si>
  <si>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</si>
  <si>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</si>
  <si>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</si>
  <si>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</si>
  <si>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</si>
  <si>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</si>
  <si>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</si>
  <si>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</si>
  <si>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</si>
  <si>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</si>
  <si>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</si>
  <si>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</si>
  <si>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</si>
  <si>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</si>
  <si>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</si>
  <si>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</si>
  <si>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</si>
  <si>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</si>
  <si>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</si>
  <si>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</si>
  <si>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</si>
  <si>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</si>
  <si>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</si>
  <si>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</si>
  <si>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</si>
  <si>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</si>
  <si>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</si>
  <si>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</si>
  <si>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</si>
  <si>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</si>
  <si>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</si>
  <si>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</si>
  <si>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</si>
  <si>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</si>
  <si>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</si>
  <si>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</si>
  <si>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</si>
  <si>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</si>
  <si>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</si>
  <si>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</si>
  <si>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</si>
  <si>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</si>
  <si>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</si>
  <si>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</si>
  <si>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</si>
  <si>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</si>
  <si>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</si>
  <si>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</si>
  <si>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</si>
  <si>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</si>
  <si>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</si>
  <si>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</si>
  <si>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</si>
  <si>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</si>
  <si>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</si>
  <si>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</si>
  <si>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</si>
  <si>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</si>
  <si>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</si>
  <si>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</si>
  <si>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</si>
  <si>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</si>
  <si>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</si>
  <si>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</si>
  <si>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</si>
  <si>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</si>
  <si>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</si>
  <si>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</si>
  <si>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</si>
  <si>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</si>
  <si>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</si>
  <si>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</si>
  <si>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</si>
  <si>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</si>
  <si>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</si>
  <si>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</si>
  <si>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</si>
  <si>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</si>
  <si>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</si>
  <si>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</si>
  <si>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</si>
  <si>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</si>
  <si>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</si>
  <si>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</si>
  <si>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</si>
  <si>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</si>
  <si>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</si>
  <si>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</si>
  <si>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</si>
  <si>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</si>
  <si>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</si>
  <si>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</si>
  <si>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</si>
  <si>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</si>
  <si>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</si>
  <si>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</si>
  <si>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</si>
  <si>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</si>
  <si>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</si>
  <si>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</si>
  <si>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</si>
  <si>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</si>
  <si>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</si>
  <si>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</si>
  <si>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</si>
  <si>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</si>
  <si>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</si>
  <si>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</si>
  <si>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</si>
  <si>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</si>
  <si>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</si>
  <si>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</si>
  <si>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</si>
  <si>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</si>
  <si>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</si>
  <si>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</si>
  <si>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</si>
  <si>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</si>
  <si>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</si>
  <si>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</si>
  <si>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</si>
  <si>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</si>
  <si>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</si>
  <si>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</si>
  <si>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</si>
  <si>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</si>
  <si>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</si>
  <si>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</si>
  <si>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</si>
  <si>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</si>
  <si>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</si>
  <si>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</si>
  <si>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</si>
  <si>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</si>
  <si>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</si>
  <si>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</si>
  <si>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</si>
  <si>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</si>
  <si>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</si>
  <si>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</si>
  <si>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</si>
  <si>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</si>
  <si>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</si>
  <si>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</si>
  <si>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</si>
  <si>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</si>
  <si>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</si>
  <si>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</si>
  <si>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</si>
  <si>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</si>
  <si>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</si>
  <si>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</si>
  <si>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</si>
  <si>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</si>
  <si>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</si>
  <si>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</si>
  <si>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</si>
  <si>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</si>
  <si>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</si>
  <si>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</si>
  <si>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</si>
  <si>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</si>
  <si>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</si>
  <si>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</si>
  <si>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</si>
  <si>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</si>
  <si>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</si>
  <si>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</si>
  <si>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</si>
  <si>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</si>
  <si>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</si>
  <si>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</si>
  <si>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</si>
  <si>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</si>
  <si>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</si>
  <si>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</si>
  <si>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</si>
  <si>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</si>
  <si>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</si>
  <si>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</si>
  <si>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</si>
  <si>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</si>
  <si>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</si>
  <si>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</si>
  <si>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</si>
  <si>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</si>
  <si>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</si>
  <si>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</si>
  <si>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</si>
  <si>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</si>
  <si>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</si>
  <si>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</si>
  <si>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</si>
  <si>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</si>
  <si>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</si>
  <si>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</si>
  <si>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</si>
  <si>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</si>
  <si>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</si>
  <si>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</si>
  <si>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</si>
  <si>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</si>
  <si>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</si>
  <si>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</si>
  <si>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</si>
  <si>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</si>
  <si>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</si>
  <si>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</si>
  <si>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</si>
  <si>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</si>
  <si>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</si>
  <si>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</si>
  <si>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</si>
  <si>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</si>
  <si>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</si>
  <si>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</si>
  <si>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</si>
  <si>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</si>
  <si>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</si>
  <si>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</si>
  <si>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</si>
  <si>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</si>
  <si>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</si>
  <si>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</si>
  <si>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</si>
  <si>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</si>
  <si>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</si>
  <si>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</si>
  <si>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</si>
  <si>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</si>
  <si>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</si>
  <si>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</si>
  <si>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</si>
  <si>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</si>
  <si>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</si>
  <si>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</si>
  <si>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</si>
  <si>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</si>
  <si>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</si>
  <si>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</si>
  <si>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</si>
  <si>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</si>
  <si>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</si>
  <si>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</si>
  <si>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</si>
  <si>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</si>
  <si>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</si>
  <si>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</si>
  <si>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</si>
  <si>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</si>
  <si>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</si>
  <si>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</si>
  <si>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</si>
  <si>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</si>
  <si>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</si>
  <si>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</si>
  <si>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</si>
  <si>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</si>
  <si>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</si>
  <si>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</si>
  <si>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</si>
  <si>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</si>
  <si>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</si>
  <si>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</si>
  <si>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</si>
  <si>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</si>
  <si>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</si>
  <si>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</si>
  <si>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</si>
  <si>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</si>
  <si>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</si>
  <si>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</si>
  <si>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</si>
  <si>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</si>
  <si>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</si>
  <si>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</si>
  <si>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</si>
  <si>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</si>
  <si>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</si>
  <si>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</si>
  <si>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</si>
  <si>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</si>
  <si>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</si>
  <si>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</si>
  <si>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</si>
  <si>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</si>
  <si>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</si>
  <si>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</si>
  <si>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</si>
  <si>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</si>
  <si>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</si>
  <si>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</si>
  <si>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</si>
  <si>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</si>
  <si>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</si>
  <si>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</si>
  <si>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</si>
  <si>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</si>
  <si>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</si>
  <si>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</si>
  <si>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</si>
  <si>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</si>
  <si>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</si>
  <si>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</si>
  <si>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</si>
  <si>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</si>
  <si>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</si>
  <si>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</si>
  <si>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</si>
  <si>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</si>
  <si>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</si>
  <si>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</si>
  <si>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</si>
  <si>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</si>
  <si>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</si>
  <si>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</si>
  <si>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</si>
  <si>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</si>
  <si>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</si>
  <si>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</si>
  <si>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</si>
  <si>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</si>
  <si>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</si>
  <si>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</si>
  <si>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</si>
  <si>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</si>
  <si>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</si>
  <si>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</si>
  <si>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</si>
  <si>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</si>
  <si>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</si>
  <si>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</si>
  <si>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</si>
  <si>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</si>
  <si>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</si>
  <si>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</si>
  <si>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</si>
  <si>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</si>
  <si>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</si>
  <si>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</si>
  <si>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</si>
  <si>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</si>
  <si>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</si>
  <si>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</si>
  <si>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</si>
  <si>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</si>
  <si>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</si>
  <si>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</si>
  <si>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</si>
  <si>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</si>
  <si>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</si>
  <si>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</si>
  <si>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</si>
  <si>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</si>
  <si>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</si>
  <si>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</si>
  <si>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</si>
  <si>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</si>
  <si>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</si>
  <si>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</si>
  <si>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</si>
  <si>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</si>
  <si>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</si>
  <si>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</si>
  <si>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</si>
  <si>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</si>
  <si>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</si>
  <si>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</si>
  <si>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</si>
  <si>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</si>
  <si>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</si>
  <si>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</si>
  <si>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</si>
  <si>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</si>
  <si>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</si>
  <si>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</si>
  <si>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</si>
  <si>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</si>
  <si>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</si>
  <si>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</si>
  <si>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</si>
  <si>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</si>
  <si>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</si>
  <si>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</si>
  <si>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</si>
  <si>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</si>
  <si>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</si>
  <si>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</si>
  <si>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</si>
  <si>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</si>
  <si>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</si>
  <si>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</si>
  <si>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</si>
  <si>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</si>
  <si>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</si>
  <si>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</si>
  <si>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</si>
  <si>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</si>
  <si>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</si>
  <si>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</si>
  <si>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</si>
  <si>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</si>
  <si>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</si>
  <si>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</si>
  <si>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</si>
  <si>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</si>
  <si>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</si>
  <si>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</si>
  <si>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</si>
  <si>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</si>
  <si>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</si>
  <si>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</si>
  <si>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</si>
  <si>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</si>
  <si>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</si>
  <si>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</si>
  <si>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</si>
  <si>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</si>
  <si>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</si>
  <si>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</si>
  <si>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</si>
  <si>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</si>
  <si>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</si>
  <si>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</si>
  <si>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</si>
  <si>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</si>
  <si>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</si>
  <si>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</si>
  <si>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</si>
  <si>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</si>
  <si>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</si>
  <si>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</si>
  <si>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</si>
  <si>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</si>
  <si>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</si>
  <si>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</si>
  <si>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</si>
  <si>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</si>
  <si>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</si>
  <si>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</si>
  <si>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</si>
  <si>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</si>
  <si>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</si>
  <si>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</si>
  <si>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</si>
  <si>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</si>
  <si>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</si>
  <si>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</si>
  <si>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</si>
  <si>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</si>
  <si>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</si>
  <si>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</si>
  <si>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</si>
  <si>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</si>
  <si>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</si>
  <si>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</si>
  <si>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</si>
  <si>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</si>
  <si>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</si>
  <si>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</si>
  <si>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</si>
  <si>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</si>
  <si>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</si>
  <si>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</si>
  <si>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</si>
  <si>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</si>
  <si>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</si>
  <si>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</si>
  <si>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</si>
  <si>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</si>
  <si>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</si>
  <si>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</si>
  <si>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</si>
  <si>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</si>
  <si>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</si>
  <si>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</si>
  <si>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</si>
  <si>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</si>
  <si>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</si>
  <si>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</si>
  <si>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</si>
  <si>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</si>
  <si>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</si>
  <si>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</si>
  <si>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</si>
  <si>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</si>
  <si>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</si>
  <si>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</si>
  <si>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</si>
  <si>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</si>
  <si>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</si>
  <si>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</si>
  <si>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</si>
  <si>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</si>
  <si>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</si>
  <si>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</si>
  <si>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</si>
  <si>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</si>
  <si>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</si>
  <si>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</si>
  <si>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</si>
  <si>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</si>
  <si>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</si>
  <si>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</si>
  <si>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</si>
  <si>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</si>
  <si>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</si>
  <si>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</si>
  <si>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</si>
  <si>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</si>
  <si>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</si>
  <si>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</si>
  <si>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</si>
  <si>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</si>
  <si>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</si>
  <si>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</si>
  <si>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</si>
  <si>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</si>
  <si>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</si>
  <si>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</si>
  <si>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</si>
  <si>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</si>
  <si>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</si>
  <si>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</si>
  <si>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</si>
  <si>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</si>
  <si>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</si>
  <si>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</si>
  <si>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</si>
  <si>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</si>
  <si>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</si>
  <si>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</si>
  <si>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</si>
  <si>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</si>
  <si>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</si>
  <si>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</si>
  <si>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</si>
  <si>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</si>
  <si>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</si>
  <si>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</si>
  <si>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</si>
  <si>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</si>
  <si>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</si>
  <si>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</si>
  <si>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</si>
  <si>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</si>
  <si>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</si>
  <si>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</si>
  <si>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</si>
  <si>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</si>
  <si>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</si>
  <si>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</si>
  <si>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</si>
  <si>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</si>
  <si>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</si>
  <si>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</si>
  <si>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</si>
  <si>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</si>
  <si>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</si>
  <si>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</si>
  <si>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</si>
  <si>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</si>
  <si>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</si>
  <si>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</si>
  <si>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</si>
  <si>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</si>
  <si>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</si>
  <si>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</si>
  <si>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</si>
  <si>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</si>
  <si>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</si>
  <si>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</si>
  <si>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</si>
  <si>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</si>
  <si>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</si>
  <si>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</si>
  <si>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</si>
  <si>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</si>
  <si>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</si>
  <si>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</si>
  <si>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</si>
  <si>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</si>
  <si>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</si>
  <si>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</si>
  <si>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</si>
  <si>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</si>
  <si>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</si>
  <si>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</si>
  <si>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</si>
  <si>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</si>
  <si>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</si>
  <si>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</si>
  <si>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</si>
  <si>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</si>
  <si>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</si>
  <si>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</si>
  <si>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</si>
  <si>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</si>
  <si>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</si>
  <si>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</si>
  <si>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</si>
  <si>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</si>
  <si>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</si>
  <si>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</si>
  <si>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</si>
  <si>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</si>
  <si>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</si>
  <si>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</si>
  <si>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</si>
  <si>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</si>
  <si>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</si>
  <si>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</si>
  <si>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</si>
  <si>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</si>
  <si>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</si>
  <si>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</si>
  <si>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</si>
  <si>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</si>
  <si>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</si>
  <si>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</si>
  <si>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</si>
  <si>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</si>
  <si>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</si>
  <si>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</si>
  <si>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</si>
  <si>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</si>
  <si>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</si>
  <si>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</si>
  <si>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</si>
  <si>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</si>
  <si>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</si>
  <si>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</si>
  <si>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</si>
  <si>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</si>
  <si>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</si>
  <si>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</si>
  <si>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</si>
  <si>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</si>
  <si>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</si>
  <si>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</si>
  <si>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</si>
  <si>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</si>
  <si>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</si>
  <si>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</si>
  <si>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</si>
  <si>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</si>
  <si>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</si>
  <si>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</si>
  <si>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</si>
  <si>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</si>
  <si>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</si>
  <si>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</si>
  <si>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</si>
  <si>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</si>
  <si>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</si>
  <si>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</si>
  <si>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</si>
  <si>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</si>
  <si>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</si>
  <si>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</si>
  <si>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</si>
  <si>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</si>
  <si>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</si>
  <si>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</si>
  <si>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</si>
  <si>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</si>
  <si>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</si>
  <si>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</si>
  <si>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</si>
  <si>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</si>
  <si>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</si>
  <si>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</si>
  <si>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</si>
  <si>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</si>
  <si>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</si>
  <si>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</si>
  <si>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</si>
  <si>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</si>
  <si>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</si>
  <si>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</si>
  <si>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</si>
  <si>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</si>
  <si>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</si>
  <si>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</si>
  <si>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</si>
  <si>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</si>
  <si>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</si>
  <si>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</si>
  <si>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</si>
  <si>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</si>
  <si>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</si>
  <si>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</si>
  <si>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</si>
  <si>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</si>
  <si>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</si>
  <si>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</si>
  <si>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</si>
  <si>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</si>
  <si>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</si>
  <si>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</si>
  <si>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</si>
  <si>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</si>
  <si>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</si>
  <si>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</si>
  <si>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</si>
  <si>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</si>
  <si>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</si>
  <si>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</si>
  <si>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</si>
  <si>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</si>
  <si>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</si>
  <si>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</si>
  <si>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</si>
  <si>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</si>
  <si>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</si>
  <si>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</si>
  <si>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</si>
  <si>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</si>
  <si>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</si>
  <si>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</si>
  <si>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</si>
  <si>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</si>
  <si>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</si>
  <si>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</si>
  <si>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</si>
  <si>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</si>
  <si>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</si>
  <si>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</si>
  <si>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</si>
  <si>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</si>
  <si>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</si>
  <si>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</si>
  <si>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</si>
  <si>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</si>
  <si>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</si>
  <si>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</si>
  <si>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</si>
  <si>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</si>
  <si>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</si>
  <si>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</si>
  <si>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</si>
  <si>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</si>
  <si>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</si>
  <si>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</si>
  <si>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</si>
  <si>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</si>
  <si>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</si>
  <si>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</si>
  <si>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</si>
  <si>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</si>
  <si>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</si>
  <si>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</si>
  <si>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</si>
  <si>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</si>
  <si>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</si>
  <si>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</si>
  <si>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</si>
  <si>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</si>
  <si>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</si>
  <si>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</si>
  <si>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</si>
  <si>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</si>
  <si>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</si>
  <si>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</si>
  <si>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</si>
  <si>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</si>
  <si>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</si>
  <si>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</si>
  <si>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</si>
  <si>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</si>
  <si>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</si>
  <si>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</si>
  <si>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</si>
  <si>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</si>
  <si>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</si>
  <si>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</si>
  <si>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</si>
  <si>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</si>
  <si>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</si>
  <si>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</si>
  <si>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</si>
  <si>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</si>
  <si>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</si>
  <si>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</si>
  <si>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</si>
  <si>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</si>
  <si>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</si>
  <si>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</si>
  <si>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</si>
  <si>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</si>
  <si>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</si>
  <si>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</si>
  <si>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</si>
  <si>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</si>
  <si>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</si>
  <si>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</si>
  <si>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</si>
  <si>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</si>
  <si>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</si>
  <si>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</si>
  <si>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</si>
  <si>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</si>
  <si>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</si>
  <si>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Waiting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</si>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</sst>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98.380692592589" createdVersion="7" refreshedVersion="7" minRefreshableVersion="3" recordCount="3688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88"/>
    </cacheField>
    <cacheField name="Forecast?" numFmtId="0">
      <sharedItems/>
    </cacheField>
    <cacheField name="Ticket" numFmtId="0">
      <sharedItems containsBlank="1" count="20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ing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8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0"/>
    <e v="#N/A"/>
    <m/>
    <m/>
    <s v="Marcin Kuskowski"/>
  </r>
  <r>
    <n v="3345"/>
    <s v="F2"/>
    <x v="104"/>
    <s v="G000001030"/>
    <s v="LH Gebaude LS Warehouse DA"/>
    <m/>
    <s v="Rename"/>
    <x v="1"/>
    <x v="0"/>
    <e v="#N/A"/>
    <m/>
    <m/>
    <s v="Marcin Kuskowski"/>
  </r>
  <r>
    <n v="3346"/>
    <s v="F2"/>
    <x v="104"/>
    <s v="G000001031"/>
    <s v="SM-EP Gebaude Gernsheim"/>
    <m/>
    <s v="Rename"/>
    <x v="1"/>
    <x v="0"/>
    <e v="#N/A"/>
    <m/>
    <m/>
    <s v="Marcin Kuskowski"/>
  </r>
  <r>
    <n v="3347"/>
    <s v="F2"/>
    <x v="104"/>
    <s v="G000001032"/>
    <s v="SM-EP Freiflachen Gernsheim"/>
    <m/>
    <s v="Rename"/>
    <x v="1"/>
    <x v="0"/>
    <e v="#N/A"/>
    <m/>
    <m/>
    <s v="Marcin Kuskowski"/>
  </r>
  <r>
    <n v="3348"/>
    <s v="F2"/>
    <x v="104"/>
    <s v="G000001045"/>
    <s v="SM GHM Full Service Gebaude"/>
    <m/>
    <s v="Rename"/>
    <x v="1"/>
    <x v="0"/>
    <e v="#N/A"/>
    <m/>
    <m/>
    <s v="Marcin Kuskowski"/>
  </r>
  <r>
    <n v="3349"/>
    <s v="F2"/>
    <x v="104"/>
    <s v="G000001048"/>
    <s v="SM GHM Shell &amp; Core Gebaude"/>
    <m/>
    <s v="Rename"/>
    <x v="1"/>
    <x v="0"/>
    <e v="#N/A"/>
    <m/>
    <m/>
    <s v="Marcin Kuskowski"/>
  </r>
  <r>
    <n v="3350"/>
    <s v="F2"/>
    <x v="104"/>
    <s v="G000001052"/>
    <s v="SM GHM Lease Hold Gebaude"/>
    <m/>
    <s v="Rename"/>
    <x v="1"/>
    <x v="0"/>
    <e v="#N/A"/>
    <m/>
    <m/>
    <s v="Marcin Kuskowski"/>
  </r>
  <r>
    <n v="3351"/>
    <s v="F2"/>
    <x v="104"/>
    <s v="G000001055"/>
    <s v="SuSo Full Service Gebaude"/>
    <m/>
    <s v="Rename"/>
    <x v="1"/>
    <x v="0"/>
    <e v="#N/A"/>
    <m/>
    <m/>
    <s v="Marcin Kuskowski"/>
  </r>
  <r>
    <n v="3352"/>
    <s v="F2"/>
    <x v="104"/>
    <s v="G000001059"/>
    <s v="SuSo Shell &amp; Core Gebaude"/>
    <m/>
    <s v="Rename"/>
    <x v="1"/>
    <x v="0"/>
    <e v="#N/A"/>
    <m/>
    <m/>
    <s v="Marcin Kuskowski"/>
  </r>
  <r>
    <n v="3353"/>
    <s v="F2"/>
    <x v="104"/>
    <s v="G000001065"/>
    <s v="Lease Hold Gebaude HO"/>
    <m/>
    <s v="Rename"/>
    <x v="1"/>
    <x v="0"/>
    <e v="#N/A"/>
    <m/>
    <m/>
    <s v="Marcin Kuskowski"/>
  </r>
  <r>
    <n v="3354"/>
    <s v="F2"/>
    <x v="104"/>
    <s v="G000001066"/>
    <s v="Freiflachen Hohenbrunn"/>
    <m/>
    <s v="Rename"/>
    <x v="1"/>
    <x v="0"/>
    <e v="#N/A"/>
    <m/>
    <m/>
    <s v="Marcin Kuskowski"/>
  </r>
  <r>
    <n v="3355"/>
    <s v="F2"/>
    <x v="104"/>
    <s v="G000001068"/>
    <s v="Ruckbau Gebaude GHM"/>
    <m/>
    <s v="Rename"/>
    <x v="1"/>
    <x v="0"/>
    <e v="#N/A"/>
    <m/>
    <m/>
    <s v="Marcin Kuskowski"/>
  </r>
  <r>
    <n v="3356"/>
    <s v="F2"/>
    <x v="104"/>
    <s v="G000001070"/>
    <s v="SuSo Lease Hold Gebaude"/>
    <m/>
    <s v="Rename"/>
    <x v="1"/>
    <x v="0"/>
    <e v="#N/A"/>
    <m/>
    <m/>
    <s v="Marcin Kuskowski"/>
  </r>
  <r>
    <n v="3357"/>
    <s v="F2"/>
    <x v="104"/>
    <s v="H000000347"/>
    <s v="BL Saint Barthelemy"/>
    <m/>
    <s v="Rename"/>
    <x v="1"/>
    <x v="0"/>
    <e v="#N/A"/>
    <m/>
    <m/>
    <s v="Marcin Kuskowski"/>
  </r>
  <r>
    <n v="3358"/>
    <s v="F2"/>
    <x v="104"/>
    <s v="H000002691"/>
    <s v="EC - Gastos Convencion"/>
    <m/>
    <s v="Rename"/>
    <x v="1"/>
    <x v="0"/>
    <e v="#N/A"/>
    <m/>
    <m/>
    <s v="Marcin Kuskowski"/>
  </r>
  <r>
    <n v="3359"/>
    <s v="F2"/>
    <x v="104"/>
    <s v="H000004016"/>
    <s v="ES - Fundacion Merck Salud"/>
    <m/>
    <s v="Rename"/>
    <x v="1"/>
    <x v="0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1"/>
    <x v="4"/>
    <s v="EL"/>
    <m/>
    <m/>
    <s v="Eivy Denine Cruz"/>
  </r>
  <r>
    <n v="3687"/>
    <s v="F2"/>
    <x v="113"/>
    <s v="H000005719"/>
    <s v="Rare TA Direct Costs"/>
    <s v="H000004396"/>
    <s v="New"/>
    <x v="1"/>
    <x v="4"/>
    <s v="EL"/>
    <m/>
    <m/>
    <s v="Eivy Denine Cruz"/>
  </r>
  <r>
    <n v="3688"/>
    <s v="F2"/>
    <x v="113"/>
    <s v="H000005720"/>
    <s v="Rare TA Other"/>
    <s v="H000004396"/>
    <s v="New"/>
    <x v="1"/>
    <x v="4"/>
    <s v="EL"/>
    <m/>
    <m/>
    <s v="Eivy Denine Cru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06">
        <item m="1" x="170"/>
        <item m="1" x="124"/>
        <item m="1" x="142"/>
        <item m="1" x="179"/>
        <item m="1" x="138"/>
        <item m="1" x="182"/>
        <item m="1" x="128"/>
        <item m="1" x="192"/>
        <item m="1" x="121"/>
        <item m="1" x="153"/>
        <item m="1" x="163"/>
        <item m="1" x="183"/>
        <item m="1" x="168"/>
        <item m="1" x="146"/>
        <item m="1" x="164"/>
        <item m="1" x="139"/>
        <item m="1" x="200"/>
        <item m="1" x="136"/>
        <item m="1" x="198"/>
        <item m="1" x="129"/>
        <item m="1" x="184"/>
        <item m="1" x="199"/>
        <item m="1" x="185"/>
        <item m="1" x="154"/>
        <item m="1" x="202"/>
        <item m="1" x="158"/>
        <item m="1" x="147"/>
        <item m="1" x="204"/>
        <item m="1" x="143"/>
        <item m="1" x="165"/>
        <item m="1" x="160"/>
        <item m="1" x="144"/>
        <item m="1" x="166"/>
        <item m="1" x="118"/>
        <item m="1" x="148"/>
        <item m="1" x="173"/>
        <item m="1" x="140"/>
        <item m="1" x="195"/>
        <item m="1" x="189"/>
        <item m="1" x="197"/>
        <item m="1" x="119"/>
        <item m="1" x="171"/>
        <item m="1" x="114"/>
        <item m="1" x="157"/>
        <item m="1" x="196"/>
        <item m="1" x="176"/>
        <item m="1" x="137"/>
        <item m="1" x="156"/>
        <item m="1" x="169"/>
        <item m="1" x="159"/>
        <item m="1" x="122"/>
        <item m="1" x="134"/>
        <item m="1" x="130"/>
        <item m="1" x="203"/>
        <item m="1" x="150"/>
        <item m="1" x="115"/>
        <item m="1" x="190"/>
        <item m="1" x="152"/>
        <item m="1" x="145"/>
        <item m="1" x="181"/>
        <item m="1" x="151"/>
        <item m="1" x="120"/>
        <item m="1" x="186"/>
        <item m="1" x="155"/>
        <item m="1" x="131"/>
        <item m="1" x="161"/>
        <item m="1" x="135"/>
        <item m="1" x="174"/>
        <item m="1" x="178"/>
        <item m="1" x="125"/>
        <item m="1" x="123"/>
        <item m="1" x="162"/>
        <item m="1" x="201"/>
        <item m="1" x="133"/>
        <item m="1" x="126"/>
        <item m="1" x="177"/>
        <item m="1" x="172"/>
        <item m="1" x="175"/>
        <item m="1" x="191"/>
        <item m="1" x="141"/>
        <item m="1" x="117"/>
        <item m="1" x="187"/>
        <item m="1" x="132"/>
        <item m="1" x="127"/>
        <item m="1" x="188"/>
        <item m="1" x="193"/>
        <item m="1" x="149"/>
        <item m="1" x="194"/>
        <item m="1" x="180"/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195"/>
    </i>
    <i r="1">
      <x v="1"/>
    </i>
    <i r="1">
      <x v="4"/>
    </i>
    <i>
      <x v="204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701" totalsRowShown="0">
  <autoFilter ref="A1:M3701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workbookViewId="0">
      <selection activeCell="B8" sqref="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12381</v>
      </c>
      <c r="B4" s="42">
        <v>22</v>
      </c>
    </row>
    <row r="5" spans="1:2">
      <c r="A5" s="65" t="s">
        <v>8539</v>
      </c>
      <c r="B5" s="42">
        <v>16</v>
      </c>
    </row>
    <row r="6" spans="1:2">
      <c r="A6" s="65" t="s">
        <v>12840</v>
      </c>
      <c r="B6" s="42">
        <v>6</v>
      </c>
    </row>
    <row r="7" spans="1:2">
      <c r="A7" s="30" t="s">
        <v>12836</v>
      </c>
      <c r="B7" s="42">
        <v>3</v>
      </c>
    </row>
    <row r="8" spans="1:2">
      <c r="A8" s="65" t="s">
        <v>12841</v>
      </c>
      <c r="B8" s="42">
        <v>3</v>
      </c>
    </row>
    <row r="9" spans="1:2">
      <c r="A9" s="30" t="s">
        <v>10</v>
      </c>
      <c r="B9" s="42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8"/>
  <sheetViews>
    <sheetView topLeftCell="A356" workbookViewId="0">
      <selection activeCell="E396" sqref="E396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701"/>
  <sheetViews>
    <sheetView tabSelected="1" topLeftCell="A3354" zoomScaleNormal="100" workbookViewId="0">
      <selection activeCell="E3705" sqref="E3705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/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/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/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/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/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/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/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/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/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/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/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/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/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/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/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/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/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/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/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/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/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/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701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/>
      </c>
      <c r="I3687" s="34" t="s">
        <v>12841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/>
      </c>
      <c r="I3688" s="34" t="s">
        <v>12841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/>
      </c>
      <c r="I3689" s="34" t="s">
        <v>12841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>
      <c r="A3690" s="40">
        <f t="shared" si="61"/>
        <v>3689</v>
      </c>
      <c r="B3690" s="34" t="s">
        <v>8</v>
      </c>
      <c r="C3690" s="8" t="s">
        <v>12863</v>
      </c>
      <c r="D3690" s="8" t="s">
        <v>12842</v>
      </c>
      <c r="E3690" s="8" t="s">
        <v>12852</v>
      </c>
      <c r="F3690" s="8" t="s">
        <v>1113</v>
      </c>
      <c r="G3690" s="34" t="s">
        <v>14</v>
      </c>
      <c r="H3690" s="34" t="str">
        <f>IFERROR(VLOOKUP(Table2[[#This Row], [Ticket]],Okey!A:B,2,0),"")</f>
        <v/>
      </c>
      <c r="I3690" s="34"/>
      <c r="J3690" s="34" t="str">
        <f>VLOOKUP(Table2[[#This Row],[Author]],People!A:B,2,0)</f>
        <v>HC</v>
      </c>
      <c r="L3690" s="34"/>
      <c r="M3690" s="34" t="s">
        <v>9027</v>
      </c>
    </row>
    <row r="3691" spans="1:13">
      <c r="A3691" s="40">
        <f t="shared" si="61"/>
        <v>3690</v>
      </c>
      <c r="B3691" s="34" t="s">
        <v>8</v>
      </c>
      <c r="C3691" s="34" t="s">
        <v>12863</v>
      </c>
      <c r="D3691" s="8" t="s">
        <v>12843</v>
      </c>
      <c r="E3691" s="8" t="s">
        <v>12853</v>
      </c>
      <c r="F3691" s="8" t="s">
        <v>1113</v>
      </c>
      <c r="G3691" s="34" t="s">
        <v>14</v>
      </c>
      <c r="H3691" s="34" t="str">
        <f>IFERROR(VLOOKUP(Table2[[#This Row], [Ticket]],Okey!A:B,2,0),"")</f>
        <v/>
      </c>
      <c r="I3691" s="34"/>
      <c r="J3691" s="34" t="str">
        <f>VLOOKUP(Table2[[#This Row],[Author]],People!A:B,2,0)</f>
        <v>HC</v>
      </c>
      <c r="L3691" s="34"/>
      <c r="M3691" s="34" t="s">
        <v>9027</v>
      </c>
    </row>
    <row r="3692" spans="1:13">
      <c r="A3692" s="40">
        <f t="shared" si="61"/>
        <v>3691</v>
      </c>
      <c r="B3692" s="34" t="s">
        <v>8</v>
      </c>
      <c r="C3692" s="34" t="s">
        <v>12863</v>
      </c>
      <c r="D3692" s="8" t="s">
        <v>12844</v>
      </c>
      <c r="E3692" s="8" t="s">
        <v>12854</v>
      </c>
      <c r="F3692" s="8" t="s">
        <v>12862</v>
      </c>
      <c r="G3692" s="34" t="s">
        <v>14</v>
      </c>
      <c r="H3692" s="34" t="str">
        <f>IFERROR(VLOOKUP(Table2[[#This Row], [Ticket]],Okey!A:B,2,0),"")</f>
        <v/>
      </c>
      <c r="I3692" s="34"/>
      <c r="J3692" s="34" t="str">
        <f>VLOOKUP(Table2[[#This Row],[Author]],People!A:B,2,0)</f>
        <v>HC</v>
      </c>
      <c r="L3692" s="34"/>
      <c r="M3692" s="34" t="s">
        <v>9027</v>
      </c>
    </row>
    <row r="3693" spans="1:13">
      <c r="A3693" s="40">
        <f t="shared" si="61"/>
        <v>3692</v>
      </c>
      <c r="B3693" s="34" t="s">
        <v>8</v>
      </c>
      <c r="C3693" s="34" t="s">
        <v>12863</v>
      </c>
      <c r="D3693" s="8" t="s">
        <v>12845</v>
      </c>
      <c r="E3693" s="8" t="s">
        <v>12855</v>
      </c>
      <c r="F3693" s="8" t="s">
        <v>12862</v>
      </c>
      <c r="G3693" s="34" t="s">
        <v>14</v>
      </c>
      <c r="H3693" s="34" t="str">
        <f>IFERROR(VLOOKUP(Table2[[#This Row], [Ticket]],Okey!A:B,2,0),"")</f>
        <v/>
      </c>
      <c r="I3693" s="34"/>
      <c r="J3693" s="34" t="str">
        <f>VLOOKUP(Table2[[#This Row],[Author]],People!A:B,2,0)</f>
        <v>HC</v>
      </c>
      <c r="L3693" s="34"/>
      <c r="M3693" s="34" t="s">
        <v>9027</v>
      </c>
    </row>
    <row r="3694" spans="1:13">
      <c r="A3694" s="40">
        <f t="shared" si="61"/>
        <v>3693</v>
      </c>
      <c r="B3694" s="34" t="s">
        <v>8</v>
      </c>
      <c r="C3694" s="34" t="s">
        <v>12863</v>
      </c>
      <c r="D3694" s="8" t="s">
        <v>12846</v>
      </c>
      <c r="E3694" s="8" t="s">
        <v>12856</v>
      </c>
      <c r="F3694" s="8" t="s">
        <v>1159</v>
      </c>
      <c r="G3694" s="34" t="s">
        <v>14</v>
      </c>
      <c r="H3694" s="34" t="str">
        <f>IFERROR(VLOOKUP(Table2[[#This Row], [Ticket]],Okey!A:B,2,0),"")</f>
        <v/>
      </c>
      <c r="I3694" s="34"/>
      <c r="J3694" s="34" t="str">
        <f>VLOOKUP(Table2[[#This Row],[Author]],People!A:B,2,0)</f>
        <v>HC</v>
      </c>
      <c r="L3694" s="34"/>
      <c r="M3694" s="34" t="s">
        <v>9027</v>
      </c>
    </row>
    <row r="3695" spans="1:13">
      <c r="A3695" s="40">
        <f t="shared" si="61"/>
        <v>3694</v>
      </c>
      <c r="B3695" s="34" t="s">
        <v>8</v>
      </c>
      <c r="C3695" s="34" t="s">
        <v>12863</v>
      </c>
      <c r="D3695" s="8" t="s">
        <v>12847</v>
      </c>
      <c r="E3695" s="8" t="s">
        <v>12857</v>
      </c>
      <c r="F3695" s="8" t="s">
        <v>1159</v>
      </c>
      <c r="G3695" s="34" t="s">
        <v>14</v>
      </c>
      <c r="H3695" s="34" t="str">
        <f>IFERROR(VLOOKUP(Table2[[#This Row], [Ticket]],Okey!A:B,2,0),"")</f>
        <v/>
      </c>
      <c r="I3695" s="34"/>
      <c r="J3695" s="34" t="str">
        <f>VLOOKUP(Table2[[#This Row],[Author]],People!A:B,2,0)</f>
        <v>HC</v>
      </c>
      <c r="L3695" s="34"/>
      <c r="M3695" s="34" t="s">
        <v>9027</v>
      </c>
    </row>
    <row r="3696" spans="1:13">
      <c r="A3696" s="40">
        <f t="shared" si="61"/>
        <v>3695</v>
      </c>
      <c r="B3696" s="34" t="s">
        <v>8</v>
      </c>
      <c r="C3696" s="34" t="s">
        <v>12863</v>
      </c>
      <c r="D3696" s="8" t="s">
        <v>12848</v>
      </c>
      <c r="E3696" s="8" t="s">
        <v>12858</v>
      </c>
      <c r="F3696" s="8" t="s">
        <v>1168</v>
      </c>
      <c r="G3696" s="34" t="s">
        <v>14</v>
      </c>
      <c r="H3696" s="34" t="str">
        <f>IFERROR(VLOOKUP(Table2[[#This Row], [Ticket]],Okey!A:B,2,0),"")</f>
        <v/>
      </c>
      <c r="I3696" s="34"/>
      <c r="J3696" s="34" t="str">
        <f>VLOOKUP(Table2[[#This Row],[Author]],People!A:B,2,0)</f>
        <v>HC</v>
      </c>
      <c r="L3696" s="34"/>
      <c r="M3696" s="34" t="s">
        <v>9027</v>
      </c>
    </row>
    <row r="3697" spans="1:13">
      <c r="A3697" s="40">
        <f t="shared" si="61"/>
        <v>3696</v>
      </c>
      <c r="B3697" s="34" t="s">
        <v>8</v>
      </c>
      <c r="C3697" s="34" t="s">
        <v>12863</v>
      </c>
      <c r="D3697" s="8" t="s">
        <v>12849</v>
      </c>
      <c r="E3697" s="8" t="s">
        <v>12859</v>
      </c>
      <c r="F3697" s="8" t="s">
        <v>1168</v>
      </c>
      <c r="G3697" s="34" t="s">
        <v>14</v>
      </c>
      <c r="H3697" s="34" t="str">
        <f>IFERROR(VLOOKUP(Table2[[#This Row], [Ticket]],Okey!A:B,2,0),"")</f>
        <v/>
      </c>
      <c r="I3697" s="34"/>
      <c r="J3697" s="34" t="str">
        <f>VLOOKUP(Table2[[#This Row],[Author]],People!A:B,2,0)</f>
        <v>HC</v>
      </c>
      <c r="L3697" s="34"/>
      <c r="M3697" s="34" t="s">
        <v>9027</v>
      </c>
    </row>
    <row r="3698" spans="1:13">
      <c r="A3698" s="40">
        <f t="shared" si="61"/>
        <v>3697</v>
      </c>
      <c r="B3698" s="34" t="s">
        <v>8</v>
      </c>
      <c r="C3698" s="34" t="s">
        <v>12863</v>
      </c>
      <c r="D3698" s="8" t="s">
        <v>12850</v>
      </c>
      <c r="E3698" s="8" t="s">
        <v>12860</v>
      </c>
      <c r="F3698" s="8" t="s">
        <v>1120</v>
      </c>
      <c r="G3698" s="34" t="s">
        <v>14</v>
      </c>
      <c r="H3698" s="34" t="str">
        <f>IFERROR(VLOOKUP(Table2[[#This Row], [Ticket]],Okey!A:B,2,0),"")</f>
        <v/>
      </c>
      <c r="I3698" s="34"/>
      <c r="J3698" s="34" t="str">
        <f>VLOOKUP(Table2[[#This Row],[Author]],People!A:B,2,0)</f>
        <v>HC</v>
      </c>
      <c r="L3698" s="34"/>
      <c r="M3698" s="34" t="s">
        <v>9027</v>
      </c>
    </row>
    <row r="3699" spans="1:13">
      <c r="A3699" s="40">
        <f t="shared" si="61"/>
        <v>3698</v>
      </c>
      <c r="B3699" s="34" t="s">
        <v>8</v>
      </c>
      <c r="C3699" s="34" t="s">
        <v>12863</v>
      </c>
      <c r="D3699" s="8" t="s">
        <v>12851</v>
      </c>
      <c r="E3699" s="8" t="s">
        <v>12861</v>
      </c>
      <c r="F3699" s="8" t="s">
        <v>1120</v>
      </c>
      <c r="G3699" s="34" t="s">
        <v>14</v>
      </c>
      <c r="H3699" s="34" t="str">
        <f>IFERROR(VLOOKUP(Table2[[#This Row], [Ticket]],Okey!A:B,2,0),"")</f>
        <v/>
      </c>
      <c r="I3699" s="34"/>
      <c r="J3699" s="34" t="str">
        <f>VLOOKUP(Table2[[#This Row],[Author]],People!A:B,2,0)</f>
        <v>HC</v>
      </c>
      <c r="L3699" s="34"/>
      <c r="M3699" s="34" t="s">
        <v>9027</v>
      </c>
    </row>
    <row r="3700" spans="1:13">
      <c r="A3700" s="40">
        <f t="shared" si="61"/>
        <v>3699</v>
      </c>
      <c r="B3700" s="34" t="s">
        <v>8</v>
      </c>
      <c r="C3700" s="8" t="s">
        <v>12864</v>
      </c>
      <c r="D3700" s="8" t="s">
        <v>9029</v>
      </c>
      <c r="G3700" s="8" t="s">
        <v>8537</v>
      </c>
      <c r="H3700" s="34" t="str">
        <f>IFERROR(VLOOKUP(Table2[[#This Row], [Ticket]],Okey!A:B,2,0),"")</f>
        <v/>
      </c>
      <c r="I3700" s="34"/>
      <c r="J3700" s="34" t="str">
        <f>VLOOKUP(Table2[[#This Row],[Author]],People!A:B,2,0)</f>
        <v>HC</v>
      </c>
      <c r="L3700" s="34"/>
      <c r="M3700" s="34" t="s">
        <v>9027</v>
      </c>
    </row>
    <row r="3701" spans="1:13">
      <c r="A3701" s="40">
        <f t="shared" si="61"/>
        <v>3700</v>
      </c>
      <c r="B3701" s="34" t="s">
        <v>8</v>
      </c>
      <c r="C3701" s="34" t="s">
        <v>12864</v>
      </c>
      <c r="D3701" s="8" t="s">
        <v>9030</v>
      </c>
      <c r="G3701" s="34" t="s">
        <v>8537</v>
      </c>
      <c r="H3701" s="34" t="str">
        <f>IFERROR(VLOOKUP(Table2[[#This Row], [Ticket]],Okey!A:B,2,0),"")</f>
        <v/>
      </c>
      <c r="I3701" s="34"/>
      <c r="J3701" s="34" t="str">
        <f>VLOOKUP(Table2[[#This Row],[Author]],People!A:B,2,0)</f>
        <v>HC</v>
      </c>
      <c r="L3701" s="34"/>
      <c r="M3701" s="34" t="s">
        <v>9027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2026-07-02T20:46:44Z</dcterms:modified>
</cp:coreProperties>
</file>