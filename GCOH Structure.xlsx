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8686B2C-F4DC-4F34-A346-83A47F6CD553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pvt" sheetId="17" r:id="rId1"/>
    <sheet name="Okey" sheetId="10" r:id="rId2"/>
    <sheet name="STUCT1" sheetId="1" r:id="rId3"/>
    <sheet name="Sheet10" sheetId="45" r:id="rId4"/>
    <sheet name="Sheet9" sheetId="44" r:id="rId5"/>
    <sheet name="Sheet8" sheetId="43" r:id="rId6"/>
    <sheet name="Sheet7" sheetId="42" r:id="rId7"/>
    <sheet name="Sheet5" sheetId="40" r:id="rId8"/>
    <sheet name="Sheet4" sheetId="39" r:id="rId9"/>
    <sheet name="Sheet3" sheetId="38" r:id="rId10"/>
    <sheet name="Sheet6" sheetId="41" r:id="rId11"/>
    <sheet name="Sheet2" sheetId="37" r:id="rId12"/>
    <sheet name="Sheet1" sheetId="36" r:id="rId13"/>
    <sheet name="Names" sheetId="5" r:id="rId14"/>
    <sheet name="NEW NODES" sheetId="6" r:id="rId15"/>
    <sheet name="People" sheetId="7" r:id="rId16"/>
    <sheet name="2023" sheetId="8" state="hidden" r:id="rId17"/>
    <sheet name="2024" sheetId="19" state="hidden" r:id="rId18"/>
    <sheet name="old" sheetId="27" state="hidden" r:id="rId19"/>
    <sheet name="Sectors" sheetId="9" r:id="rId20"/>
    <sheet name="KPI" sheetId="12" r:id="rId21"/>
  </sheets>
  <definedNames>
    <definedName name="_xlnm._FilterDatabase" localSheetId="16">'2023'!$A$1:$M$1</definedName>
    <definedName name="_xlnm._FilterDatabase" localSheetId="13">Names!$A$237:$G$388</definedName>
    <definedName name="_xlnm._FilterDatabase" localSheetId="15">People!$A$1:$B$1</definedName>
    <definedName name="_xlnm._FilterDatabase" localSheetId="7" hidden="1">Sheet5!$A$1:$G$155</definedName>
    <definedName name="_xlnm._FilterDatabase" localSheetId="5" hidden="1">Sheet8!$A$1:$D$137</definedName>
    <definedName name="_xlnm._FilterDatabase" localSheetId="2">STUCT1!#REF!</definedName>
  </definedNames>
  <calcPr calcId="181029"/>
  <pivotCaches>
    <pivotCache cacheId="1" r:id="rId2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03" i="44" l="1"/>
  <c r="O302" i="44"/>
  <c r="O301" i="44"/>
  <c r="O300" i="44"/>
  <c r="O299" i="44"/>
  <c r="O298" i="44"/>
  <c r="O297" i="44"/>
  <c r="O296" i="44"/>
  <c r="O295" i="44"/>
  <c r="O294" i="44"/>
  <c r="O293" i="44"/>
  <c r="O292" i="44"/>
  <c r="O291" i="44"/>
  <c r="O290" i="44"/>
  <c r="O289" i="44"/>
  <c r="O288" i="44"/>
  <c r="O287" i="44"/>
  <c r="O286" i="44"/>
  <c r="O285" i="44"/>
  <c r="O284" i="44"/>
  <c r="O283" i="44"/>
  <c r="O282" i="44"/>
  <c r="O281" i="44"/>
  <c r="O280" i="44"/>
  <c r="O279" i="44"/>
  <c r="O278" i="44"/>
  <c r="O277" i="44"/>
  <c r="O276" i="44"/>
  <c r="O275" i="44"/>
  <c r="O274" i="44"/>
  <c r="O273" i="44"/>
  <c r="O272" i="44"/>
  <c r="O271" i="44"/>
  <c r="O270" i="44"/>
  <c r="O269" i="44"/>
  <c r="O268" i="44"/>
  <c r="O267" i="44"/>
  <c r="O266" i="44"/>
  <c r="O265" i="44"/>
  <c r="O264" i="44"/>
  <c r="O263" i="44"/>
  <c r="O262" i="44"/>
  <c r="O261" i="44"/>
  <c r="O260" i="44"/>
  <c r="O259" i="44"/>
  <c r="O258" i="44"/>
  <c r="O257" i="44"/>
  <c r="O256" i="44"/>
  <c r="O255" i="44"/>
  <c r="O254" i="44"/>
  <c r="O253" i="44"/>
  <c r="O252" i="44"/>
  <c r="O251" i="44"/>
  <c r="O250" i="44"/>
  <c r="O249" i="44"/>
  <c r="O248" i="44"/>
  <c r="O247" i="44"/>
  <c r="O246" i="44"/>
  <c r="O245" i="44"/>
  <c r="O244" i="44"/>
  <c r="O243" i="44"/>
  <c r="O242" i="44"/>
  <c r="O241" i="44"/>
  <c r="O240" i="44"/>
  <c r="O239" i="44"/>
  <c r="O238" i="44"/>
  <c r="O237" i="44"/>
  <c r="O236" i="44"/>
  <c r="O235" i="44"/>
  <c r="O234" i="44"/>
  <c r="O233" i="44"/>
  <c r="O232" i="44"/>
  <c r="O231" i="44"/>
  <c r="O230" i="44"/>
  <c r="O229" i="44"/>
  <c r="O228" i="44"/>
  <c r="O227" i="44"/>
  <c r="O226" i="44"/>
  <c r="O225" i="44"/>
  <c r="O224" i="44"/>
  <c r="O223" i="44"/>
  <c r="O222" i="44"/>
  <c r="O221" i="44"/>
  <c r="O220" i="44"/>
  <c r="O219" i="44"/>
  <c r="O218" i="44"/>
  <c r="O217" i="44"/>
  <c r="O216" i="44"/>
  <c r="O215" i="44"/>
  <c r="O214" i="44"/>
  <c r="O213" i="44"/>
  <c r="O212" i="44"/>
  <c r="O211" i="44"/>
  <c r="O210" i="44"/>
  <c r="O209" i="44"/>
  <c r="O208" i="44"/>
  <c r="O207" i="44"/>
  <c r="O206" i="44"/>
  <c r="O205" i="44"/>
  <c r="O204" i="44"/>
  <c r="O203" i="44"/>
  <c r="O202" i="44"/>
  <c r="O201" i="44"/>
  <c r="O200" i="44"/>
  <c r="O199" i="44"/>
  <c r="O198" i="44"/>
  <c r="O197" i="44"/>
  <c r="O196" i="44"/>
  <c r="O195" i="44"/>
  <c r="O194" i="44"/>
  <c r="O193" i="44"/>
  <c r="O192" i="44"/>
  <c r="O191" i="44"/>
  <c r="O190" i="44"/>
  <c r="O189" i="44"/>
  <c r="O188" i="44"/>
  <c r="O187" i="44"/>
  <c r="O186" i="44"/>
  <c r="O185" i="44"/>
  <c r="O184" i="44"/>
  <c r="O183" i="44"/>
  <c r="O182" i="44"/>
  <c r="O181" i="44"/>
  <c r="O180" i="44"/>
  <c r="O179" i="44"/>
  <c r="O178" i="44"/>
  <c r="O177" i="44"/>
  <c r="O176" i="44"/>
  <c r="O175" i="44"/>
  <c r="O174" i="44"/>
  <c r="O173" i="44"/>
  <c r="O172" i="44"/>
  <c r="O171" i="44"/>
  <c r="O170" i="44"/>
  <c r="O169" i="44"/>
  <c r="O168" i="44"/>
  <c r="O167" i="44"/>
  <c r="O166" i="44"/>
  <c r="O165" i="44"/>
  <c r="O164" i="44"/>
  <c r="O163" i="44"/>
  <c r="O162" i="44"/>
  <c r="O161" i="44"/>
  <c r="O160" i="44"/>
  <c r="O159" i="44"/>
  <c r="O158" i="44"/>
  <c r="O157" i="44"/>
  <c r="O156" i="44"/>
  <c r="O155" i="44"/>
  <c r="O154" i="44"/>
  <c r="O153" i="44"/>
  <c r="O152" i="44"/>
  <c r="O151" i="44"/>
  <c r="O150" i="44"/>
  <c r="O149" i="44"/>
  <c r="O148" i="44"/>
  <c r="O147" i="44"/>
  <c r="O146" i="44"/>
  <c r="O145" i="44"/>
  <c r="O144" i="44"/>
  <c r="O143" i="44"/>
  <c r="O142" i="44"/>
  <c r="O141" i="44"/>
  <c r="O140" i="44"/>
  <c r="O139" i="44"/>
  <c r="O138" i="44"/>
  <c r="O137" i="44"/>
  <c r="O136" i="44"/>
  <c r="O135" i="44"/>
  <c r="O134" i="44"/>
  <c r="O133" i="44"/>
  <c r="O132" i="44"/>
  <c r="O131" i="44"/>
  <c r="O130" i="44"/>
  <c r="O129" i="44"/>
  <c r="O128" i="44"/>
  <c r="O127" i="44"/>
  <c r="O126" i="44"/>
  <c r="O125" i="44"/>
  <c r="O124" i="44"/>
  <c r="O123" i="44"/>
  <c r="O122" i="44"/>
  <c r="O121" i="44"/>
  <c r="O120" i="44"/>
  <c r="O119" i="44"/>
  <c r="O118" i="44"/>
  <c r="O117" i="44"/>
  <c r="O116" i="44"/>
  <c r="O115" i="44"/>
  <c r="O114" i="44"/>
  <c r="O113" i="44"/>
  <c r="O112" i="44"/>
  <c r="O111" i="44"/>
  <c r="O110" i="44"/>
  <c r="O109" i="44"/>
  <c r="O108" i="44"/>
  <c r="O107" i="44"/>
  <c r="O106" i="44"/>
  <c r="O105" i="44"/>
  <c r="O104" i="44"/>
  <c r="O103" i="44"/>
  <c r="O102" i="44"/>
  <c r="O101" i="44"/>
  <c r="O100" i="44"/>
  <c r="O99" i="44"/>
  <c r="O98" i="44"/>
  <c r="O97" i="44"/>
  <c r="O96" i="44"/>
  <c r="O95" i="44"/>
  <c r="O94" i="44"/>
  <c r="O93" i="44"/>
  <c r="O92" i="44"/>
  <c r="O91" i="44"/>
  <c r="O90" i="44"/>
  <c r="O89" i="44"/>
  <c r="O88" i="44"/>
  <c r="O87" i="44"/>
  <c r="O86" i="44"/>
  <c r="O85" i="44"/>
  <c r="O84" i="44"/>
  <c r="O83" i="44"/>
  <c r="O82" i="44"/>
  <c r="O81" i="44"/>
  <c r="O80" i="44"/>
  <c r="O79" i="44"/>
  <c r="O78" i="44"/>
  <c r="O77" i="44"/>
  <c r="O76" i="44"/>
  <c r="O75" i="44"/>
  <c r="O74" i="44"/>
  <c r="O73" i="44"/>
  <c r="O72" i="44"/>
  <c r="O71" i="44"/>
  <c r="O70" i="44"/>
  <c r="O69" i="44"/>
  <c r="O68" i="44"/>
  <c r="O67" i="44"/>
  <c r="O66" i="44"/>
  <c r="O65" i="44"/>
  <c r="O64" i="44"/>
  <c r="O63" i="44"/>
  <c r="O62" i="44"/>
  <c r="O61" i="44"/>
  <c r="O60" i="44"/>
  <c r="O59" i="44"/>
  <c r="O58" i="44"/>
  <c r="O57" i="44"/>
  <c r="O56" i="44"/>
  <c r="O55" i="44"/>
  <c r="O54" i="44"/>
  <c r="O53" i="44"/>
  <c r="O52" i="44"/>
  <c r="O51" i="44"/>
  <c r="O50" i="44"/>
  <c r="O49" i="44"/>
  <c r="O48" i="44"/>
  <c r="O47" i="44"/>
  <c r="O46" i="44"/>
  <c r="O45" i="44"/>
  <c r="O44" i="44"/>
  <c r="O43" i="44"/>
  <c r="O42" i="44"/>
  <c r="O41" i="44"/>
  <c r="O40" i="44"/>
  <c r="O39" i="44"/>
  <c r="O38" i="44"/>
  <c r="O37" i="44"/>
  <c r="O36" i="44"/>
  <c r="O35" i="44"/>
  <c r="O34" i="44"/>
  <c r="O33" i="44"/>
  <c r="O32" i="44"/>
  <c r="O31" i="44"/>
  <c r="O30" i="44"/>
  <c r="O29" i="44"/>
  <c r="O28" i="44"/>
  <c r="O27" i="44"/>
  <c r="O26" i="44"/>
  <c r="O25" i="44"/>
  <c r="O24" i="44"/>
  <c r="O23" i="44"/>
  <c r="O22" i="44"/>
  <c r="O21" i="44"/>
  <c r="O20" i="44"/>
  <c r="O19" i="44"/>
  <c r="O18" i="44"/>
  <c r="O17" i="44"/>
  <c r="O16" i="44"/>
  <c r="O15" i="44"/>
  <c r="O14" i="44"/>
  <c r="O13" i="44"/>
  <c r="O12" i="44"/>
  <c r="O11" i="44"/>
  <c r="O10" i="44"/>
  <c r="O9" i="44"/>
  <c r="O8" i="44"/>
  <c r="O7" i="44"/>
  <c r="O6" i="44"/>
  <c r="O5" i="44"/>
  <c r="O4" i="44"/>
  <c r="O3" i="44"/>
  <c r="O2" i="44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F69" i="42"/>
  <c r="F68" i="42"/>
  <c r="F67" i="42"/>
  <c r="F66" i="42"/>
  <c r="F65" i="42"/>
  <c r="F64" i="42"/>
  <c r="F63" i="42"/>
  <c r="F62" i="42"/>
  <c r="F61" i="42"/>
  <c r="F60" i="42"/>
  <c r="F59" i="42"/>
  <c r="F58" i="42"/>
  <c r="F57" i="42"/>
  <c r="F56" i="42"/>
  <c r="F55" i="42"/>
  <c r="F54" i="42"/>
  <c r="F53" i="42"/>
  <c r="F52" i="42"/>
  <c r="F51" i="42"/>
  <c r="F50" i="42"/>
  <c r="F49" i="42"/>
  <c r="F48" i="42"/>
  <c r="F47" i="42"/>
  <c r="F46" i="42"/>
  <c r="F45" i="42"/>
  <c r="F44" i="42"/>
  <c r="F43" i="42"/>
  <c r="F42" i="42"/>
  <c r="F41" i="42"/>
  <c r="F40" i="42"/>
  <c r="F39" i="42"/>
  <c r="F38" i="42"/>
  <c r="F37" i="42"/>
  <c r="F36" i="42"/>
  <c r="F35" i="42"/>
  <c r="F34" i="42"/>
  <c r="F33" i="42"/>
  <c r="F32" i="42"/>
  <c r="F31" i="42"/>
  <c r="F30" i="42"/>
  <c r="F29" i="42"/>
  <c r="F28" i="42"/>
  <c r="F27" i="42"/>
  <c r="F26" i="42"/>
  <c r="F25" i="42"/>
  <c r="F24" i="42"/>
  <c r="F23" i="42"/>
  <c r="F22" i="42"/>
  <c r="F21" i="42"/>
  <c r="F20" i="42"/>
  <c r="F19" i="42"/>
  <c r="F18" i="42"/>
  <c r="F17" i="42"/>
  <c r="F16" i="42"/>
  <c r="F15" i="42"/>
  <c r="F14" i="42"/>
  <c r="F13" i="42"/>
  <c r="F12" i="42"/>
  <c r="F11" i="42"/>
  <c r="F10" i="42"/>
  <c r="F9" i="42"/>
  <c r="F8" i="42"/>
  <c r="F7" i="42"/>
  <c r="F6" i="42"/>
  <c r="F5" i="42"/>
  <c r="F4" i="42"/>
  <c r="F3" i="42"/>
  <c r="F2" i="42"/>
  <c r="E3" i="42"/>
  <c r="E4" i="42" s="1"/>
  <c r="E5" i="42" s="1"/>
  <c r="E6" i="42" s="1"/>
  <c r="E7" i="42" s="1"/>
  <c r="E8" i="42" s="1"/>
  <c r="E9" i="42" s="1"/>
  <c r="E10" i="42" s="1"/>
  <c r="E11" i="42" s="1"/>
  <c r="E12" i="42" s="1"/>
  <c r="E13" i="42" s="1"/>
  <c r="E14" i="42" s="1"/>
  <c r="E15" i="42" s="1"/>
  <c r="E16" i="42" s="1"/>
  <c r="E17" i="42" s="1"/>
  <c r="E18" i="42" s="1"/>
  <c r="E19" i="42" s="1"/>
  <c r="E20" i="42" s="1"/>
  <c r="E21" i="42" s="1"/>
  <c r="E22" i="42" s="1"/>
  <c r="E23" i="42" s="1"/>
  <c r="E24" i="42" s="1"/>
  <c r="E25" i="42" s="1"/>
  <c r="E26" i="42" s="1"/>
  <c r="E27" i="42" s="1"/>
  <c r="E28" i="42" s="1"/>
  <c r="E29" i="42" s="1"/>
  <c r="E30" i="42" s="1"/>
  <c r="E31" i="42" s="1"/>
  <c r="E32" i="42" s="1"/>
  <c r="E33" i="42" s="1"/>
  <c r="E34" i="42" s="1"/>
  <c r="E35" i="42" s="1"/>
  <c r="E36" i="42" s="1"/>
  <c r="E37" i="42" s="1"/>
  <c r="E38" i="42" s="1"/>
  <c r="E39" i="42" s="1"/>
  <c r="E40" i="42" s="1"/>
  <c r="E41" i="42" s="1"/>
  <c r="E42" i="42" s="1"/>
  <c r="E43" i="42" s="1"/>
  <c r="E44" i="42" s="1"/>
  <c r="E45" i="42" s="1"/>
  <c r="E46" i="42" s="1"/>
  <c r="E47" i="42" s="1"/>
  <c r="E48" i="42" s="1"/>
  <c r="E49" i="42" s="1"/>
  <c r="E50" i="42" s="1"/>
  <c r="E51" i="42" s="1"/>
  <c r="E52" i="42" s="1"/>
  <c r="E53" i="42" s="1"/>
  <c r="E54" i="42" s="1"/>
  <c r="E55" i="42" s="1"/>
  <c r="E56" i="42" s="1"/>
  <c r="E57" i="42" s="1"/>
  <c r="E58" i="42" s="1"/>
  <c r="E59" i="42" s="1"/>
  <c r="E60" i="42" s="1"/>
  <c r="E61" i="42" s="1"/>
  <c r="E62" i="42" s="1"/>
  <c r="E63" i="42" s="1"/>
  <c r="E64" i="42" s="1"/>
  <c r="E65" i="42" s="1"/>
  <c r="E66" i="42" s="1"/>
  <c r="E67" i="42" s="1"/>
  <c r="E68" i="42" s="1"/>
  <c r="E69" i="42" s="1"/>
  <c r="E2" i="42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E11" i="41"/>
  <c r="E10" i="41"/>
  <c r="E9" i="41"/>
  <c r="E8" i="41"/>
  <c r="E7" i="41"/>
  <c r="E6" i="41"/>
  <c r="E5" i="41"/>
  <c r="E4" i="41"/>
  <c r="E3" i="41"/>
  <c r="E2" i="41"/>
  <c r="H2" i="41"/>
  <c r="G3" i="41"/>
  <c r="H3" i="41" s="1"/>
  <c r="H2093" i="1"/>
  <c r="H2094" i="1"/>
  <c r="H2095" i="1"/>
  <c r="H2096" i="1"/>
  <c r="H2097" i="1"/>
  <c r="H2098" i="1"/>
  <c r="H2099" i="1"/>
  <c r="H2100" i="1"/>
  <c r="H2101" i="1"/>
  <c r="H2092" i="1"/>
  <c r="I155" i="40"/>
  <c r="I154" i="40"/>
  <c r="I153" i="40"/>
  <c r="I152" i="40"/>
  <c r="I151" i="40"/>
  <c r="I150" i="40"/>
  <c r="I149" i="40"/>
  <c r="I148" i="40"/>
  <c r="I147" i="40"/>
  <c r="I146" i="40"/>
  <c r="I145" i="40"/>
  <c r="I144" i="40"/>
  <c r="I143" i="40"/>
  <c r="I142" i="40"/>
  <c r="I141" i="40"/>
  <c r="I140" i="40"/>
  <c r="I139" i="40"/>
  <c r="I138" i="40"/>
  <c r="I137" i="40"/>
  <c r="I136" i="40"/>
  <c r="I135" i="40"/>
  <c r="I134" i="40"/>
  <c r="I133" i="40"/>
  <c r="I132" i="40"/>
  <c r="I131" i="40"/>
  <c r="I130" i="40"/>
  <c r="I129" i="40"/>
  <c r="I128" i="40"/>
  <c r="I127" i="40"/>
  <c r="I126" i="40"/>
  <c r="I125" i="40"/>
  <c r="I124" i="40"/>
  <c r="I123" i="40"/>
  <c r="I122" i="40"/>
  <c r="I121" i="40"/>
  <c r="I120" i="40"/>
  <c r="I119" i="40"/>
  <c r="I118" i="40"/>
  <c r="I117" i="40"/>
  <c r="I116" i="40"/>
  <c r="I115" i="40"/>
  <c r="I114" i="40"/>
  <c r="I113" i="40"/>
  <c r="I112" i="40"/>
  <c r="I111" i="40"/>
  <c r="I110" i="40"/>
  <c r="I109" i="40"/>
  <c r="I108" i="40"/>
  <c r="I107" i="40"/>
  <c r="I106" i="40"/>
  <c r="I105" i="40"/>
  <c r="I104" i="40"/>
  <c r="I103" i="40"/>
  <c r="I102" i="40"/>
  <c r="I101" i="40"/>
  <c r="I100" i="40"/>
  <c r="I99" i="40"/>
  <c r="I98" i="40"/>
  <c r="I97" i="40"/>
  <c r="I96" i="40"/>
  <c r="I95" i="40"/>
  <c r="I94" i="40"/>
  <c r="I93" i="40"/>
  <c r="I92" i="40"/>
  <c r="I91" i="40"/>
  <c r="I90" i="40"/>
  <c r="I89" i="40"/>
  <c r="I88" i="40"/>
  <c r="I87" i="40"/>
  <c r="I86" i="40"/>
  <c r="I85" i="40"/>
  <c r="I84" i="40"/>
  <c r="I83" i="40"/>
  <c r="I82" i="40"/>
  <c r="I81" i="40"/>
  <c r="I80" i="40"/>
  <c r="I79" i="40"/>
  <c r="I78" i="40"/>
  <c r="I77" i="40"/>
  <c r="I76" i="40"/>
  <c r="I75" i="40"/>
  <c r="I74" i="40"/>
  <c r="I73" i="40"/>
  <c r="I72" i="40"/>
  <c r="I71" i="40"/>
  <c r="I70" i="40"/>
  <c r="I69" i="40"/>
  <c r="I68" i="40"/>
  <c r="I67" i="40"/>
  <c r="I66" i="40"/>
  <c r="I65" i="40"/>
  <c r="I64" i="40"/>
  <c r="I63" i="40"/>
  <c r="I62" i="40"/>
  <c r="I61" i="40"/>
  <c r="I60" i="40"/>
  <c r="I59" i="40"/>
  <c r="I58" i="40"/>
  <c r="I57" i="40"/>
  <c r="I56" i="40"/>
  <c r="I55" i="40"/>
  <c r="I54" i="40"/>
  <c r="I53" i="40"/>
  <c r="I52" i="40"/>
  <c r="I51" i="40"/>
  <c r="I50" i="40"/>
  <c r="I49" i="40"/>
  <c r="I48" i="40"/>
  <c r="I47" i="40"/>
  <c r="I46" i="40"/>
  <c r="I45" i="40"/>
  <c r="I44" i="40"/>
  <c r="I43" i="40"/>
  <c r="I42" i="40"/>
  <c r="I41" i="40"/>
  <c r="I40" i="40"/>
  <c r="I39" i="40"/>
  <c r="I38" i="40"/>
  <c r="I37" i="40"/>
  <c r="I36" i="40"/>
  <c r="I35" i="40"/>
  <c r="I34" i="40"/>
  <c r="I33" i="40"/>
  <c r="I32" i="40"/>
  <c r="I31" i="40"/>
  <c r="I30" i="40"/>
  <c r="I29" i="40"/>
  <c r="I28" i="40"/>
  <c r="I27" i="40"/>
  <c r="I26" i="40"/>
  <c r="I25" i="40"/>
  <c r="I24" i="40"/>
  <c r="I23" i="40"/>
  <c r="I22" i="40"/>
  <c r="I21" i="40"/>
  <c r="I20" i="40"/>
  <c r="I19" i="40"/>
  <c r="I18" i="40"/>
  <c r="I17" i="40"/>
  <c r="I16" i="40"/>
  <c r="I15" i="40"/>
  <c r="I14" i="40"/>
  <c r="I13" i="40"/>
  <c r="I12" i="40"/>
  <c r="I11" i="40"/>
  <c r="I10" i="40"/>
  <c r="I9" i="40"/>
  <c r="I8" i="40"/>
  <c r="I7" i="40"/>
  <c r="I6" i="40"/>
  <c r="I5" i="40"/>
  <c r="I4" i="40"/>
  <c r="I3" i="40"/>
  <c r="H155" i="40"/>
  <c r="H154" i="40"/>
  <c r="H153" i="40"/>
  <c r="H152" i="40"/>
  <c r="H151" i="40"/>
  <c r="H150" i="40"/>
  <c r="H149" i="40"/>
  <c r="H148" i="40"/>
  <c r="H147" i="40"/>
  <c r="H146" i="40"/>
  <c r="H145" i="40"/>
  <c r="H144" i="40"/>
  <c r="H143" i="40"/>
  <c r="H142" i="40"/>
  <c r="H141" i="40"/>
  <c r="H140" i="40"/>
  <c r="H139" i="40"/>
  <c r="H138" i="40"/>
  <c r="H137" i="40"/>
  <c r="H136" i="40"/>
  <c r="H135" i="40"/>
  <c r="H134" i="40"/>
  <c r="H133" i="40"/>
  <c r="H132" i="40"/>
  <c r="H131" i="40"/>
  <c r="H130" i="40"/>
  <c r="H129" i="40"/>
  <c r="H128" i="40"/>
  <c r="H127" i="40"/>
  <c r="H126" i="40"/>
  <c r="H125" i="40"/>
  <c r="H124" i="40"/>
  <c r="H123" i="40"/>
  <c r="H122" i="40"/>
  <c r="H121" i="40"/>
  <c r="H120" i="40"/>
  <c r="H119" i="40"/>
  <c r="H118" i="40"/>
  <c r="H117" i="40"/>
  <c r="H116" i="40"/>
  <c r="H115" i="40"/>
  <c r="H114" i="40"/>
  <c r="H113" i="40"/>
  <c r="H112" i="40"/>
  <c r="H111" i="40"/>
  <c r="H110" i="40"/>
  <c r="H109" i="40"/>
  <c r="H108" i="40"/>
  <c r="H107" i="40"/>
  <c r="H106" i="40"/>
  <c r="H105" i="40"/>
  <c r="H104" i="40"/>
  <c r="H103" i="40"/>
  <c r="H102" i="40"/>
  <c r="H101" i="40"/>
  <c r="H100" i="40"/>
  <c r="H99" i="40"/>
  <c r="H98" i="40"/>
  <c r="H97" i="40"/>
  <c r="H96" i="40"/>
  <c r="H95" i="40"/>
  <c r="H94" i="40"/>
  <c r="H93" i="40"/>
  <c r="H92" i="40"/>
  <c r="H91" i="40"/>
  <c r="H90" i="40"/>
  <c r="H89" i="40"/>
  <c r="H88" i="40"/>
  <c r="H87" i="40"/>
  <c r="H86" i="40"/>
  <c r="H85" i="40"/>
  <c r="H84" i="40"/>
  <c r="H83" i="40"/>
  <c r="H82" i="40"/>
  <c r="H81" i="40"/>
  <c r="H80" i="40"/>
  <c r="H79" i="40"/>
  <c r="H78" i="40"/>
  <c r="H77" i="40"/>
  <c r="H76" i="40"/>
  <c r="H75" i="40"/>
  <c r="H74" i="40"/>
  <c r="H73" i="40"/>
  <c r="H72" i="40"/>
  <c r="H71" i="40"/>
  <c r="H70" i="40"/>
  <c r="H69" i="40"/>
  <c r="H68" i="40"/>
  <c r="H67" i="40"/>
  <c r="H66" i="40"/>
  <c r="H65" i="40"/>
  <c r="H64" i="40"/>
  <c r="H63" i="40"/>
  <c r="H62" i="40"/>
  <c r="H61" i="40"/>
  <c r="H60" i="40"/>
  <c r="H59" i="40"/>
  <c r="H58" i="40"/>
  <c r="H57" i="40"/>
  <c r="H56" i="40"/>
  <c r="H55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41" i="40"/>
  <c r="H40" i="40"/>
  <c r="H39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5" i="40"/>
  <c r="H24" i="40"/>
  <c r="H23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9" i="40"/>
  <c r="H8" i="40"/>
  <c r="H7" i="40"/>
  <c r="H6" i="40"/>
  <c r="H5" i="40"/>
  <c r="H4" i="40"/>
  <c r="H3" i="40"/>
  <c r="H2" i="40"/>
  <c r="H1" i="40"/>
  <c r="I2" i="40"/>
  <c r="F3" i="40"/>
  <c r="F4" i="40" s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114" i="39"/>
  <c r="C113" i="39"/>
  <c r="C112" i="39"/>
  <c r="C111" i="39"/>
  <c r="C110" i="39"/>
  <c r="C109" i="39"/>
  <c r="C108" i="39"/>
  <c r="C107" i="39"/>
  <c r="C106" i="39"/>
  <c r="C105" i="39"/>
  <c r="C104" i="39"/>
  <c r="C103" i="39"/>
  <c r="C102" i="39"/>
  <c r="C101" i="39"/>
  <c r="C100" i="39"/>
  <c r="C99" i="39"/>
  <c r="C98" i="39"/>
  <c r="C97" i="39"/>
  <c r="C96" i="39"/>
  <c r="C95" i="39"/>
  <c r="C94" i="39"/>
  <c r="C93" i="39"/>
  <c r="C92" i="39"/>
  <c r="C91" i="39"/>
  <c r="C90" i="39"/>
  <c r="C89" i="39"/>
  <c r="C88" i="39"/>
  <c r="C87" i="39"/>
  <c r="C86" i="39"/>
  <c r="C85" i="39"/>
  <c r="C84" i="39"/>
  <c r="C83" i="39"/>
  <c r="C82" i="39"/>
  <c r="C81" i="39"/>
  <c r="C80" i="39"/>
  <c r="C79" i="39"/>
  <c r="C78" i="39"/>
  <c r="C77" i="39"/>
  <c r="C76" i="39"/>
  <c r="C75" i="39"/>
  <c r="C74" i="39"/>
  <c r="C73" i="39"/>
  <c r="C72" i="39"/>
  <c r="C71" i="39"/>
  <c r="C70" i="39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2" i="39"/>
  <c r="B3" i="39"/>
  <c r="B4" i="39" s="1"/>
  <c r="B5" i="39" s="1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98" i="39" s="1"/>
  <c r="B99" i="39" s="1"/>
  <c r="B100" i="39" s="1"/>
  <c r="B101" i="39" s="1"/>
  <c r="B102" i="39" s="1"/>
  <c r="B103" i="39" s="1"/>
  <c r="B104" i="39" s="1"/>
  <c r="B105" i="39" s="1"/>
  <c r="B106" i="39" s="1"/>
  <c r="B107" i="39" s="1"/>
  <c r="B108" i="39" s="1"/>
  <c r="B109" i="39" s="1"/>
  <c r="B110" i="39" s="1"/>
  <c r="B111" i="39" s="1"/>
  <c r="B112" i="39" s="1"/>
  <c r="B113" i="39" s="1"/>
  <c r="B114" i="39" s="1"/>
  <c r="B115" i="39" s="1"/>
  <c r="B116" i="39" s="1"/>
  <c r="B117" i="39" s="1"/>
  <c r="B118" i="39" s="1"/>
  <c r="B119" i="39" s="1"/>
  <c r="B120" i="39" s="1"/>
  <c r="B121" i="39" s="1"/>
  <c r="B122" i="39" s="1"/>
  <c r="B123" i="39" s="1"/>
  <c r="B124" i="39" s="1"/>
  <c r="B125" i="39" s="1"/>
  <c r="B126" i="39" s="1"/>
  <c r="B127" i="39" s="1"/>
  <c r="B128" i="39" s="1"/>
  <c r="B129" i="39" s="1"/>
  <c r="B130" i="39" s="1"/>
  <c r="B131" i="39" s="1"/>
  <c r="B132" i="39" s="1"/>
  <c r="B133" i="39" s="1"/>
  <c r="B134" i="39" s="1"/>
  <c r="B135" i="39" s="1"/>
  <c r="B136" i="39" s="1"/>
  <c r="B137" i="39" s="1"/>
  <c r="B138" i="39" s="1"/>
  <c r="B139" i="39" s="1"/>
  <c r="B140" i="39" s="1"/>
  <c r="B141" i="39" s="1"/>
  <c r="B142" i="39" s="1"/>
  <c r="B143" i="39" s="1"/>
  <c r="B144" i="39" s="1"/>
  <c r="B145" i="39" s="1"/>
  <c r="B146" i="39" s="1"/>
  <c r="B147" i="39" s="1"/>
  <c r="B148" i="39" s="1"/>
  <c r="B149" i="39" s="1"/>
  <c r="B150" i="39" s="1"/>
  <c r="B151" i="39" s="1"/>
  <c r="B152" i="39" s="1"/>
  <c r="B153" i="39" s="1"/>
  <c r="B154" i="39" s="1"/>
  <c r="B155" i="39" s="1"/>
  <c r="B156" i="39" s="1"/>
  <c r="B157" i="39" s="1"/>
  <c r="B158" i="39" s="1"/>
  <c r="B159" i="39" s="1"/>
  <c r="B160" i="39" s="1"/>
  <c r="B161" i="39" s="1"/>
  <c r="B162" i="39" s="1"/>
  <c r="B163" i="39" s="1"/>
  <c r="B164" i="39" s="1"/>
  <c r="B165" i="39" s="1"/>
  <c r="B166" i="39" s="1"/>
  <c r="B167" i="39" s="1"/>
  <c r="B168" i="39" s="1"/>
  <c r="B169" i="39" s="1"/>
  <c r="B170" i="39" s="1"/>
  <c r="B171" i="39" s="1"/>
  <c r="B172" i="39" s="1"/>
  <c r="B173" i="39" s="1"/>
  <c r="B174" i="39" s="1"/>
  <c r="B175" i="39" s="1"/>
  <c r="B176" i="39" s="1"/>
  <c r="B177" i="39" s="1"/>
  <c r="B178" i="39" s="1"/>
  <c r="B179" i="39" s="1"/>
  <c r="B180" i="39" s="1"/>
  <c r="B181" i="39" s="1"/>
  <c r="B182" i="39" s="1"/>
  <c r="B183" i="39" s="1"/>
  <c r="B184" i="39" s="1"/>
  <c r="B185" i="39" s="1"/>
  <c r="B186" i="39" s="1"/>
  <c r="B187" i="39" s="1"/>
  <c r="B188" i="39" s="1"/>
  <c r="B189" i="39" s="1"/>
  <c r="B190" i="39" s="1"/>
  <c r="B191" i="39" s="1"/>
  <c r="B192" i="39" s="1"/>
  <c r="B193" i="39" s="1"/>
  <c r="B194" i="39" s="1"/>
  <c r="B195" i="39" s="1"/>
  <c r="B196" i="39" s="1"/>
  <c r="B197" i="39" s="1"/>
  <c r="B198" i="39" s="1"/>
  <c r="B199" i="39" s="1"/>
  <c r="B200" i="39" s="1"/>
  <c r="B201" i="39" s="1"/>
  <c r="B202" i="39" s="1"/>
  <c r="B203" i="39" s="1"/>
  <c r="B204" i="39" s="1"/>
  <c r="B205" i="39" s="1"/>
  <c r="B206" i="39" s="1"/>
  <c r="B207" i="39" s="1"/>
  <c r="B208" i="39" s="1"/>
  <c r="B209" i="39" s="1"/>
  <c r="B210" i="39" s="1"/>
  <c r="B211" i="39" s="1"/>
  <c r="B212" i="39" s="1"/>
  <c r="B213" i="39" s="1"/>
  <c r="B214" i="39" s="1"/>
  <c r="B215" i="39" s="1"/>
  <c r="B216" i="39" s="1"/>
  <c r="B217" i="39" s="1"/>
  <c r="B218" i="39" s="1"/>
  <c r="B219" i="39" s="1"/>
  <c r="B220" i="39" s="1"/>
  <c r="B221" i="39" s="1"/>
  <c r="B222" i="39" s="1"/>
  <c r="B223" i="39" s="1"/>
  <c r="B224" i="39" s="1"/>
  <c r="B2" i="39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A1" i="37"/>
  <c r="E3" i="37"/>
  <c r="E4" i="37" s="1"/>
  <c r="E5" i="37" s="1"/>
  <c r="E6" i="37" s="1"/>
  <c r="E7" i="37" s="1"/>
  <c r="E8" i="37" s="1"/>
  <c r="E9" i="37" s="1"/>
  <c r="E10" i="37" s="1"/>
  <c r="E11" i="37" s="1"/>
  <c r="E12" i="37" s="1"/>
  <c r="E13" i="37" s="1"/>
  <c r="E14" i="37" s="1"/>
  <c r="E15" i="37" s="1"/>
  <c r="E16" i="37" s="1"/>
  <c r="E17" i="37" s="1"/>
  <c r="E18" i="37" s="1"/>
  <c r="E19" i="37" s="1"/>
  <c r="E20" i="37" s="1"/>
  <c r="E21" i="37" s="1"/>
  <c r="E22" i="37" s="1"/>
  <c r="E23" i="37" s="1"/>
  <c r="E24" i="37" s="1"/>
  <c r="E25" i="37" s="1"/>
  <c r="E26" i="37" s="1"/>
  <c r="E27" i="37" s="1"/>
  <c r="E28" i="37" s="1"/>
  <c r="E29" i="37" s="1"/>
  <c r="E30" i="37" s="1"/>
  <c r="E31" i="37" s="1"/>
  <c r="E32" i="37" s="1"/>
  <c r="E33" i="37" s="1"/>
  <c r="E34" i="37" s="1"/>
  <c r="E35" i="37" s="1"/>
  <c r="E36" i="37" s="1"/>
  <c r="E37" i="37" s="1"/>
  <c r="E38" i="37" s="1"/>
  <c r="E39" i="37" s="1"/>
  <c r="E40" i="37" s="1"/>
  <c r="E41" i="37" s="1"/>
  <c r="E42" i="37" s="1"/>
  <c r="E43" i="37" s="1"/>
  <c r="E44" i="37" s="1"/>
  <c r="E45" i="37" s="1"/>
  <c r="E46" i="37" s="1"/>
  <c r="E47" i="37" s="1"/>
  <c r="E48" i="37" s="1"/>
  <c r="E49" i="37" s="1"/>
  <c r="E2" i="37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G4" i="41" l="1"/>
  <c r="G5" i="41" s="1"/>
  <c r="G6" i="41" s="1"/>
  <c r="G7" i="41" s="1"/>
  <c r="G8" i="41" s="1"/>
  <c r="G9" i="41" s="1"/>
  <c r="G10" i="41" s="1"/>
  <c r="G11" i="41" s="1"/>
  <c r="H11" i="41" s="1"/>
  <c r="H4" i="41"/>
  <c r="H5" i="41"/>
  <c r="H6" i="41"/>
  <c r="H7" i="41"/>
  <c r="H8" i="41"/>
  <c r="H9" i="41"/>
  <c r="H10" i="41"/>
  <c r="F5" i="40"/>
  <c r="H1467" i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F6" i="40" l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F7" i="40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F8" i="40" l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F9" i="40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F10" i="40" l="1"/>
  <c r="A1490" i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F11" i="40" l="1"/>
  <c r="F12" i="40" l="1"/>
  <c r="F13" i="40" l="1"/>
  <c r="F14" i="40" l="1"/>
  <c r="F15" i="40" l="1"/>
  <c r="F16" i="40" l="1"/>
  <c r="F17" i="40" l="1"/>
  <c r="F18" i="40" l="1"/>
  <c r="F19" i="40" l="1"/>
  <c r="F20" i="40" l="1"/>
  <c r="F21" i="40" l="1"/>
  <c r="F22" i="40" l="1"/>
  <c r="F23" i="40" l="1"/>
  <c r="F24" i="40" l="1"/>
  <c r="F25" i="40" l="1"/>
  <c r="F26" i="40" l="1"/>
  <c r="F27" i="40" l="1"/>
  <c r="F28" i="40" l="1"/>
  <c r="F29" i="40" l="1"/>
  <c r="F30" i="40" l="1"/>
  <c r="F31" i="40" l="1"/>
  <c r="F32" i="40" l="1"/>
  <c r="F33" i="40" l="1"/>
  <c r="F34" i="40" l="1"/>
  <c r="F35" i="40" l="1"/>
  <c r="F36" i="40" l="1"/>
  <c r="F37" i="40" l="1"/>
  <c r="F38" i="40" l="1"/>
  <c r="F39" i="40" l="1"/>
  <c r="F40" i="40" l="1"/>
  <c r="F41" i="40" l="1"/>
  <c r="F42" i="40" l="1"/>
  <c r="F43" i="40" l="1"/>
  <c r="F44" i="40" l="1"/>
  <c r="F45" i="40" l="1"/>
  <c r="F46" i="40" l="1"/>
  <c r="F47" i="40" l="1"/>
  <c r="F48" i="40" l="1"/>
  <c r="F49" i="40" l="1"/>
  <c r="F50" i="40" l="1"/>
  <c r="F51" i="40" l="1"/>
  <c r="F52" i="40" l="1"/>
  <c r="F53" i="40" l="1"/>
  <c r="F54" i="40" l="1"/>
  <c r="F55" i="40" l="1"/>
  <c r="F56" i="40" l="1"/>
  <c r="F57" i="40" l="1"/>
  <c r="F58" i="40" l="1"/>
  <c r="F59" i="40" l="1"/>
  <c r="F60" i="40" l="1"/>
  <c r="F61" i="40" l="1"/>
  <c r="F62" i="40" l="1"/>
  <c r="F63" i="40" l="1"/>
  <c r="F64" i="40" l="1"/>
  <c r="F65" i="40" l="1"/>
  <c r="F66" i="40" l="1"/>
  <c r="F67" i="40" l="1"/>
  <c r="F68" i="40" l="1"/>
  <c r="F69" i="40" l="1"/>
  <c r="F70" i="40" l="1"/>
  <c r="F71" i="40" l="1"/>
  <c r="F72" i="40" l="1"/>
  <c r="F73" i="40" l="1"/>
  <c r="F74" i="40" l="1"/>
  <c r="F75" i="40" l="1"/>
  <c r="F76" i="40" l="1"/>
  <c r="F77" i="40" l="1"/>
  <c r="F78" i="40" l="1"/>
  <c r="F79" i="40" l="1"/>
  <c r="F80" i="40" l="1"/>
  <c r="F81" i="40" l="1"/>
  <c r="F82" i="40" l="1"/>
  <c r="F83" i="40" l="1"/>
  <c r="F84" i="40" l="1"/>
  <c r="F85" i="40" l="1"/>
  <c r="F86" i="40" l="1"/>
  <c r="F87" i="40" l="1"/>
  <c r="F88" i="40" l="1"/>
  <c r="F89" i="40" l="1"/>
  <c r="F90" i="40" l="1"/>
  <c r="F91" i="40" l="1"/>
  <c r="F92" i="40" l="1"/>
  <c r="F93" i="40" l="1"/>
  <c r="F94" i="40" l="1"/>
  <c r="F95" i="40" l="1"/>
  <c r="F96" i="40" l="1"/>
  <c r="F97" i="40" l="1"/>
  <c r="F98" i="40" l="1"/>
  <c r="F99" i="40" l="1"/>
  <c r="F100" i="40" l="1"/>
  <c r="F101" i="40" l="1"/>
  <c r="F102" i="40" l="1"/>
  <c r="F103" i="40" l="1"/>
  <c r="F104" i="40" l="1"/>
  <c r="F105" i="40" l="1"/>
  <c r="F106" i="40" l="1"/>
  <c r="F107" i="40" l="1"/>
  <c r="F108" i="40" l="1"/>
  <c r="F109" i="40" l="1"/>
  <c r="F110" i="40" l="1"/>
  <c r="F111" i="40" l="1"/>
  <c r="F112" i="40" l="1"/>
  <c r="F113" i="40" l="1"/>
  <c r="F114" i="40" l="1"/>
  <c r="F115" i="40" l="1"/>
  <c r="F116" i="40" l="1"/>
  <c r="F117" i="40" l="1"/>
  <c r="F118" i="40" l="1"/>
  <c r="F119" i="40" l="1"/>
  <c r="F120" i="40" l="1"/>
  <c r="F121" i="40" l="1"/>
  <c r="F122" i="40" l="1"/>
  <c r="F123" i="40" l="1"/>
  <c r="F124" i="40" l="1"/>
  <c r="F125" i="40" l="1"/>
  <c r="F126" i="40" l="1"/>
  <c r="F127" i="40" l="1"/>
  <c r="F128" i="40" l="1"/>
  <c r="F129" i="40" l="1"/>
  <c r="F130" i="40" l="1"/>
  <c r="F131" i="40" l="1"/>
  <c r="F132" i="40" l="1"/>
  <c r="F133" i="40" l="1"/>
  <c r="F134" i="40" l="1"/>
  <c r="F135" i="40" l="1"/>
  <c r="F136" i="40" l="1"/>
  <c r="F137" i="40" l="1"/>
  <c r="F138" i="40" l="1"/>
  <c r="F139" i="40" l="1"/>
  <c r="F140" i="40" l="1"/>
  <c r="F141" i="40" l="1"/>
  <c r="F142" i="40" l="1"/>
  <c r="F143" i="40" l="1"/>
  <c r="F144" i="40" l="1"/>
  <c r="F145" i="40" l="1"/>
  <c r="F146" i="40" l="1"/>
  <c r="F147" i="40" l="1"/>
  <c r="F148" i="40" l="1"/>
  <c r="F149" i="40" l="1"/>
  <c r="F150" i="40" l="1"/>
  <c r="F151" i="40" l="1"/>
  <c r="F152" i="40" l="1"/>
  <c r="F153" i="40" l="1"/>
  <c r="F154" i="40" l="1"/>
  <c r="F155" i="40" l="1"/>
  <c r="A2102" i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</calcChain>
</file>

<file path=xl/sharedStrings.xml><?xml version="1.0" encoding="utf-8"?>
<sst xmlns="http://schemas.openxmlformats.org/spreadsheetml/2006/main" count="71874" uniqueCount="11490">
  <si>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</si>
  <si>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</si>
  <si>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</si>
  <si>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</si>
  <si>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</si>
  <si>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</si>
  <si>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</si>
  <si>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</si>
  <si>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</si>
  <si>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</si>
  <si>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</si>
  <si>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</si>
  <si>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</si>
  <si>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</si>
  <si>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</si>
  <si>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</si>
  <si>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</si>
  <si>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</si>
  <si>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</si>
  <si>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</si>
  <si>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</si>
  <si>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</si>
  <si>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</si>
  <si>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</si>
  <si>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</si>
  <si>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</si>
  <si>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</si>
  <si>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</si>
  <si>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</si>
  <si>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</si>
  <si>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</si>
  <si>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</si>
  <si>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</si>
  <si>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</si>
  <si>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</si>
  <si>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</si>
  <si>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</si>
  <si>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</si>
  <si>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</si>
  <si>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</si>
  <si>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</si>
  <si>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</si>
  <si>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</si>
  <si>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</si>
  <si>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</si>
  <si>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</si>
  <si>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</si>
  <si>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</si>
  <si>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</si>
  <si>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</si>
  <si>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</si>
  <si>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</si>
  <si>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</si>
  <si>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</si>
  <si>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</si>
  <si>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</si>
  <si>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</si>
  <si>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</si>
  <si>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</si>
  <si>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</si>
  <si>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</si>
  <si>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</si>
  <si>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</si>
  <si>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</si>
  <si>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</si>
  <si>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</si>
  <si>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</si>
  <si>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</si>
  <si>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</si>
  <si>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</si>
  <si>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</si>
  <si>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</si>
  <si>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</si>
  <si>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</si>
  <si>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</si>
  <si>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</si>
  <si>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</si>
  <si>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</si>
  <si>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</si>
  <si>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</si>
  <si>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</si>
  <si>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</si>
  <si>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</si>
  <si>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</si>
  <si>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</si>
  <si>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</si>
  <si>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</si>
  <si>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</si>
  <si>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</si>
  <si>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</si>
  <si>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</si>
  <si>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</si>
  <si>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</si>
  <si>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</si>
  <si>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</si>
  <si>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</si>
  <si>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</si>
  <si>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</si>
  <si>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</si>
  <si>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</si>
  <si>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</si>
  <si>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</si>
  <si>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</si>
  <si>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</si>
  <si>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</si>
  <si>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</si>
  <si>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</si>
  <si>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</si>
  <si>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</si>
  <si>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</si>
  <si>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</si>
  <si>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</si>
  <si>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</si>
  <si>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</si>
  <si>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</si>
  <si>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</si>
  <si>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</si>
  <si>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</si>
  <si>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</si>
  <si>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</si>
  <si>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</si>
  <si>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</si>
  <si>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</si>
  <si>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</si>
  <si>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</si>
  <si>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</si>
  <si>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</si>
  <si>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</si>
  <si>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</si>
  <si>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</si>
  <si>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</si>
  <si>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</si>
  <si>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</si>
  <si>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</si>
  <si>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</si>
  <si>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</si>
  <si>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</si>
  <si>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</si>
  <si>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</si>
  <si>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</si>
  <si>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</si>
  <si>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</si>
  <si>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</si>
  <si>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</si>
  <si>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</si>
  <si>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</si>
  <si>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</si>
  <si>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</si>
  <si>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</si>
  <si>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</si>
  <si>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</si>
  <si>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</si>
  <si>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</si>
  <si>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</si>
  <si>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</si>
  <si>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</si>
  <si>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</si>
  <si>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</si>
  <si>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</si>
  <si>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</si>
  <si>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</si>
  <si>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</si>
  <si>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</si>
  <si>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</si>
  <si>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</si>
  <si>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</si>
  <si>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</si>
  <si>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</si>
  <si>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</si>
  <si>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</si>
  <si>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</si>
  <si>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</si>
  <si>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</si>
  <si>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</si>
  <si>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</si>
  <si>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</si>
  <si>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</si>
  <si>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</si>
  <si>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</si>
  <si>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</si>
  <si>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</si>
  <si>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</si>
  <si>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</si>
  <si>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</si>
  <si>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</si>
  <si>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</si>
  <si>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</si>
  <si>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</si>
  <si>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</si>
  <si>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</si>
  <si>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</si>
  <si>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</si>
  <si>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</si>
  <si>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</si>
  <si>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</si>
  <si>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</si>
  <si>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</si>
  <si>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</si>
  <si>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</si>
  <si>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</si>
  <si>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</si>
  <si>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</si>
  <si>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</si>
  <si>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</si>
  <si>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</si>
  <si>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</si>
  <si>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</si>
  <si>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</si>
  <si>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</si>
  <si>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</si>
  <si>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</si>
  <si>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</si>
  <si>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</si>
  <si>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</si>
  <si>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</si>
  <si>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</si>
  <si>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</si>
  <si>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</si>
  <si>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</si>
  <si>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</si>
  <si>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</si>
  <si>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</si>
  <si>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</si>
  <si>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</si>
  <si>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</si>
  <si>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</si>
  <si>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</si>
  <si>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</si>
  <si>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</si>
  <si>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</si>
  <si>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</si>
  <si>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</si>
  <si>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</si>
  <si>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</si>
  <si>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</si>
  <si>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</si>
  <si>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</si>
  <si>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</si>
  <si>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</si>
  <si>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</si>
  <si>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</si>
  <si>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</si>
  <si>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</si>
  <si>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</si>
  <si>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</si>
  <si>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</si>
  <si>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</si>
  <si>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</si>
  <si>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</si>
  <si>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</si>
  <si>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</si>
  <si>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</si>
  <si>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</si>
  <si>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</si>
  <si>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</si>
  <si>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</si>
  <si>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</si>
  <si>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</si>
  <si>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</si>
  <si>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</si>
  <si>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</si>
  <si>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</si>
  <si>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</si>
  <si>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</si>
  <si>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</si>
  <si>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</si>
  <si>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</si>
  <si>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</si>
  <si>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</si>
  <si>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</si>
  <si>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</si>
  <si>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</si>
  <si>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</si>
  <si>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</si>
  <si>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</si>
  <si>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</si>
  <si>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</si>
  <si>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</si>
  <si>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</si>
  <si>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</si>
  <si>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</si>
  <si>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</si>
  <si>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</si>
  <si>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</si>
  <si>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</si>
  <si>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</si>
  <si>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</si>
  <si>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</si>
  <si>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</si>
  <si>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</si>
  <si>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</si>
  <si>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</si>
  <si>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</si>
  <si>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</si>
  <si>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</si>
  <si>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</si>
  <si>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</si>
  <si>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</si>
  <si>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</si>
  <si>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</si>
  <si>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</si>
  <si>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</si>
  <si>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</si>
  <si>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</si>
  <si>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</si>
  <si>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</si>
  <si>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</si>
  <si>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</si>
  <si>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</si>
  <si>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</si>
  <si>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</si>
  <si>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</si>
  <si>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</si>
  <si>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</si>
  <si>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</si>
  <si>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</si>
  <si>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</si>
  <si>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</si>
  <si>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</si>
  <si>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</si>
  <si>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</si>
  <si>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</si>
  <si>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</si>
  <si>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</si>
  <si>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</si>
  <si>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</si>
  <si>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</si>
  <si>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</si>
  <si>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</si>
  <si>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</si>
  <si>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</si>
  <si>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</si>
  <si>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</si>
  <si>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</si>
  <si>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</si>
  <si>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</si>
  <si>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</si>
  <si>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</si>
  <si>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</si>
  <si>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</si>
  <si>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</si>
  <si>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</si>
  <si>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</si>
  <si>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</si>
  <si>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</si>
  <si>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</si>
  <si>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</si>
  <si>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</si>
  <si>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</si>
  <si>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</si>
  <si>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</si>
  <si>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</si>
  <si>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</si>
  <si>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</si>
  <si>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</si>
  <si>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</si>
  <si>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</si>
  <si>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</si>
  <si>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</si>
  <si>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</si>
  <si>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</si>
  <si>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</si>
  <si>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</si>
  <si>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</si>
  <si>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</si>
  <si>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</si>
  <si>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</si>
  <si>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</si>
  <si>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</si>
  <si>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</si>
  <si>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</si>
  <si>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</si>
  <si>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</si>
  <si>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</si>
  <si>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</si>
  <si>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</si>
  <si>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</si>
  <si>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</si>
  <si>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</si>
  <si>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</si>
  <si>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</si>
  <si>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</si>
  <si>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</si>
  <si>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</si>
  <si>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</si>
  <si>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</si>
  <si>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</si>
  <si>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</si>
  <si>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</si>
  <si>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</si>
  <si>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</si>
  <si>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</si>
  <si>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</si>
  <si>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</si>
  <si>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</si>
  <si>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</si>
  <si>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</si>
  <si>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</si>
  <si>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</si>
  <si>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</si>
  <si>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</si>
  <si>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</si>
  <si>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</si>
  <si>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</si>
  <si>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</si>
  <si>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</si>
  <si>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</si>
  <si>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</si>
  <si>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</si>
  <si>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</si>
  <si>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</si>
  <si>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</si>
  <si>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</si>
  <si>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</si>
  <si>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</si>
  <si>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</si>
  <si>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</si>
  <si>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</si>
  <si>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</si>
  <si>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</si>
  <si>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</si>
  <si>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</si>
  <si>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</si>
  <si>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</si>
  <si>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</si>
  <si>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</si>
  <si>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</si>
  <si>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</si>
  <si>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</si>
  <si>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</si>
  <si>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</si>
  <si>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</si>
  <si>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</si>
  <si>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</si>
  <si>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</si>
  <si>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</si>
  <si>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</si>
  <si>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</si>
  <si>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</si>
  <si>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</si>
  <si>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</si>
  <si>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</si>
  <si>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</si>
  <si>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</si>
  <si>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</si>
  <si>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</si>
  <si>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</si>
  <si>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</si>
  <si>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</si>
  <si>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</si>
  <si>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</si>
  <si>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</si>
  <si>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</si>
  <si>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</si>
  <si>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</si>
  <si>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</si>
  <si>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</si>
  <si>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</si>
  <si>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</si>
  <si>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</si>
  <si>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</si>
  <si>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</si>
  <si>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</si>
  <si>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</si>
  <si>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</si>
  <si>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</si>
  <si>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</si>
  <si>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</si>
  <si>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</si>
  <si>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</si>
  <si>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</si>
  <si>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</si>
  <si>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</si>
  <si>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</si>
  <si>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</si>
  <si>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</si>
  <si>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</si>
  <si>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</si>
  <si>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</si>
  <si>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</si>
  <si>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</si>
  <si>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</si>
  <si>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</si>
  <si>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</si>
  <si>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</si>
  <si>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</si>
  <si>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</si>
  <si>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</si>
  <si>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</si>
  <si>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</si>
  <si>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</si>
  <si>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</si>
  <si>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</si>
  <si>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</si>
  <si>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</si>
  <si>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</si>
  <si>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</si>
  <si>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</si>
  <si>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</si>
  <si>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</si>
  <si>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</si>
  <si>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</si>
  <si>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</si>
  <si>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</si>
  <si>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</si>
  <si>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</si>
  <si>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</si>
  <si>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</si>
  <si>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</si>
  <si>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</si>
  <si>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</si>
  <si>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</si>
  <si>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</si>
  <si>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</si>
  <si>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</si>
  <si>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</si>
  <si>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</si>
  <si>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</si>
  <si>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</si>
  <si>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</si>
  <si>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</si>
  <si>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</si>
  <si>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</si>
  <si>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</si>
  <si>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</si>
  <si>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</si>
  <si>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</si>
  <si>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</si>
  <si>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</si>
  <si>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</si>
  <si>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</si>
  <si>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</si>
  <si>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</si>
  <si>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</si>
  <si>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</si>
  <si>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</si>
  <si>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</si>
  <si>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</si>
  <si>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</si>
  <si>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</si>
  <si>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</si>
  <si>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</si>
  <si>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</si>
  <si>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</si>
  <si>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</si>
  <si>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</si>
  <si>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</si>
  <si>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</si>
  <si>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</si>
  <si>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</si>
  <si>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</si>
  <si>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</si>
  <si>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</si>
  <si>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</si>
  <si>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</si>
  <si>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</si>
  <si>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</si>
  <si>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</si>
  <si>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</si>
  <si>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</si>
  <si>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</si>
  <si>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</si>
  <si>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</si>
  <si>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</si>
  <si>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</si>
  <si>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</si>
  <si>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</si>
  <si>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</si>
  <si>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</si>
  <si>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</si>
  <si>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</si>
  <si>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</si>
  <si>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</si>
  <si>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</si>
  <si>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</si>
  <si>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</si>
  <si>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</si>
  <si>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</si>
  <si>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</si>
  <si>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</si>
  <si>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</si>
  <si>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</si>
  <si>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</si>
  <si>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</si>
  <si>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</si>
  <si>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</si>
  <si>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</si>
  <si>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</si>
  <si>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</si>
  <si>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</si>
  <si>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</si>
  <si>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</si>
  <si>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</si>
  <si>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</si>
  <si>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</si>
  <si>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</si>
  <si>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</si>
  <si>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</si>
  <si>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</si>
  <si>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</si>
  <si>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</si>
  <si>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</si>
  <si>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</si>
  <si>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</si>
  <si>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</si>
  <si>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</si>
  <si>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</si>
  <si>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</si>
  <si>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</si>
  <si>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</si>
  <si>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</si>
  <si>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</si>
  <si>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</si>
  <si>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</si>
  <si>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</si>
  <si>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</si>
  <si>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</si>
  <si>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</si>
  <si>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</si>
  <si>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</si>
  <si>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</si>
  <si>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</si>
  <si>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</si>
  <si>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</si>
  <si>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</si>
  <si>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</si>
  <si>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</si>
  <si>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</si>
  <si>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</si>
  <si>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</si>
  <si>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</si>
  <si>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</si>
  <si>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</si>
  <si>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</si>
  <si>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</si>
  <si>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</si>
  <si>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</si>
  <si>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</si>
  <si>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</si>
  <si>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</si>
  <si>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</si>
  <si>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</si>
  <si>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</si>
  <si>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</si>
  <si>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</si>
  <si>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</si>
  <si>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</si>
  <si>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</si>
  <si>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</si>
  <si>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</si>
  <si>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</si>
  <si>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</si>
  <si>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</si>
  <si>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</si>
  <si>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</si>
  <si>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</si>
  <si>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</si>
  <si>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</si>
  <si>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</si>
  <si>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</si>
  <si>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</si>
  <si>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</si>
  <si>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</si>
  <si>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</si>
  <si>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</si>
  <si>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</si>
  <si>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</si>
  <si>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</si>
  <si>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</si>
  <si>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</si>
  <si>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</si>
  <si>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</si>
  <si>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</si>
  <si>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</si>
  <si>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</si>
  <si>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</si>
  <si>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</si>
  <si>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</si>
  <si>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</si>
  <si>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</si>
  <si>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</si>
  <si>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</si>
  <si>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</si>
  <si>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</si>
  <si>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</si>
  <si>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</si>
  <si>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</si>
  <si>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</si>
  <si>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</si>
  <si>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</si>
  <si>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</si>
  <si>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</si>
  <si>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</si>
  <si>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</si>
  <si>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</si>
  <si>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</si>
  <si>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</si>
  <si>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</si>
  <si>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</si>
  <si>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</si>
  <si>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</si>
  <si>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</si>
  <si>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</si>
  <si>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</si>
  <si>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</si>
  <si>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</si>
  <si>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</si>
  <si>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</si>
  <si>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</si>
  <si>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</si>
  <si>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</si>
  <si>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</si>
  <si>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</si>
  <si>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</si>
  <si>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</si>
  <si>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</si>
  <si>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</si>
  <si>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</si>
  <si>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</si>
  <si>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</si>
  <si>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</si>
  <si>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</si>
  <si>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</si>
  <si>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</si>
  <si>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</si>
  <si>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</si>
  <si>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</si>
  <si>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</si>
  <si>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</si>
  <si>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</si>
  <si>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</si>
  <si>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</si>
  <si>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</si>
  <si>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</si>
  <si>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</si>
  <si>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</si>
  <si>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</si>
  <si>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</si>
  <si>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</si>
  <si>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</si>
  <si>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</si>
  <si>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</si>
  <si>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</si>
  <si>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</si>
  <si>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</si>
  <si>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</si>
  <si>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</si>
  <si>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</si>
  <si>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</si>
  <si>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</si>
  <si>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</si>
  <si>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</si>
  <si>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</si>
  <si>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</si>
  <si>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</si>
  <si>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</si>
  <si>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</si>
  <si>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</si>
  <si>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</si>
  <si>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</si>
  <si>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</si>
  <si>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</si>
  <si>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</si>
  <si>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</si>
  <si>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</si>
  <si>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</si>
  <si>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</si>
  <si>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</si>
  <si>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</si>
  <si>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</si>
  <si>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</si>
  <si>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</si>
  <si>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</si>
  <si>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</si>
  <si>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</si>
  <si>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</si>
  <si>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</si>
  <si>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</si>
  <si>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</si>
  <si>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</si>
  <si>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</si>
  <si>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</si>
  <si>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</si>
  <si>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</si>
  <si>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</si>
  <si>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</si>
  <si>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</si>
  <si>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</si>
  <si>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</si>
  <si>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</si>
  <si>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</si>
  <si>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</si>
  <si>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</si>
  <si>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</si>
  <si>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</si>
  <si>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</si>
  <si>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</si>
  <si>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</si>
  <si>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</si>
  <si>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</si>
  <si>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</si>
  <si>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</si>
  <si>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</si>
  <si>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</si>
  <si>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</si>
  <si>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</si>
  <si>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</si>
  <si>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</si>
  <si>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</si>
  <si>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</si>
  <si>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</si>
  <si>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</si>
  <si>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</si>
  <si>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</si>
  <si>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</si>
  <si>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</si>
  <si>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</si>
  <si>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</si>
  <si>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</si>
  <si>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</si>
  <si>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</si>
  <si>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</si>
  <si>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</si>
  <si>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</si>
  <si>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</si>
  <si>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</si>
  <si>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</si>
  <si>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</si>
  <si>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</si>
  <si>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</si>
  <si>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</si>
  <si>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</si>
  <si>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</si>
  <si>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</si>
  <si>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</si>
  <si>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</si>
  <si>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</si>
  <si>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</si>
  <si>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</si>
  <si>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</si>
  <si>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</si>
  <si>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</si>
  <si>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</si>
  <si>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</si>
  <si>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</si>
  <si>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</si>
  <si>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</si>
  <si>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</si>
  <si>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</si>
  <si>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</si>
  <si>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</si>
  <si>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</si>
  <si>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</si>
  <si>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</si>
  <si>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</si>
  <si>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</si>
  <si>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</si>
  <si>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</si>
  <si>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</si>
  <si>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</si>
  <si>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</si>
  <si>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</si>
  <si>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</si>
  <si>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</si>
  <si>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</si>
  <si>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</si>
  <si>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</si>
  <si>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</si>
  <si>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</si>
  <si>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</si>
  <si>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</si>
  <si>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</si>
  <si>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</si>
  <si>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</si>
  <si>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</si>
  <si>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</si>
  <si>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</si>
  <si>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</si>
  <si>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</si>
  <si>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</si>
  <si>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</si>
  <si>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</si>
  <si>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</si>
  <si>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</si>
  <si>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</si>
  <si>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</si>
  <si>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</si>
  <si>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</si>
  <si>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</si>
  <si>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</si>
  <si>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</si>
  <si>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</si>
  <si>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</si>
  <si>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</si>
  <si>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</si>
  <si>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</si>
  <si>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</si>
  <si>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</si>
  <si>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</si>
  <si>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</si>
  <si>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</si>
  <si>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</si>
  <si>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</si>
  <si>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</si>
  <si>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</si>
  <si>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</si>
  <si>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</si>
  <si>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</si>
  <si>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</si>
  <si>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</si>
  <si>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</si>
  <si>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</si>
  <si>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</si>
  <si>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</si>
  <si>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</si>
  <si>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</si>
  <si>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</si>
  <si>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</si>
  <si>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</si>
  <si>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</si>
  <si>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</si>
  <si>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</si>
  <si>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</si>
  <si>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</si>
  <si>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</si>
  <si>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</si>
  <si>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</si>
  <si>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</si>
  <si>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</si>
  <si>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</si>
  <si>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</si>
  <si>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</si>
  <si>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</si>
  <si>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</si>
  <si>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</si>
  <si>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</si>
  <si>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</si>
  <si>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</si>
  <si>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</si>
  <si>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</si>
  <si>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</si>
  <si>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</si>
  <si>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</si>
  <si>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</si>
  <si>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</si>
  <si>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</si>
  <si>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</si>
  <si>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</si>
  <si>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</si>
  <si>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</si>
  <si>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</si>
  <si>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</si>
  <si>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</si>
  <si>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</si>
  <si>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</si>
  <si>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</si>
  <si>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</si>
  <si>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</si>
  <si>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</si>
  <si>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</si>
  <si>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</si>
  <si>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</si>
  <si>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</si>
  <si>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</si>
  <si>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</si>
  <si>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</si>
  <si>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</si>
  <si>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</si>
  <si>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</si>
  <si>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</si>
  <si>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</si>
  <si>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</si>
  <si>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</si>
  <si>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</si>
  <si>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</si>
  <si>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</si>
  <si>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</si>
  <si>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</si>
  <si>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</si>
  <si>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</si>
  <si>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</si>
  <si>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</si>
  <si>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</si>
  <si>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</si>
  <si>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</si>
  <si>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</si>
  <si>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</si>
  <si>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</si>
  <si>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</si>
  <si>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</si>
  <si>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</si>
  <si>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</si>
  <si>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</si>
  <si>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</si>
  <si>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</si>
  <si>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</si>
  <si>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</si>
  <si>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</si>
  <si>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</si>
  <si>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</si>
  <si>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</si>
  <si>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</si>
  <si>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</si>
  <si>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</si>
  <si>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</si>
  <si>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</si>
  <si>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</si>
  <si>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</si>
  <si>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</si>
  <si>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</si>
  <si>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</si>
  <si>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</si>
  <si>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</si>
  <si>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</si>
  <si>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</si>
  <si>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</si>
  <si>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</si>
  <si>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</si>
  <si>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</si>
  <si>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</si>
  <si>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</si>
  <si>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</si>
  <si>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</si>
  <si>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</si>
  <si>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</si>
  <si>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</si>
  <si>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</si>
  <si>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</si>
  <si>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</si>
  <si>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</si>
  <si>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</si>
  <si>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</si>
  <si>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</si>
  <si>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</si>
  <si>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</si>
  <si>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</si>
  <si>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</si>
  <si>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</si>
  <si>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</si>
  <si>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</si>
  <si>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</si>
  <si>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</si>
  <si>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</si>
  <si>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</si>
  <si>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</si>
  <si>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</si>
  <si>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</si>
  <si>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</si>
  <si>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</si>
  <si>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</si>
  <si>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</si>
  <si>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</si>
  <si>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</si>
  <si>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</si>
  <si>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</si>
  <si>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</si>
  <si>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</si>
  <si>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</si>
  <si>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</si>
  <si>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</si>
  <si>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</si>
  <si>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</si>
  <si>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</si>
  <si>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</si>
  <si>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</si>
  <si>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</si>
  <si>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</si>
  <si>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</si>
  <si>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</si>
  <si>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</si>
  <si>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</si>
  <si>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</si>
  <si>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</si>
  <si>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</si>
  <si>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</si>
  <si>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</si>
  <si>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</si>
  <si>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</si>
  <si>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</si>
  <si>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</si>
  <si>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</si>
  <si>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</si>
  <si>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</si>
  <si>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</si>
  <si>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</si>
  <si>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</si>
  <si>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</si>
  <si>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</si>
  <si>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</si>
  <si>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</si>
  <si>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</si>
  <si>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</si>
  <si>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</si>
  <si>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</si>
  <si>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</si>
  <si>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</si>
  <si>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</si>
  <si>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</si>
  <si>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</si>
  <si>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</si>
  <si>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</si>
  <si>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</si>
  <si>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</si>
  <si>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</si>
  <si>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</si>
  <si>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</si>
  <si>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</si>
  <si>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</si>
  <si>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</si>
  <si>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</si>
  <si>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</si>
  <si>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</si>
  <si>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</si>
  <si>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</si>
  <si>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</si>
  <si>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</si>
  <si>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</si>
  <si>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</si>
  <si>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</si>
  <si>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</si>
  <si>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</si>
  <si>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</si>
  <si>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</si>
  <si>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</si>
  <si>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</si>
  <si>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</si>
  <si>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</si>
  <si>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</si>
  <si>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</si>
  <si>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</si>
  <si>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</si>
  <si>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</si>
  <si>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</si>
  <si>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</si>
  <si>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</si>
  <si>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</si>
  <si>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</si>
  <si>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</si>
  <si>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</si>
  <si>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</si>
  <si>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</si>
  <si>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</si>
  <si>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</si>
  <si>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</si>
  <si>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</si>
  <si>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</si>
  <si>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</si>
  <si>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</si>
  <si>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</si>
  <si>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</si>
  <si>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</si>
  <si>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</si>
  <si>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</si>
  <si>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</si>
  <si>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</si>
  <si>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</si>
  <si>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</si>
  <si>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</si>
  <si>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</si>
  <si>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</si>
  <si>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</si>
  <si>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</si>
  <si>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</si>
  <si>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</si>
  <si>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</si>
  <si>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</si>
  <si>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</si>
  <si>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</si>
  <si>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</si>
  <si>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</si>
  <si>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</si>
  <si>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</si>
  <si>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</si>
  <si>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</si>
  <si>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</si>
  <si>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</si>
  <si>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</si>
  <si>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</si>
  <si>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</si>
  <si>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</si>
  <si>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</si>
  <si>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</si>
  <si>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</si>
  <si>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</si>
  <si>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</si>
  <si>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</si>
  <si>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</si>
  <si>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</si>
  <si>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</si>
  <si>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</si>
  <si>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</si>
  <si>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</si>
  <si>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</si>
  <si>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</si>
  <si>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</si>
  <si>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</si>
  <si>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</si>
  <si>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</si>
  <si>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</si>
  <si>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</si>
  <si>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</si>
  <si>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</si>
  <si>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</si>
  <si>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</si>
  <si>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</si>
  <si>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</si>
  <si>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</si>
  <si>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</si>
  <si>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</si>
  <si>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</si>
  <si>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</si>
  <si>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</si>
  <si>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</si>
  <si>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</si>
  <si>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</si>
  <si>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</si>
  <si>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</si>
  <si>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</si>
  <si>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</si>
  <si>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</si>
  <si>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</si>
  <si>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</si>
  <si>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</si>
  <si>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</si>
  <si>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</si>
  <si>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</si>
  <si>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</si>
  <si>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</si>
  <si>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</si>
  <si>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</si>
  <si>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</si>
  <si>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</si>
  <si>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</si>
  <si>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</si>
  <si>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</si>
  <si>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</si>
  <si>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</si>
  <si>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</si>
  <si>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</si>
  <si>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</si>
  <si>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</si>
  <si>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</si>
  <si>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</si>
  <si>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</si>
  <si>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</si>
  <si>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</si>
  <si>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</si>
  <si>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</si>
  <si>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</si>
  <si>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</si>
  <si>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</si>
  <si>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</si>
  <si>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</si>
  <si>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</si>
  <si>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</si>
  <si>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</si>
  <si>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</si>
  <si>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</si>
  <si>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</si>
  <si>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</si>
  <si>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</si>
  <si>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</si>
  <si>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</si>
  <si>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</si>
  <si>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</si>
  <si>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</si>
  <si>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</si>
  <si>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</si>
  <si>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</si>
  <si>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</si>
  <si>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</si>
  <si>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</si>
  <si>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</si>
  <si>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</si>
  <si>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</si>
  <si>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</si>
  <si>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</si>
  <si>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</si>
  <si>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</si>
  <si>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</si>
  <si>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</si>
  <si>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</si>
  <si>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</si>
  <si>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</si>
  <si>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</si>
  <si>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</si>
  <si>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</si>
  <si>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</si>
  <si>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</si>
  <si>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</si>
  <si>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</si>
  <si>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</si>
  <si>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</si>
  <si>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</si>
  <si>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</si>
  <si>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</si>
  <si>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</si>
  <si>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</si>
  <si>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</si>
  <si>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</si>
  <si>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</si>
  <si>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</si>
  <si>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</si>
  <si>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</si>
  <si>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</si>
  <si>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</si>
  <si>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</si>
  <si>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</si>
  <si>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</si>
  <si>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</si>
  <si>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</si>
  <si>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</si>
  <si>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</si>
  <si>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</si>
  <si>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</si>
  <si>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</si>
  <si>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</si>
  <si>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</si>
  <si>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</si>
  <si>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</si>
  <si>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</si>
  <si>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</si>
  <si>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</si>
  <si>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</si>
  <si>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</si>
  <si>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</si>
  <si>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</si>
  <si>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</si>
  <si>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</si>
  <si>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</si>
  <si>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</si>
  <si>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</si>
  <si>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</si>
  <si>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</si>
  <si>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</si>
  <si>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</si>
  <si>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</si>
  <si>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</si>
  <si>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</si>
  <si>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</si>
  <si>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</si>
  <si>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</si>
  <si>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</si>
  <si>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</si>
  <si>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</si>
  <si>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</si>
  <si>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</si>
  <si>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</si>
  <si>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</si>
  <si>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</si>
  <si>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</si>
  <si>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</si>
  <si>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</si>
  <si>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</si>
  <si>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</si>
  <si>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</si>
  <si>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</si>
  <si>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</si>
  <si>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</si>
  <si>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</si>
  <si>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</si>
  <si>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</si>
  <si>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</si>
  <si>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</si>
  <si>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</si>
  <si>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</si>
  <si>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</si>
  <si>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</si>
  <si>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</si>
  <si>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</si>
  <si>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</si>
  <si>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</si>
  <si>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</si>
  <si>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</si>
  <si>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</si>
  <si>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</si>
  <si>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</si>
  <si>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</si>
  <si>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</si>
  <si>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</si>
  <si>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</si>
  <si>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</si>
  <si>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</si>
  <si>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</si>
  <si>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</si>
  <si>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</si>
  <si>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</si>
  <si>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</si>
  <si>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</si>
  <si>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</si>
  <si>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</si>
  <si>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</si>
  <si>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</si>
  <si>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</si>
  <si>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</si>
  <si>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</si>
  <si>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</si>
  <si>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</si>
  <si>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</si>
  <si>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</si>
  <si>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</si>
  <si>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</si>
  <si>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</si>
  <si>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</si>
  <si>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</si>
  <si>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</si>
  <si>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</si>
  <si>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</si>
  <si>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</si>
  <si>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</si>
  <si>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</si>
  <si>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</si>
  <si>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</si>
  <si>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</si>
  <si>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</si>
  <si>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</si>
  <si>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</si>
  <si>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</si>
  <si>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</si>
  <si>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</si>
  <si>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</si>
  <si>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</si>
  <si>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</si>
  <si>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</si>
  <si>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</si>
  <si>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</si>
  <si>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</si>
  <si>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</si>
  <si>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</si>
  <si>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</si>
  <si>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</si>
  <si>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</si>
  <si>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</si>
  <si>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</si>
  <si>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</si>
  <si>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</si>
  <si>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</si>
  <si>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</si>
  <si>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</si>
  <si>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</si>
  <si>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</si>
  <si>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</si>
  <si>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</si>
  <si>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</si>
  <si>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</si>
  <si>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</si>
  <si>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</si>
  <si>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</si>
  <si>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</si>
  <si>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</si>
  <si>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</si>
  <si>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</si>
  <si>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</si>
  <si>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</si>
  <si>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</si>
  <si>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</si>
  <si>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</si>
  <si>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</si>
  <si>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</si>
  <si>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</si>
  <si>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</si>
  <si>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</si>
  <si>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</si>
  <si>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</si>
  <si>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</si>
  <si>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</si>
  <si>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</si>
  <si>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</si>
  <si>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</si>
  <si>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</si>
  <si>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</si>
  <si>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</si>
  <si>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</si>
  <si>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</si>
  <si>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</si>
  <si>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</si>
  <si>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</si>
  <si>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</si>
  <si>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</si>
  <si>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</si>
  <si>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</si>
  <si>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</si>
  <si>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</si>
  <si>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</si>
  <si>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</si>
  <si>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</si>
  <si>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</si>
  <si>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</si>
  <si>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</si>
  <si>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</si>
  <si>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</si>
  <si>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</si>
  <si>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</si>
  <si>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</si>
  <si>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</si>
  <si>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</si>
  <si>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</si>
  <si>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</si>
  <si>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</si>
  <si>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</si>
  <si>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</si>
  <si>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</si>
  <si>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</si>
  <si>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</si>
  <si>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</si>
  <si>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</si>
  <si>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</si>
  <si>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</si>
  <si>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</si>
  <si>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</si>
  <si>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</si>
  <si>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</si>
  <si>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</si>
  <si>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</si>
  <si>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</si>
  <si>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</si>
  <si>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</si>
  <si>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</si>
  <si>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</si>
  <si>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</si>
  <si>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</si>
  <si>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</si>
  <si>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</si>
  <si>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</si>
  <si>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</si>
  <si>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</si>
  <si>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</si>
  <si>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</si>
  <si>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</si>
  <si>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</si>
  <si>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</si>
  <si>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</si>
  <si>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</si>
  <si>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</si>
  <si>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</si>
  <si>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</si>
  <si>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</si>
  <si>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</si>
  <si>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</si>
  <si>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</si>
  <si>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</si>
  <si>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</si>
  <si>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</si>
  <si>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</si>
  <si>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</si>
  <si>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</si>
  <si>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</si>
  <si>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</si>
  <si>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</si>
  <si>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</si>
  <si>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</si>
  <si>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</si>
  <si>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</si>
  <si>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</si>
  <si>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</si>
  <si>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</si>
  <si>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</si>
  <si>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</si>
  <si>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</si>
  <si>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</si>
  <si>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</si>
  <si>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</si>
  <si>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</si>
  <si>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</si>
  <si>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</si>
  <si>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</si>
  <si>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</si>
  <si>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</si>
  <si>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</si>
  <si>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</si>
  <si>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</si>
  <si>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</si>
  <si>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</si>
  <si>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</si>
  <si>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</si>
  <si>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</si>
  <si>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</si>
  <si>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</si>
  <si>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</si>
  <si>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</si>
  <si>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</si>
  <si>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</si>
  <si>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</si>
  <si>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</si>
  <si>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</si>
  <si>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</si>
  <si>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</si>
  <si>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</si>
  <si>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</si>
  <si>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</si>
  <si>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</si>
  <si>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</si>
  <si>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</si>
  <si>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</si>
  <si>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</si>
  <si>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</si>
  <si>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</si>
  <si>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</si>
  <si>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</si>
  <si>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</si>
  <si>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</si>
  <si>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</si>
  <si>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</si>
  <si>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</si>
  <si>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</si>
  <si>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</si>
  <si>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</si>
  <si>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</si>
  <si>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</si>
  <si>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</si>
  <si>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</si>
  <si>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</si>
  <si>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</si>
  <si>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</si>
  <si>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</si>
  <si>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</si>
  <si>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</si>
  <si>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</si>
  <si>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</si>
  <si>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</si>
  <si>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</si>
  <si>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</si>
  <si>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</si>
  <si>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</si>
  <si>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</si>
  <si>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</si>
  <si>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</si>
  <si>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</si>
  <si>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</si>
  <si>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</si>
  <si>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</si>
  <si>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</si>
  <si>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</si>
  <si>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</si>
  <si>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</si>
  <si>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</si>
  <si>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</si>
  <si>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</si>
  <si>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</si>
  <si>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</si>
  <si>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</si>
  <si>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</si>
  <si>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</si>
  <si>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</si>
  <si>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</si>
  <si>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</si>
  <si>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</si>
  <si>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</si>
  <si>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</si>
  <si>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</si>
  <si>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</si>
  <si>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</si>
  <si>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</si>
  <si>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</si>
  <si>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</si>
  <si>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</si>
  <si>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</si>
  <si>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</si>
  <si>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</si>
  <si>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</si>
  <si>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</si>
  <si>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</si>
  <si>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</si>
  <si>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</si>
  <si>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</si>
  <si>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</si>
  <si>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</si>
  <si>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</si>
  <si>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</si>
  <si>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</si>
  <si>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</si>
  <si>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</si>
  <si>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</si>
  <si>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</si>
  <si>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</si>
  <si>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</si>
  <si>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</si>
  <si>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</si>
  <si>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</si>
  <si>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</si>
  <si>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</si>
  <si>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</si>
  <si>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</si>
  <si>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</si>
  <si>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</si>
  <si>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</si>
  <si>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</si>
  <si>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</si>
  <si>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</si>
  <si>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</si>
  <si>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</si>
  <si>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</si>
  <si>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</si>
  <si>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</si>
  <si>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</si>
  <si>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</si>
  <si>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</si>
  <si>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</si>
  <si>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</si>
  <si>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</si>
  <si>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</si>
  <si>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</si>
  <si>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</si>
  <si>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</si>
  <si>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</si>
  <si>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</si>
  <si>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</si>
  <si>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</si>
  <si>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</si>
  <si>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</si>
  <si>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</si>
  <si>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</si>
  <si>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</si>
  <si>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</si>
  <si>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</si>
  <si>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</si>
  <si>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</si>
  <si>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</si>
  <si>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</si>
  <si>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</si>
  <si>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</si>
  <si>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</si>
  <si>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</si>
  <si>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</si>
  <si>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</si>
  <si>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</si>
  <si>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</si>
  <si>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</si>
  <si>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</si>
  <si>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</si>
  <si>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</si>
  <si>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</si>
  <si>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</si>
  <si>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</si>
  <si>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</si>
  <si>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</si>
  <si>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</si>
  <si>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</si>
  <si>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</si>
  <si>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</si>
  <si>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</si>
  <si>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</si>
  <si>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</si>
  <si>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</si>
  <si>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</si>
  <si>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</si>
  <si>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</si>
  <si>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</si>
  <si>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</si>
  <si>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</si>
  <si>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</si>
  <si>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</si>
  <si>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</si>
  <si>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</si>
  <si>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</si>
  <si>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</si>
  <si>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</si>
  <si>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</si>
  <si>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</si>
  <si>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</si>
  <si>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</si>
  <si>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</si>
  <si>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</si>
  <si>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</si>
  <si>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</si>
  <si>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</si>
  <si>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</si>
  <si>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</si>
  <si>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</si>
  <si>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</si>
  <si>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</si>
  <si>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</si>
  <si>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</si>
  <si>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</si>
  <si>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</si>
  <si>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</si>
  <si>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</si>
  <si>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</si>
  <si>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</si>
  <si>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</si>
  <si>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</si>
  <si>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</si>
  <si>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</si>
  <si>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</si>
  <si>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</si>
  <si>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</si>
  <si>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</si>
  <si>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</si>
  <si>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</si>
  <si>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</si>
  <si>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</si>
  <si>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</si>
  <si>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</si>
  <si>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</si>
  <si>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</si>
  <si>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</si>
  <si>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</si>
  <si>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</si>
  <si>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</si>
  <si>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</si>
  <si>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</si>
  <si>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</si>
  <si>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</si>
  <si>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</si>
  <si>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</si>
  <si>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</si>
  <si>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</si>
  <si>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</si>
  <si>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</si>
  <si>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</si>
  <si>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</si>
  <si>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</si>
  <si>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</si>
  <si>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</si>
  <si>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</si>
  <si>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</si>
  <si>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</si>
  <si>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</si>
  <si>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</si>
  <si>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</si>
  <si>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</si>
  <si>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</si>
  <si>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</si>
  <si>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</si>
  <si>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</si>
  <si>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</si>
  <si>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</si>
  <si>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</si>
  <si>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</si>
  <si>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</si>
  <si>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</si>
  <si>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</si>
  <si>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</si>
  <si>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</si>
  <si>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</si>
  <si>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</si>
  <si>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</si>
  <si>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</si>
  <si>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</si>
  <si>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</si>
  <si>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</si>
  <si>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</si>
  <si>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</si>
  <si>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</si>
  <si>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</si>
  <si>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</si>
  <si>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</si>
  <si>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</si>
  <si>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</si>
  <si>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</si>
  <si>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</si>
  <si>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</si>
  <si>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</si>
  <si>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</si>
  <si>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</si>
  <si>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</si>
  <si>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</si>
  <si>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</si>
  <si>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</si>
  <si>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</si>
  <si>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</si>
  <si>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</si>
  <si>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</si>
  <si>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</si>
  <si>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</si>
  <si>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</si>
  <si>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</si>
  <si>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</si>
  <si>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</si>
  <si>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</si>
  <si>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</si>
  <si>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</si>
  <si>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</si>
  <si>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</si>
  <si>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</si>
  <si>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</si>
  <si>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</si>
  <si>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</si>
  <si>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</si>
  <si>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</si>
  <si>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</si>
  <si>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</si>
  <si>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</si>
  <si>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</si>
  <si>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</si>
  <si>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</si>
  <si>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</si>
  <si>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</si>
  <si>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</si>
  <si>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</si>
  <si>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</si>
  <si>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</si>
  <si>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</si>
  <si>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</si>
  <si>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</si>
  <si>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</si>
  <si>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</si>
  <si>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</si>
  <si>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</si>
  <si>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</si>
  <si>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</si>
  <si>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</si>
  <si>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</si>
  <si>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</si>
  <si>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</si>
  <si>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</si>
  <si>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</si>
  <si>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</si>
  <si>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</si>
  <si>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</si>
  <si>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</si>
  <si>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</si>
  <si>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</si>
  <si>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</si>
  <si>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</si>
  <si>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</si>
  <si>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</si>
  <si>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</si>
  <si>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</si>
  <si>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</si>
  <si>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</si>
  <si>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</si>
  <si>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</si>
  <si>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</si>
  <si>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</si>
  <si>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</si>
  <si>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</si>
  <si>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</si>
  <si>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</si>
  <si>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</si>
  <si>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</si>
  <si>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</si>
  <si>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</si>
  <si>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</si>
  <si>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</si>
  <si>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</si>
  <si>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</si>
  <si>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</si>
  <si>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</si>
  <si>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</si>
  <si>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</si>
  <si>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</si>
  <si>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</si>
  <si>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</si>
  <si>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</si>
  <si>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</si>
  <si>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</si>
  <si>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</si>
  <si>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</si>
  <si>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</si>
  <si>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</si>
  <si>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</si>
  <si>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</si>
  <si>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</si>
  <si>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</si>
  <si>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</si>
  <si>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</si>
  <si>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</si>
  <si>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</si>
  <si>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</si>
  <si>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</si>
  <si>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</si>
  <si>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</si>
  <si>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</si>
  <si>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</si>
  <si>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</si>
  <si>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</si>
  <si>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</si>
  <si>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</si>
  <si>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</si>
  <si>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</si>
  <si>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</si>
  <si>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</si>
  <si>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</si>
  <si>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</si>
  <si>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</si>
  <si>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</si>
  <si>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</si>
  <si>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</si>
  <si>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</si>
  <si>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</si>
  <si>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</si>
  <si>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</si>
  <si>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</si>
  <si>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</si>
  <si>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</si>
  <si>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</si>
  <si>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</si>
  <si>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</si>
  <si>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</si>
  <si>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</si>
  <si>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</si>
  <si>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</si>
  <si>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</si>
  <si>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</si>
  <si>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</si>
  <si>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</si>
  <si>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</si>
  <si>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</si>
  <si>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</si>
  <si>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</si>
  <si>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</si>
  <si>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</si>
  <si>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</si>
  <si>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</si>
  <si>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</si>
  <si>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</si>
  <si>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</si>
  <si>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</si>
  <si>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</si>
  <si>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</si>
  <si>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</si>
  <si>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</si>
  <si>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</si>
  <si>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</si>
  <si>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</si>
  <si>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</si>
  <si>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</si>
  <si>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</si>
  <si>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</si>
  <si>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</si>
  <si>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</si>
  <si>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</si>
  <si>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</si>
  <si>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</si>
  <si>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</si>
  <si>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</si>
  <si>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</si>
  <si>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</si>
  <si>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</si>
  <si>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</si>
  <si>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</si>
  <si>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</si>
  <si>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</si>
  <si>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</si>
  <si>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</si>
  <si>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</si>
  <si>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</si>
  <si>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</si>
  <si>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</si>
  <si>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</si>
  <si>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</si>
  <si>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</si>
  <si>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</si>
  <si>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</si>
  <si>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</si>
  <si>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</si>
  <si>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</si>
  <si>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</si>
  <si>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</si>
  <si>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</si>
  <si>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</si>
  <si>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</si>
  <si>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</si>
  <si>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</si>
  <si>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</si>
  <si>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</si>
  <si>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</si>
  <si>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</si>
  <si>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</si>
  <si>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</si>
  <si>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</si>
  <si>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</si>
  <si>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</si>
  <si>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</si>
  <si>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</si>
  <si>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</si>
  <si>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</si>
  <si>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</si>
  <si>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</si>
  <si>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</si>
  <si>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</si>
  <si>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</si>
  <si>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</si>
  <si>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</si>
  <si>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</si>
  <si>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</si>
  <si>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</si>
  <si>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</si>
  <si>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</si>
  <si>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</si>
  <si>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</si>
  <si>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</si>
  <si>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</si>
  <si>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</si>
  <si>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</si>
  <si>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</si>
  <si>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</si>
  <si>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</si>
  <si>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</si>
  <si>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</si>
  <si>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</si>
  <si>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</si>
  <si>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</si>
  <si>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</si>
  <si>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</si>
  <si>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</si>
  <si>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</si>
  <si>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</si>
  <si>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</si>
  <si>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</si>
  <si>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</si>
  <si>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</si>
  <si>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</si>
  <si>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</si>
  <si>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</si>
  <si>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</si>
  <si>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</si>
  <si>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</si>
  <si>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</si>
  <si>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</si>
  <si>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</si>
  <si>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</si>
  <si>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</si>
  <si>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</si>
  <si>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</si>
  <si>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</si>
  <si>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</si>
  <si>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</si>
  <si>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</si>
  <si>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</si>
  <si>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</si>
  <si>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</si>
  <si>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</si>
  <si>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</si>
  <si>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</si>
  <si>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</si>
  <si>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</si>
  <si>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</si>
  <si>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</si>
  <si>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</si>
  <si>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</si>
  <si>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</si>
  <si>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</si>
  <si>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</si>
  <si>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</si>
  <si>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</si>
  <si>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</si>
  <si>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</si>
  <si>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</si>
  <si>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</si>
  <si>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</si>
  <si>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</si>
  <si>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</si>
  <si>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</si>
  <si>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</si>
  <si>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</si>
  <si>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</si>
  <si>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</si>
  <si>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</si>
  <si>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</si>
  <si>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</si>
  <si>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</si>
  <si>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</si>
  <si>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</si>
  <si>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</si>
  <si>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</si>
  <si>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</si>
  <si>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</si>
  <si>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</si>
  <si>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</si>
  <si>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</si>
  <si>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</si>
  <si>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</si>
  <si>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</si>
  <si>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</si>
  <si>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</si>
  <si>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</si>
  <si>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</si>
  <si>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</si>
  <si>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</si>
  <si>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</si>
  <si>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</si>
  <si>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</si>
  <si>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</si>
  <si>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</si>
  <si>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</si>
  <si>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</si>
  <si>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</si>
  <si>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</si>
  <si>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</si>
  <si>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</si>
  <si>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</si>
  <si>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</si>
  <si>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</si>
  <si>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</si>
  <si>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</si>
  <si>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</si>
  <si>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</si>
  <si>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</si>
  <si>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</si>
  <si>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</si>
  <si>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</si>
  <si>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</si>
  <si>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</si>
  <si>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</si>
  <si>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</si>
  <si>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</si>
  <si>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</si>
  <si>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</si>
  <si>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</si>
  <si>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</si>
  <si>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</si>
  <si>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</si>
  <si>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</si>
  <si>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</si>
  <si>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</si>
  <si>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</si>
  <si>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</si>
  <si>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</si>
  <si>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</si>
  <si>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</si>
  <si>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</si>
  <si>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</si>
  <si>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</si>
  <si>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</si>
  <si>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</si>
  <si>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</si>
  <si>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</si>
  <si>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</si>
  <si>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</si>
  <si>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</si>
  <si>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</si>
  <si>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</si>
  <si>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</si>
  <si>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</si>
  <si>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</si>
  <si>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</si>
  <si>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</si>
  <si>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</si>
  <si>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</si>
  <si>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</si>
  <si>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</si>
  <si>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</si>
  <si>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</si>
  <si>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</si>
  <si>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</si>
  <si>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</si>
  <si>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</si>
  <si>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</si>
  <si>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</si>
  <si>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</si>
  <si>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</si>
  <si>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</si>
  <si>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</si>
  <si>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</si>
  <si>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</si>
  <si>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</si>
  <si>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</si>
  <si>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</si>
  <si>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</si>
  <si>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</si>
  <si>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</si>
  <si>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</si>
  <si>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</si>
  <si>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</si>
  <si>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</si>
  <si>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</si>
  <si>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</si>
  <si>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</si>
  <si>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</si>
  <si>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</si>
  <si>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</si>
  <si>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</si>
  <si>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</si>
  <si>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</si>
  <si>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</si>
  <si>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</si>
  <si>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</si>
  <si>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</si>
  <si>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</si>
  <si>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</si>
  <si>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</si>
  <si>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</si>
  <si>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</si>
  <si>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</si>
  <si>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</si>
  <si>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</si>
  <si>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</si>
  <si>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</si>
  <si>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</si>
  <si>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</si>
  <si>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</si>
  <si>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</si>
  <si>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</si>
  <si>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</si>
  <si>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</si>
  <si>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</si>
  <si>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</si>
  <si>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</si>
  <si>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</si>
  <si>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</si>
  <si>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</si>
  <si>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</si>
  <si>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</si>
  <si>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</si>
  <si>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</si>
  <si>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</si>
  <si>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</si>
  <si>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</si>
  <si>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</si>
  <si>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</si>
  <si>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</si>
  <si>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</si>
  <si>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</si>
  <si>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</si>
  <si>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</si>
  <si>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</si>
  <si>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</si>
  <si>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</si>
  <si>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</si>
  <si>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</si>
  <si>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</si>
  <si>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</si>
  <si>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</si>
  <si>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</si>
  <si>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</si>
  <si>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</si>
  <si>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</si>
  <si>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</si>
  <si>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</si>
  <si>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</si>
  <si>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</si>
  <si>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</si>
  <si>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</si>
  <si>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</si>
  <si>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</si>
  <si>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</si>
  <si>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</si>
  <si>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</si>
  <si>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</si>
  <si>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</si>
  <si>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</si>
  <si>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</si>
  <si>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</si>
  <si>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</si>
  <si>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</si>
  <si>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</si>
  <si>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</si>
  <si>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</si>
  <si>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</si>
  <si>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</si>
  <si>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</si>
  <si>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</si>
  <si>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</si>
  <si>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</si>
  <si>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</si>
  <si>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</si>
  <si>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</si>
  <si>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</si>
  <si>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</si>
  <si>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</si>
  <si>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</si>
  <si>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</si>
  <si>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</si>
  <si>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</si>
  <si>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</si>
  <si>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</si>
  <si>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</si>
  <si>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</si>
  <si>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</si>
  <si>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</si>
  <si>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</si>
  <si>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</si>
  <si>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</si>
  <si>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</si>
  <si>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</si>
  <si>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</si>
  <si>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</si>
  <si>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</si>
  <si>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</si>
  <si>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</si>
  <si>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</si>
  <si>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</si>
  <si>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</si>
  <si>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</si>
  <si>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</si>
  <si>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</si>
  <si>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</si>
  <si>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</si>
  <si>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</si>
  <si>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</si>
  <si>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</si>
  <si>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</si>
  <si>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</si>
  <si>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</si>
  <si>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</si>
  <si>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</si>
  <si>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</si>
  <si>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</si>
  <si>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</si>
  <si>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</si>
  <si>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</si>
  <si>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</si>
  <si>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</si>
  <si>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</si>
  <si>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</si>
  <si>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</si>
  <si>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</si>
  <si>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</si>
  <si>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</si>
  <si>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</si>
  <si>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</si>
  <si>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</si>
  <si>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</si>
  <si>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</si>
  <si>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</si>
  <si>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</si>
  <si>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</si>
  <si>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</si>
  <si>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</si>
  <si>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</si>
  <si>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</si>
  <si>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</si>
  <si>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</si>
  <si>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</si>
  <si>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</si>
  <si>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</si>
  <si>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</si>
  <si>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</si>
  <si>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</si>
  <si>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</si>
  <si>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</si>
  <si>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</si>
  <si>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</si>
  <si>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</si>
  <si>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</si>
  <si>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</si>
  <si>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</si>
  <si>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</si>
  <si>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</si>
  <si>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</si>
  <si>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</si>
  <si>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</si>
  <si>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</si>
  <si>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</si>
  <si>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</si>
  <si>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</si>
  <si>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</si>
  <si>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</si>
  <si>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</si>
  <si>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</si>
  <si>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</si>
  <si>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</si>
  <si>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</si>
  <si>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</si>
  <si>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</si>
  <si>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</si>
  <si>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</si>
  <si>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</si>
  <si>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</si>
  <si>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</si>
  <si>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</si>
  <si>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</si>
  <si>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</si>
  <si>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</si>
  <si>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</si>
  <si>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</si>
  <si>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</si>
  <si>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</si>
  <si>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</si>
  <si>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</si>
  <si>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</si>
  <si>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</si>
  <si>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</si>
  <si>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</si>
  <si>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</si>
  <si>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</si>
  <si>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</si>
  <si>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</si>
  <si>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</si>
  <si>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</si>
  <si>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</si>
  <si>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</si>
  <si>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</si>
  <si>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</si>
  <si>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</si>
  <si>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</si>
  <si>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</si>
  <si>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</si>
  <si>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</si>
  <si>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</si>
  <si>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</si>
  <si>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</si>
  <si>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</si>
  <si>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</si>
  <si>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</si>
  <si>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</si>
  <si>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</si>
  <si>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</si>
  <si>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</si>
  <si>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</si>
  <si>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</si>
  <si>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</si>
  <si>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</si>
  <si>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</si>
  <si>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</si>
  <si>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</si>
  <si>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</si>
  <si>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</si>
  <si>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</si>
  <si>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</si>
  <si>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</si>
  <si>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</si>
  <si>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</si>
  <si>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</si>
  <si>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</si>
  <si>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</si>
  <si>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</si>
  <si>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</si>
  <si>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</si>
  <si>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</si>
  <si>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</si>
  <si>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</si>
  <si>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</si>
  <si>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</si>
  <si>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</si>
  <si>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</si>
  <si>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</si>
  <si>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</si>
  <si>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</si>
  <si>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</si>
  <si>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</si>
  <si>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</si>
  <si>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</si>
  <si>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</si>
  <si>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</si>
  <si>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</si>
  <si>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</si>
  <si>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</si>
  <si>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</si>
  <si>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</si>
  <si>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</si>
  <si>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</si>
  <si>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</si>
  <si>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</si>
  <si>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</si>
  <si>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</si>
  <si>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</si>
  <si>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</si>
  <si>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</si>
  <si>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</si>
  <si>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</si>
  <si>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</si>
  <si>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</si>
  <si>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</si>
  <si>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</si>
  <si>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</si>
  <si>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</si>
  <si>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</si>
  <si>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</si>
  <si>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</si>
  <si>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</si>
  <si>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</si>
  <si>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</si>
  <si>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</si>
  <si>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</si>
  <si>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</si>
  <si>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</si>
  <si>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</si>
  <si>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</si>
  <si>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</si>
  <si>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</si>
  <si>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</si>
  <si>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</si>
  <si>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</si>
  <si>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</si>
  <si>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</si>
  <si>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</si>
  <si>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</si>
  <si>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</si>
  <si>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</si>
  <si>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</si>
  <si>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</si>
  <si>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</si>
  <si>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</si>
  <si>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</si>
  <si>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</si>
  <si>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</si>
  <si>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</si>
  <si>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</si>
  <si>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</si>
  <si>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</si>
  <si>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</si>
  <si>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</si>
  <si>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</si>
  <si>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</si>
  <si>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</si>
  <si>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</si>
  <si>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</si>
  <si>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</si>
  <si>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</si>
  <si>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</si>
  <si>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</si>
  <si>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</si>
  <si>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</si>
  <si>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</si>
  <si>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</si>
  <si>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</si>
  <si>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</si>
  <si>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</si>
  <si>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</si>
  <si>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</si>
  <si>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</si>
  <si>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</si>
  <si>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</si>
  <si>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</si>
  <si>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</si>
  <si>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</si>
  <si>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</si>
  <si>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</si>
  <si>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</si>
  <si>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</si>
  <si>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</si>
  <si>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</si>
  <si>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</si>
  <si>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</si>
  <si>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</si>
  <si>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</si>
  <si>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</si>
  <si>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</si>
  <si>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</si>
  <si>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</si>
  <si>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</si>
  <si>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</si>
  <si>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</si>
  <si>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</si>
  <si>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</si>
  <si>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</si>
  <si>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</si>
  <si>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</si>
  <si>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</si>
  <si>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</si>
  <si>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</si>
  <si>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</si>
  <si>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</si>
  <si>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</si>
  <si>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</si>
  <si>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</si>
  <si>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</si>
  <si>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</si>
  <si>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</si>
  <si>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</si>
  <si>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</si>
  <si>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</si>
  <si>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</si>
  <si>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</si>
  <si>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</si>
  <si>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</si>
  <si>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</si>
  <si>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</si>
  <si>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</si>
  <si>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</si>
  <si>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</si>
  <si>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</si>
  <si>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</si>
  <si>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</si>
  <si>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</si>
  <si>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</si>
  <si>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</si>
  <si>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</si>
  <si>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</si>
  <si>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</si>
  <si>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</si>
  <si>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</si>
  <si>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</si>
  <si>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</si>
  <si>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</si>
  <si>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</si>
  <si>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</si>
  <si>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</si>
  <si>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</si>
  <si>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</si>
  <si>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</si>
  <si>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</si>
  <si>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</si>
  <si>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</si>
  <si>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</si>
  <si>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</si>
  <si>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</si>
  <si>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</si>
  <si>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</si>
  <si>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</si>
  <si>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</si>
  <si>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</si>
  <si>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</si>
  <si>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</si>
  <si>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</si>
  <si>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</si>
  <si>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</si>
  <si>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</si>
  <si>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</si>
  <si>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</si>
  <si>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</si>
  <si>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</si>
  <si>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</si>
  <si>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</si>
  <si>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</si>
  <si>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</si>
  <si>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</si>
  <si>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</si>
  <si>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</si>
  <si>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</si>
  <si>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</si>
  <si>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</si>
  <si>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</si>
  <si>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</si>
  <si>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</si>
  <si>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</si>
  <si>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</si>
  <si>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</si>
  <si>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</si>
  <si>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</si>
  <si>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</si>
  <si>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</si>
  <si>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</si>
  <si>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</si>
  <si>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</si>
  <si>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</si>
  <si>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</si>
  <si>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</si>
  <si>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</si>
  <si>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</si>
  <si>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</si>
  <si>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</si>
  <si>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</si>
  <si>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</si>
  <si>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</si>
  <si>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</si>
  <si>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</si>
  <si>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</si>
  <si>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</si>
  <si>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</si>
  <si>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</si>
  <si>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</si>
  <si>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</si>
  <si>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</si>
  <si>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</si>
  <si>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</si>
  <si>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</si>
  <si>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</si>
  <si>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</si>
  <si>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</si>
  <si>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</si>
  <si>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</si>
  <si>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</si>
  <si>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</si>
  <si>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</si>
  <si>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</si>
  <si>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</si>
  <si>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</si>
  <si>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</si>
  <si>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</si>
  <si>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</si>
  <si>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</si>
  <si>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</si>
  <si>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</si>
  <si>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</si>
  <si>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</si>
  <si>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</si>
  <si>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</si>
  <si>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</si>
  <si>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</si>
  <si>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</si>
  <si>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</si>
  <si>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</si>
  <si>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</si>
  <si>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</si>
  <si>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</si>
  <si>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</si>
  <si>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</si>
  <si>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</si>
  <si>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</si>
  <si>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</si>
  <si>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</si>
  <si>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</si>
  <si>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</si>
  <si>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</si>
  <si>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</si>
  <si>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</si>
  <si>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</si>
  <si>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</si>
  <si>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</si>
  <si>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</si>
  <si>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</si>
  <si>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</si>
  <si>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</si>
  <si>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</si>
  <si>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</si>
  <si>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</si>
  <si>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</si>
  <si>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</si>
  <si>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</si>
  <si>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</si>
  <si>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</si>
  <si>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</si>
  <si>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</si>
  <si>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</si>
  <si>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</si>
  <si>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</si>
  <si>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</si>
  <si>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</si>
  <si>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</si>
  <si>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</si>
  <si>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</si>
  <si>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</si>
  <si>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</si>
  <si>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</si>
  <si>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</si>
  <si>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</si>
  <si>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</si>
  <si>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</si>
  <si>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</si>
  <si>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</si>
  <si>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</si>
  <si>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</si>
  <si>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</si>
  <si>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</si>
  <si>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</si>
  <si>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</si>
  <si>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</si>
  <si>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</si>
  <si>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</si>
  <si>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</si>
  <si>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</si>
  <si>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</si>
  <si>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</si>
  <si>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</si>
  <si>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</si>
  <si>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</si>
  <si>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</si>
  <si>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</si>
  <si>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</si>
  <si>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</si>
  <si>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</si>
  <si>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</si>
  <si>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</si>
  <si>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</si>
  <si>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</si>
  <si>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</si>
  <si>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</si>
  <si>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</si>
  <si>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</si>
  <si>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</si>
  <si>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</si>
  <si>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</si>
  <si>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</si>
  <si>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</si>
  <si>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</si>
  <si>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</si>
  <si>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</si>
  <si>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</si>
  <si>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</si>
  <si>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</si>
  <si>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</si>
  <si>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</si>
  <si>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</si>
  <si>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</si>
  <si>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</si>
  <si>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</si>
  <si>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</si>
  <si>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</si>
  <si>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</si>
  <si>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</si>
  <si>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</si>
  <si>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</si>
  <si>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</si>
  <si>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</si>
  <si>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</si>
  <si>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</si>
  <si>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</si>
  <si>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</si>
  <si>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</si>
  <si>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</si>
  <si>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</si>
  <si>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</si>
  <si>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</si>
  <si>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</si>
  <si>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</si>
  <si>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</si>
  <si>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</si>
  <si>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</si>
  <si>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</si>
  <si>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</si>
  <si>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</si>
  <si>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</si>
  <si>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</si>
  <si>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</si>
  <si>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</si>
  <si>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</si>
  <si>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</si>
  <si>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</si>
  <si>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</si>
  <si>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</si>
  <si>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</si>
  <si>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</si>
  <si>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</si>
  <si>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</si>
  <si>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</si>
  <si>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</si>
  <si>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</si>
  <si>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</si>
  <si>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</si>
  <si>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</si>
  <si>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</si>
  <si>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</si>
  <si>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</si>
  <si>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</si>
  <si>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</si>
  <si>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</si>
  <si>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</si>
  <si>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</si>
  <si>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</si>
  <si>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</si>
  <si>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</si>
  <si>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</si>
  <si>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</si>
  <si>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</si>
  <si>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</si>
  <si>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</si>
  <si>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</si>
  <si>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</si>
  <si>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</si>
  <si>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</si>
  <si>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</si>
  <si>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</si>
  <si>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</si>
  <si>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</si>
  <si>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</si>
  <si>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</si>
  <si>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</si>
  <si>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</si>
  <si>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</si>
  <si>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</si>
  <si>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</si>
  <si>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</si>
  <si>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</si>
  <si>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</si>
  <si>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</si>
  <si>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</si>
  <si>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</si>
  <si>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</si>
  <si>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</si>
  <si>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</si>
  <si>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</si>
  <si>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</si>
  <si>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</si>
  <si>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</si>
  <si>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</si>
  <si>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</si>
  <si>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</si>
  <si>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</si>
  <si>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</si>
  <si>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</si>
  <si>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</si>
  <si>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</si>
  <si>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</si>
  <si>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</si>
  <si>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</si>
  <si>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</si>
  <si>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</si>
  <si>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</si>
  <si>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</si>
  <si>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</si>
  <si>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</si>
  <si>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</si>
  <si>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</si>
  <si>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</si>
  <si>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</si>
  <si>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</si>
  <si>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</si>
  <si>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</si>
  <si>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</si>
  <si>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</si>
  <si>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</si>
  <si>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</si>
  <si>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</si>
  <si>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</si>
  <si>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</si>
  <si>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</si>
  <si>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</si>
  <si>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</si>
  <si>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</si>
  <si>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</si>
  <si>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</si>
  <si>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</si>
  <si>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</si>
  <si>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</si>
  <si>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</si>
  <si>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</si>
  <si>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</si>
  <si>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</si>
  <si>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</si>
  <si>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</si>
  <si>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</si>
  <si>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</si>
  <si>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</si>
  <si>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</si>
  <si>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</si>
  <si>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</si>
  <si>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</si>
  <si>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</si>
  <si>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</si>
  <si>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</si>
  <si>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</si>
  <si>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</si>
  <si>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</si>
  <si>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</si>
  <si>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</si>
  <si>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</si>
  <si>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</si>
  <si>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</si>
  <si>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</si>
  <si>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</si>
  <si>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</si>
  <si>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</si>
  <si>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</si>
  <si>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</si>
  <si>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</si>
  <si>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</si>
  <si>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</si>
  <si>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</si>
  <si>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</si>
  <si>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</si>
  <si>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</si>
  <si>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</si>
  <si>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</si>
  <si>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</si>
  <si>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</si>
  <si>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</si>
  <si>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</si>
  <si>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</si>
  <si>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</si>
  <si>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</si>
  <si>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</si>
  <si>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</si>
  <si>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</si>
  <si>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</si>
  <si>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</si>
  <si>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</si>
  <si>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</si>
  <si>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</si>
  <si>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</si>
  <si>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</si>
  <si>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</si>
  <si>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</si>
  <si>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</si>
  <si>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</si>
  <si>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</si>
  <si>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</si>
  <si>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</si>
  <si>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</si>
  <si>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</si>
  <si>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</si>
  <si>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</si>
  <si>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</si>
  <si>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</si>
  <si>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</si>
  <si>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</si>
  <si>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</si>
  <si>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</si>
  <si>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</si>
  <si>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</si>
  <si>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</si>
  <si>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</si>
  <si>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</si>
  <si>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</si>
  <si>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</si>
  <si>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</si>
  <si>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</si>
  <si>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</si>
  <si>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</si>
  <si>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</si>
  <si>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</si>
  <si>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</si>
  <si>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</si>
  <si>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</si>
  <si>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</si>
  <si>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</si>
  <si>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</si>
  <si>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</si>
  <si>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</si>
  <si>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</si>
  <si>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</si>
  <si>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</si>
  <si>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</si>
  <si>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</si>
  <si>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</si>
  <si>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</si>
  <si>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</si>
  <si>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</si>
  <si>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</si>
  <si>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</si>
  <si>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</si>
  <si>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</si>
  <si>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</si>
  <si>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</si>
  <si>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</si>
  <si>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</si>
  <si>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</si>
  <si>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</si>
  <si>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</si>
  <si>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</si>
  <si>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</si>
  <si>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</si>
  <si>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</si>
  <si>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</si>
  <si>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</si>
  <si>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</si>
  <si>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</si>
  <si>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</si>
  <si>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</si>
  <si>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</si>
  <si>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</si>
  <si>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</si>
  <si>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</si>
  <si>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</si>
  <si>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</si>
  <si>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</si>
  <si>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</si>
  <si>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</si>
  <si>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</si>
  <si>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</si>
  <si>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</si>
  <si>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</si>
  <si>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</si>
  <si>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</si>
  <si>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</si>
  <si>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</si>
  <si>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</si>
  <si>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</si>
  <si>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</si>
  <si>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</si>
  <si>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</si>
  <si>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</si>
  <si>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</si>
  <si>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</si>
  <si>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</si>
  <si>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</si>
  <si>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</si>
  <si>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</si>
  <si>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</si>
  <si>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</si>
  <si>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</si>
  <si>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</si>
  <si>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</si>
  <si>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</si>
  <si>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</si>
  <si>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</si>
  <si>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</si>
  <si>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</si>
  <si>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</si>
  <si>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</si>
  <si>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</si>
  <si>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</si>
  <si>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</si>
  <si>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</si>
  <si>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</si>
  <si>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</si>
  <si>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</si>
  <si>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</si>
  <si>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</si>
  <si>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</si>
  <si>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</si>
  <si>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</si>
  <si>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</si>
  <si>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</si>
  <si>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</si>
  <si>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</si>
  <si>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</si>
  <si>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</si>
  <si>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</si>
  <si>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</si>
  <si>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</si>
  <si>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</si>
  <si>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</si>
  <si>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</si>
  <si>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</si>
  <si>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</si>
  <si>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</si>
  <si>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</si>
  <si>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</si>
  <si>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</si>
  <si>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</si>
  <si>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</si>
  <si>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</si>
  <si>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</si>
  <si>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</si>
  <si>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</si>
  <si>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</si>
  <si>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</si>
  <si>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</si>
  <si>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</si>
  <si>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</si>
  <si>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</si>
  <si>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</si>
  <si>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</si>
  <si>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</si>
  <si>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</si>
  <si>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</si>
  <si>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</si>
  <si>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</si>
  <si>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</si>
  <si>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</si>
  <si>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</si>
  <si>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</si>
  <si>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</si>
  <si>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</si>
  <si>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</si>
  <si>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</si>
  <si>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</si>
  <si>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</si>
  <si>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</si>
  <si>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</si>
  <si>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</si>
  <si>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</si>
  <si>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</si>
  <si>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</si>
  <si>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</si>
  <si>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</si>
  <si>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</si>
  <si>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</si>
  <si>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</si>
  <si>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</si>
  <si>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</si>
  <si>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</si>
  <si>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</si>
  <si>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</si>
  <si>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</si>
  <si>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</si>
  <si>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</si>
  <si>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</si>
  <si>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</si>
  <si>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</si>
  <si>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</si>
  <si>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</si>
  <si>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</si>
  <si>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</si>
  <si>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</si>
  <si>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</si>
  <si>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</si>
  <si>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</si>
  <si>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</si>
  <si>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</si>
  <si>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</si>
  <si>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</si>
  <si>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</si>
  <si>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</si>
  <si>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</si>
  <si>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</si>
  <si>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</si>
  <si>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</si>
  <si>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</si>
  <si>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</si>
  <si>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</si>
  <si>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</si>
  <si>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</si>
  <si>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</si>
  <si>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</si>
  <si>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</si>
  <si>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</si>
  <si>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</si>
  <si>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</si>
  <si>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</si>
  <si>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</si>
  <si>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</si>
  <si>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</si>
  <si>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</si>
  <si>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</si>
  <si>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</si>
  <si>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</si>
  <si>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</si>
  <si>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</si>
  <si>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</si>
  <si>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</si>
  <si>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</si>
  <si>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</si>
  <si>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</si>
  <si>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</si>
  <si>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</si>
  <si>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</si>
  <si>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</si>
  <si>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</si>
  <si>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</si>
  <si>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</si>
  <si>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</si>
  <si>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</si>
  <si>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</si>
  <si>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</si>
  <si>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</si>
  <si>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</si>
  <si>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</si>
  <si>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</si>
  <si>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</si>
  <si>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</si>
  <si>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</si>
  <si>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</si>
  <si>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</si>
  <si>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</si>
  <si>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</si>
  <si>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</si>
  <si>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</si>
  <si>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</si>
  <si>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</si>
  <si>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</si>
  <si>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</si>
  <si>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</si>
  <si>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</si>
  <si>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</si>
  <si>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</si>
  <si>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</si>
  <si>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</si>
  <si>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</si>
  <si>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</si>
  <si>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</si>
  <si>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</si>
  <si>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</si>
  <si>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</si>
  <si>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</si>
  <si>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</si>
  <si>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</si>
  <si>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</si>
  <si>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</si>
  <si>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</si>
  <si>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</si>
  <si>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</si>
  <si>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</si>
  <si>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</si>
  <si>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</si>
  <si>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</si>
  <si>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</si>
  <si>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</si>
  <si>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</si>
  <si>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</si>
  <si>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</si>
  <si>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</si>
  <si>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</si>
  <si>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</si>
  <si>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</si>
  <si>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</si>
  <si>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</si>
  <si>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</si>
  <si>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</si>
  <si>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</si>
  <si>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</si>
  <si>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</si>
  <si>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</si>
  <si>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</si>
  <si>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</si>
  <si>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</si>
  <si>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</si>
  <si>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</si>
  <si>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</si>
  <si>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</si>
  <si>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</si>
  <si>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</si>
  <si>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</si>
  <si>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</si>
  <si>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</si>
  <si>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</si>
  <si>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</si>
  <si>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</si>
  <si>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</si>
  <si>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</si>
  <si>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</si>
  <si>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</si>
  <si>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</si>
  <si>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</si>
  <si>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</si>
  <si>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</si>
  <si>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</si>
  <si>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</si>
  <si>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</si>
  <si>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</si>
  <si>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</si>
  <si>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</si>
  <si>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</si>
  <si>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</si>
  <si>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</si>
  <si>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</si>
  <si>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</si>
  <si>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</si>
  <si>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</si>
  <si>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</si>
  <si>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</si>
  <si>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</si>
  <si>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</si>
  <si>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</si>
  <si>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</si>
  <si>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</si>
  <si>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</si>
  <si>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</si>
  <si>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</si>
  <si>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</si>
  <si>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</si>
  <si>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</si>
  <si>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</si>
  <si>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</si>
  <si>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</si>
  <si>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</si>
  <si>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</si>
  <si>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</si>
  <si>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</si>
  <si>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</si>
  <si>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</si>
  <si>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</si>
  <si>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</si>
  <si>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</si>
  <si>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</si>
  <si>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</si>
  <si>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</si>
  <si>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</si>
  <si>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</si>
  <si>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</si>
  <si>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</si>
  <si>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</si>
  <si>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</si>
  <si>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</si>
  <si>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</si>
  <si>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</si>
  <si>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</si>
  <si>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</si>
  <si>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</si>
  <si>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</si>
  <si>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</si>
  <si>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</si>
  <si>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</si>
  <si>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</si>
  <si>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</si>
  <si>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</si>
  <si>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</si>
  <si>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</si>
  <si>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</si>
  <si>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</si>
  <si>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</si>
  <si>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</si>
  <si>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</si>
  <si>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</si>
  <si>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</si>
  <si>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</si>
  <si>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</si>
  <si>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</si>
  <si>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</si>
  <si>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</si>
  <si>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</si>
  <si>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</si>
  <si>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</si>
  <si>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</si>
  <si>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</si>
  <si>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</si>
  <si>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</si>
  <si>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</si>
  <si>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</si>
  <si>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</si>
  <si>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</si>
  <si>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</si>
  <si>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</si>
  <si>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</si>
  <si>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</si>
  <si>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</si>
  <si>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</si>
  <si>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</si>
  <si>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</si>
  <si>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</si>
  <si>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</si>
  <si>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</si>
  <si>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</si>
  <si>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</si>
  <si>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</si>
  <si>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</si>
  <si>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</si>
  <si>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</si>
  <si>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</si>
  <si>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</si>
  <si>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</si>
  <si>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</si>
  <si>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</si>
  <si>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</si>
  <si>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</si>
  <si>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</si>
  <si>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</si>
  <si>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</si>
  <si>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</si>
  <si>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</si>
  <si>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</si>
  <si>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</si>
  <si>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</si>
  <si>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</si>
  <si>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</si>
  <si>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</si>
  <si>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</si>
  <si>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</si>
  <si>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</si>
  <si>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</si>
  <si>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</si>
  <si>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</si>
  <si>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</si>
  <si>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</si>
  <si>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</si>
  <si>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</si>
  <si>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</si>
  <si>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</si>
  <si>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</si>
  <si>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</si>
  <si>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</si>
  <si>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</si>
  <si>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</si>
  <si>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</si>
  <si>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</si>
  <si>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</si>
  <si>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</si>
  <si>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</si>
  <si>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</si>
  <si>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</si>
  <si>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</si>
  <si>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</si>
  <si>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</si>
  <si>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</si>
  <si>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</si>
  <si>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</si>
  <si>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</si>
  <si>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</si>
  <si>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</si>
  <si>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</si>
  <si>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</si>
  <si>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</si>
  <si>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</si>
  <si>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</si>
  <si>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</si>
  <si>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</si>
  <si>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</si>
  <si>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</si>
  <si>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</si>
  <si>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</si>
  <si>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</si>
  <si>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</si>
  <si>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</si>
  <si>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</si>
  <si>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</si>
  <si>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</si>
  <si>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</si>
  <si>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</si>
  <si>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</si>
  <si>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</si>
  <si>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</si>
  <si>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</si>
  <si>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</si>
  <si>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</si>
  <si>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</si>
  <si>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</si>
  <si>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</si>
  <si>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</si>
  <si>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</si>
  <si>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</si>
  <si>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</si>
  <si>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</si>
  <si>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</si>
  <si>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</si>
  <si>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</si>
  <si>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</si>
  <si>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</si>
  <si>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</si>
  <si>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</si>
  <si>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</si>
  <si>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</si>
  <si>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</si>
  <si>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</si>
  <si>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</si>
  <si>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</si>
  <si>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</si>
  <si>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</si>
  <si>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</si>
  <si>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</si>
  <si>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</si>
  <si>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</si>
  <si>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</si>
  <si>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</si>
  <si>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</si>
  <si>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</si>
  <si>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</si>
  <si>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</si>
  <si>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</si>
  <si>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</si>
  <si>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</si>
  <si>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</si>
  <si>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</si>
  <si>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</si>
  <si>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</si>
  <si>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</si>
  <si>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</si>
  <si>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</si>
  <si>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</si>
  <si>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</si>
  <si>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</si>
  <si>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</si>
  <si>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</si>
  <si>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</si>
  <si>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</si>
  <si>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</si>
  <si>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</si>
  <si>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</si>
  <si>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</si>
  <si>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</si>
  <si>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</si>
  <si>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</si>
  <si>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</si>
  <si>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</si>
  <si>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</si>
  <si>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</si>
  <si>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</si>
  <si>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</si>
  <si>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</si>
  <si>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</si>
  <si>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</si>
  <si>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</si>
  <si>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</si>
  <si>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</si>
  <si>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</si>
  <si>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</si>
  <si>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</si>
  <si>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</si>
  <si>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</si>
  <si>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</si>
  <si>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</si>
  <si>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</si>
  <si>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</si>
  <si>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</si>
  <si>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</si>
  <si>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</si>
  <si>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</si>
  <si>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</si>
  <si>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</si>
  <si>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</si>
  <si>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</si>
  <si>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</si>
  <si>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</si>
  <si>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</si>
  <si>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</si>
  <si>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</si>
  <si>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</si>
  <si>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</si>
  <si>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</si>
  <si>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</si>
  <si>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</si>
  <si>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</si>
  <si>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</si>
  <si>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</si>
  <si>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</si>
  <si>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</si>
  <si>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</si>
  <si>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</si>
  <si>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</si>
  <si>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</si>
  <si>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</si>
  <si>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</si>
  <si>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</si>
  <si>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</si>
  <si>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</si>
  <si>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</si>
  <si>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</si>
  <si>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</si>
  <si>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</si>
  <si>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</si>
  <si>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</si>
  <si>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</si>
  <si>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</si>
  <si>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</si>
  <si>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</si>
  <si>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</si>
  <si>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</si>
  <si>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</si>
  <si>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</si>
  <si>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</si>
  <si>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</si>
  <si>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</si>
  <si>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</si>
  <si>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</si>
  <si>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</si>
  <si>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</si>
  <si>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</si>
  <si>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</si>
  <si>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</si>
  <si>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</si>
  <si>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</si>
  <si>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</si>
  <si>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</si>
  <si>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</si>
  <si>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</si>
  <si>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</si>
  <si>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</si>
  <si>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</si>
  <si>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</si>
  <si>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</si>
  <si>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</si>
  <si>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</si>
  <si>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</si>
  <si>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</si>
  <si>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</si>
  <si>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</si>
  <si>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</si>
  <si>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</si>
  <si>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</si>
  <si>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</si>
  <si>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</si>
  <si>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</si>
  <si>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</si>
  <si>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</si>
  <si>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</si>
  <si>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</si>
  <si>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</si>
  <si>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</si>
  <si>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</si>
  <si>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</si>
  <si>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</si>
  <si>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</si>
  <si>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</si>
  <si>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</si>
  <si>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</si>
  <si>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</si>
  <si>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</si>
  <si>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</si>
  <si>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</si>
  <si>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</si>
  <si>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</si>
  <si>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</si>
  <si>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</si>
  <si>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</si>
  <si>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</si>
  <si>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</si>
  <si>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</si>
  <si>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</si>
  <si>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</si>
  <si>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</si>
  <si>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</si>
  <si>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</si>
  <si>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</si>
  <si>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</si>
  <si>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</si>
  <si>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</si>
  <si>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</si>
  <si>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</si>
  <si>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</si>
  <si>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</si>
  <si>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</si>
  <si>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</si>
  <si>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</si>
  <si>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</si>
  <si>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</si>
  <si>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</si>
  <si>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</si>
  <si>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</si>
  <si>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</si>
  <si>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</si>
  <si>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</si>
  <si>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</si>
  <si>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</si>
  <si>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</si>
  <si>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</si>
  <si>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</si>
  <si>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</si>
  <si>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</si>
  <si>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</si>
  <si>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</si>
  <si>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</si>
  <si>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</si>
  <si>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</si>
  <si>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</si>
  <si>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</si>
  <si>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</si>
  <si>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</si>
  <si>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</si>
  <si>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</si>
  <si>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</si>
  <si>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</si>
  <si>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</si>
  <si>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</si>
  <si>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</si>
  <si>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</si>
  <si>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</si>
  <si>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</si>
  <si>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</si>
  <si>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</si>
  <si>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</si>
  <si>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</si>
  <si>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</si>
  <si>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</si>
  <si>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</si>
  <si>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</si>
  <si>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</si>
  <si>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</si>
  <si>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</si>
  <si>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</si>
  <si>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</si>
  <si>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</si>
  <si>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</si>
  <si>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</si>
  <si>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</si>
  <si>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</si>
  <si>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</si>
  <si>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</si>
  <si>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</si>
  <si>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</si>
  <si>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</si>
  <si>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</si>
  <si>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</si>
  <si>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</si>
  <si>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</si>
  <si>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</si>
  <si>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</si>
  <si>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</si>
  <si>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</si>
  <si>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</si>
  <si>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</si>
  <si>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</si>
  <si>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</si>
  <si>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</si>
  <si>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</si>
  <si>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</si>
  <si>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</si>
  <si>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</si>
  <si>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</si>
  <si>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</si>
  <si>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</si>
  <si>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</si>
  <si>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</si>
  <si>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</si>
  <si>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</si>
  <si>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</si>
  <si>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</si>
  <si>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</si>
  <si>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</si>
  <si>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</si>
  <si>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</si>
  <si>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</si>
  <si>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</si>
  <si>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</si>
  <si>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</si>
  <si>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</si>
  <si>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</si>
  <si>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</si>
  <si>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</si>
  <si>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</si>
  <si>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</si>
  <si>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</si>
  <si>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</si>
  <si>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</si>
  <si>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</si>
  <si>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</si>
  <si>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</si>
  <si>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</si>
  <si>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</si>
  <si>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</si>
  <si>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</si>
  <si>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</si>
  <si>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</si>
  <si>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</si>
  <si>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</si>
  <si>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</si>
  <si>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</si>
  <si>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</si>
  <si>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</si>
  <si>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</si>
  <si>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</si>
  <si>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</si>
  <si>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</si>
  <si>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</si>
  <si>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</si>
  <si>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</si>
  <si>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</si>
  <si>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</si>
  <si>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</si>
  <si>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</si>
  <si>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</si>
  <si>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</si>
  <si>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</si>
  <si>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</si>
  <si>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</si>
  <si>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</si>
  <si>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</si>
  <si>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</si>
  <si>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</si>
  <si>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</si>
  <si>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</si>
  <si>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</si>
  <si>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</si>
  <si>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</si>
  <si>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</si>
  <si>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</si>
  <si>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</si>
  <si>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</si>
  <si>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</si>
  <si>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</si>
  <si>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</si>
  <si>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</si>
  <si>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</si>
  <si>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</si>
  <si>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</si>
  <si>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</si>
  <si>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</si>
  <si>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</si>
  <si>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</si>
  <si>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</si>
  <si>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</si>
  <si>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</si>
  <si>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</si>
  <si>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</si>
  <si>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</si>
  <si>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</si>
  <si>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</si>
  <si>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</si>
  <si>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</si>
  <si>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</si>
  <si>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</si>
  <si>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</si>
  <si>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</si>
  <si>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</si>
  <si>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</si>
  <si>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</si>
  <si>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</si>
  <si>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</si>
  <si>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</si>
  <si>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</si>
  <si>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</si>
  <si>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</si>
  <si>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</si>
  <si>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</si>
  <si>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</si>
  <si>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</si>
  <si>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</si>
  <si>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</si>
  <si>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</si>
  <si>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</si>
  <si>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</si>
  <si>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</si>
  <si>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</si>
  <si>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</si>
  <si>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</si>
  <si>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</si>
  <si>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</si>
  <si>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</si>
  <si>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</si>
  <si>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</si>
  <si>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</si>
  <si>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</si>
  <si>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</si>
  <si>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</si>
  <si>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</si>
  <si>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</si>
  <si>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</si>
  <si>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</si>
  <si>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</si>
  <si>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</si>
  <si>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</si>
  <si>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</si>
  <si>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</si>
  <si>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</si>
  <si>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</si>
  <si>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</si>
  <si>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</si>
  <si>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</si>
  <si>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</si>
  <si>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</si>
  <si>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</si>
  <si>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</si>
  <si>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</si>
  <si>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</si>
  <si>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</si>
  <si>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</si>
  <si>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</si>
  <si>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</si>
  <si>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</si>
  <si>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</si>
  <si>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</si>
  <si>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</si>
  <si>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</si>
  <si>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</si>
  <si>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</si>
  <si>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</si>
  <si>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</si>
  <si>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</si>
  <si>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</si>
  <si>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</si>
  <si>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</si>
  <si>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</si>
  <si>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</si>
  <si>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</si>
  <si>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</si>
  <si>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</si>
  <si>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</si>
  <si>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</si>
  <si>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</si>
  <si>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</si>
  <si>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</si>
  <si>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</si>
  <si>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</si>
  <si>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</si>
  <si>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</si>
  <si>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</si>
  <si>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</si>
  <si>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</si>
  <si>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</si>
  <si>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</si>
  <si>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</si>
  <si>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</si>
  <si>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</si>
  <si>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</si>
  <si>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</si>
  <si>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</si>
  <si>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</si>
  <si>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</si>
  <si>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</si>
  <si>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</si>
  <si>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</si>
  <si>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</si>
  <si>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</si>
  <si>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</si>
  <si>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</si>
  <si>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</si>
  <si>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</si>
  <si>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</si>
  <si>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</si>
  <si>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</si>
  <si>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</si>
  <si>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</si>
  <si>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</si>
  <si>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</si>
  <si>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</si>
  <si>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</si>
  <si>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</si>
  <si>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</si>
  <si>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</si>
  <si>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</si>
  <si>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</si>
  <si>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</si>
  <si>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</si>
  <si>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</si>
  <si>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</si>
  <si>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</si>
  <si>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</si>
  <si>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</si>
  <si>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</si>
  <si>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</si>
  <si>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</si>
  <si>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</si>
  <si>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</si>
  <si>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</si>
  <si>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</si>
  <si>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</si>
  <si>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</si>
  <si>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</si>
  <si>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</si>
  <si>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</si>
  <si>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</si>
  <si>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</si>
  <si>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</si>
  <si>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</si>
  <si>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</si>
  <si>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</si>
  <si>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</si>
  <si>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</si>
  <si>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</si>
  <si>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</si>
  <si>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</si>
  <si>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</si>
  <si>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</si>
  <si>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</si>
  <si>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</si>
  <si>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</si>
  <si>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</si>
  <si>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</si>
  <si>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</si>
  <si>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</si>
  <si>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</si>
  <si>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</si>
  <si>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</si>
  <si>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</si>
  <si>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</si>
  <si>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</si>
  <si>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</si>
  <si>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</si>
  <si>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</si>
  <si>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</si>
  <si>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</si>
  <si>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</si>
  <si>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</si>
  <si>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</si>
  <si>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</si>
  <si>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</si>
  <si>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</si>
  <si>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</si>
  <si>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</si>
  <si>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</si>
  <si>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</si>
  <si>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</si>
  <si>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</si>
  <si>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</si>
  <si>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</si>
  <si>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</si>
  <si>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</si>
  <si>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</si>
  <si>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</si>
  <si>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</si>
  <si>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</si>
  <si>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</si>
  <si>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</si>
  <si>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</si>
  <si>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</si>
  <si>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</si>
  <si>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</si>
  <si>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</si>
  <si>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</si>
  <si>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</si>
  <si>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</si>
  <si>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</si>
  <si>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</si>
  <si>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</si>
  <si>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</si>
  <si>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</si>
  <si>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</si>
  <si>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</si>
  <si>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</si>
  <si>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</si>
  <si>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</si>
  <si>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</si>
  <si>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</si>
  <si>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</si>
  <si>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</si>
  <si>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</si>
  <si>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</si>
  <si>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</si>
  <si>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</si>
  <si>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</si>
  <si>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</si>
  <si>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</si>
  <si>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</si>
  <si>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</si>
  <si>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</si>
  <si>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</si>
  <si>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</si>
  <si>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</si>
  <si>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</si>
  <si>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</si>
  <si>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</si>
  <si>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</si>
  <si>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</si>
  <si>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</si>
  <si>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</si>
  <si>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</si>
  <si>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</si>
  <si>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</si>
  <si>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</si>
  <si>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</si>
  <si>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</si>
  <si>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</si>
  <si>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</si>
  <si>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</si>
  <si>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</si>
  <si>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</si>
  <si>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</si>
  <si>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</si>
  <si>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</si>
  <si>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</si>
  <si>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</si>
  <si>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</si>
  <si>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</si>
  <si>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</si>
  <si>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</si>
  <si>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</si>
  <si>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</si>
  <si>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</si>
  <si>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</si>
  <si>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</si>
  <si>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</si>
  <si>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</si>
  <si>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</si>
  <si>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</si>
  <si>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</si>
  <si>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</si>
  <si>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</si>
  <si>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</si>
  <si>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</si>
  <si>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</si>
  <si>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</si>
  <si>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</si>
  <si>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</si>
  <si>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</si>
  <si>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</si>
  <si>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</si>
  <si>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</si>
  <si>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</si>
  <si>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</si>
  <si>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</si>
  <si>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</si>
  <si>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</si>
  <si>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</si>
  <si>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</si>
  <si>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</si>
  <si>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</si>
  <si>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</si>
  <si>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</si>
  <si>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</si>
  <si>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</si>
  <si>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</si>
  <si>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</si>
  <si>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</si>
  <si>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</si>
  <si>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</si>
  <si>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</si>
  <si>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</si>
  <si>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</si>
  <si>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</si>
  <si>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</si>
  <si>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</si>
  <si>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</si>
  <si>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</si>
  <si>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</si>
  <si>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</si>
  <si>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</si>
  <si>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</si>
  <si>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</si>
  <si>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</si>
  <si>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</si>
  <si>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</si>
  <si>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</si>
  <si>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</si>
  <si>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</si>
  <si>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</si>
  <si>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</si>
  <si>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</si>
  <si>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</si>
  <si>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</si>
  <si>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</si>
  <si>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</si>
  <si>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</si>
  <si>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</si>
  <si>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</si>
  <si>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</si>
  <si>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</si>
  <si>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</si>
  <si>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</si>
  <si>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</si>
  <si>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</si>
  <si>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</si>
  <si>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</si>
  <si>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</si>
  <si>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</si>
  <si>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</si>
  <si>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</si>
  <si>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</si>
  <si>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</si>
  <si>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</si>
  <si>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</si>
  <si>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</si>
  <si>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</si>
  <si>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</si>
  <si>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</si>
  <si>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</si>
  <si>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</si>
  <si>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</si>
  <si>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</si>
  <si>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</si>
  <si>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</si>
  <si>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</si>
  <si>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</si>
  <si>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</si>
  <si>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</si>
  <si>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</si>
  <si>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</si>
  <si>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</si>
  <si>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</si>
  <si>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</si>
  <si>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</si>
  <si>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</si>
  <si>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</si>
  <si>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</si>
  <si>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</si>
  <si>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</si>
  <si>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</si>
  <si>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</si>
  <si>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</si>
  <si>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</si>
  <si>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</si>
  <si>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</si>
  <si>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</si>
  <si>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</si>
  <si>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</si>
  <si>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</si>
  <si>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</si>
  <si>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</si>
  <si>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</si>
  <si>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</si>
  <si>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</si>
  <si>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</si>
  <si>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</si>
  <si>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</si>
  <si>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</si>
  <si>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</si>
  <si>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</si>
  <si>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</si>
  <si>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</si>
  <si>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</si>
  <si>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</si>
  <si>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</si>
  <si>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</si>
  <si>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</si>
  <si>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</si>
  <si>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</si>
  <si>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</si>
  <si>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</si>
  <si>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</si>
  <si>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</si>
  <si>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</si>
  <si>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</si>
  <si>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</si>
  <si>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</si>
  <si>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</si>
  <si>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</si>
  <si>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</si>
  <si>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</si>
  <si>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</si>
  <si>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</si>
  <si>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</si>
  <si>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</si>
  <si>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</si>
  <si>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</si>
  <si>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</si>
  <si>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</si>
  <si>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</si>
  <si>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</si>
  <si>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</si>
  <si>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</si>
  <si>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</si>
  <si>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</si>
  <si>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</si>
  <si>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</si>
  <si>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</si>
  <si>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</si>
  <si>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</si>
  <si>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</si>
  <si>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</si>
  <si>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</si>
  <si>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</si>
  <si>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</si>
  <si>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</si>
  <si>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</si>
  <si>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</si>
  <si>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</si>
  <si>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</si>
  <si>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</si>
  <si>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</si>
  <si>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</si>
  <si>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</si>
  <si>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</si>
  <si>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</si>
  <si>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</si>
  <si>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</si>
  <si>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</si>
  <si>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</si>
  <si>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</si>
  <si>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</si>
  <si>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</si>
  <si>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</si>
  <si>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</si>
  <si>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</si>
  <si>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</si>
  <si>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</si>
  <si>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</si>
  <si>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</si>
  <si>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</si>
  <si>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</si>
  <si>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</si>
  <si>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</si>
  <si>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</si>
  <si>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</si>
  <si>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</si>
  <si>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</si>
  <si>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</si>
  <si>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</si>
  <si>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</si>
  <si>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</si>
  <si>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</si>
  <si>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</si>
  <si>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</si>
  <si>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</si>
  <si>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</si>
  <si>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</si>
  <si>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</si>
  <si>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</si>
  <si>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</si>
  <si>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</si>
  <si>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</si>
  <si>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</si>
  <si>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</si>
  <si>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</si>
  <si>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</si>
  <si>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</si>
  <si>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</si>
  <si>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</si>
  <si>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</si>
  <si>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</si>
  <si>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</si>
  <si>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</si>
  <si>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</si>
  <si>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</si>
  <si>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</si>
  <si>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</si>
  <si>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</si>
  <si>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</si>
  <si>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</si>
  <si>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</si>
  <si>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</si>
  <si>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</si>
  <si>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</si>
  <si>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</si>
  <si>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</si>
  <si>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</si>
  <si>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</si>
  <si>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</si>
  <si>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</si>
  <si>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</si>
  <si>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</si>
  <si>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</si>
  <si>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</si>
  <si>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</si>
  <si>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</si>
  <si>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</si>
  <si>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</si>
  <si>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</si>
  <si>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</si>
  <si>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</si>
  <si>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</si>
  <si>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</si>
  <si>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</si>
  <si>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</si>
  <si>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</si>
  <si>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</si>
  <si>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</si>
  <si>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</si>
  <si>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</si>
  <si>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</si>
  <si>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</si>
  <si>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</si>
  <si>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</si>
  <si>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</si>
  <si>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</si>
  <si>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</si>
  <si>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</si>
  <si>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</si>
  <si>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</si>
  <si>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</si>
  <si>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</si>
  <si>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</si>
  <si>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</si>
  <si>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</si>
  <si>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</si>
  <si>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</si>
  <si>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</si>
  <si>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</si>
  <si>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</si>
  <si>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</si>
  <si>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</si>
  <si>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</si>
  <si>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</si>
  <si>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</si>
  <si>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</si>
  <si>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</si>
  <si>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</si>
  <si>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</si>
  <si>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</si>
  <si>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</si>
  <si>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</si>
  <si>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</si>
  <si>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</si>
  <si>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</si>
  <si>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</si>
  <si>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</si>
  <si>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</si>
  <si>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</si>
  <si>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</si>
  <si>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</si>
  <si>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</si>
  <si>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</si>
  <si>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</si>
  <si>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</si>
  <si>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</si>
  <si>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</si>
  <si>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</si>
  <si>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</si>
  <si>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</si>
  <si>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</si>
  <si>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</si>
  <si>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</si>
  <si>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</si>
  <si>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</si>
  <si>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</si>
  <si>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</si>
  <si>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</si>
  <si>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</si>
  <si>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</si>
  <si>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</si>
  <si>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</si>
  <si>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</si>
  <si>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</si>
  <si>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</si>
  <si>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</si>
  <si>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</si>
  <si>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</si>
  <si>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</si>
  <si>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</si>
  <si>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</si>
  <si>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</si>
  <si>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</si>
  <si>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</si>
  <si>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</si>
  <si>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</si>
  <si>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</si>
  <si>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</si>
  <si>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</si>
  <si>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</si>
  <si>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</si>
  <si>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</si>
  <si>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</si>
  <si>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</si>
  <si>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</si>
  <si>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</si>
  <si>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</si>
  <si>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</si>
  <si>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</si>
  <si>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</si>
  <si>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</si>
  <si>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</si>
  <si>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</si>
  <si>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</si>
  <si>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</si>
  <si>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</si>
  <si>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</si>
  <si>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</si>
  <si>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</si>
  <si>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</si>
  <si>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</si>
  <si>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</si>
  <si>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</si>
  <si>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</si>
  <si>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</si>
  <si>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</si>
  <si>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</si>
  <si>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</si>
  <si>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</si>
  <si>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</si>
  <si>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</si>
  <si>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</si>
  <si>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</si>
  <si>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</si>
  <si>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</si>
  <si>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</si>
  <si>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</si>
  <si>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</si>
  <si>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</si>
  <si>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</si>
  <si>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</si>
  <si>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</si>
  <si>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</si>
  <si>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</si>
  <si>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</si>
  <si>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</si>
  <si>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</si>
  <si>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</si>
  <si>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</si>
  <si>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</si>
  <si>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</si>
  <si>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</si>
  <si>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</si>
  <si>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</si>
  <si>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</si>
  <si>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</si>
  <si>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</si>
  <si>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</si>
  <si>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</si>
  <si>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</si>
  <si>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</si>
  <si>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</si>
  <si>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</si>
  <si>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</si>
  <si>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</si>
  <si>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</si>
  <si>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</si>
  <si>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</si>
  <si>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</si>
  <si>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</si>
  <si>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</si>
  <si>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</si>
  <si>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</si>
  <si>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</si>
  <si>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</si>
  <si>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</si>
  <si>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</si>
  <si>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</si>
  <si>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</si>
  <si>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</si>
  <si>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</si>
  <si>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</si>
  <si>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</si>
  <si>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</si>
  <si>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</si>
  <si>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</si>
  <si>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</si>
  <si>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</si>
  <si>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</si>
  <si>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</si>
  <si>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</si>
  <si>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</si>
  <si>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</si>
  <si>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</si>
  <si>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</si>
  <si>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</si>
  <si>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</si>
  <si>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</si>
  <si>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</si>
  <si>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</si>
  <si>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</si>
  <si>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</si>
  <si>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</si>
  <si>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</si>
  <si>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</si>
  <si>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</si>
  <si>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</si>
  <si>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</si>
  <si>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</si>
  <si>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</si>
  <si>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</si>
  <si>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</si>
  <si>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</si>
  <si>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</si>
  <si>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</si>
  <si>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</si>
  <si>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</si>
  <si>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</si>
  <si>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</si>
  <si>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</si>
  <si>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</si>
  <si>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</si>
  <si>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</si>
  <si>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</si>
  <si>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</si>
  <si>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</si>
  <si>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</si>
  <si>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</si>
  <si>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</si>
  <si>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</si>
  <si>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</si>
  <si>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</si>
  <si>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</si>
  <si>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</si>
  <si>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</si>
  <si>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</si>
  <si>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</si>
  <si>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</si>
  <si>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</si>
  <si>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</si>
  <si>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</si>
  <si>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</si>
  <si>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</si>
  <si>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</si>
  <si>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</si>
  <si>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</si>
  <si>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</si>
  <si>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</si>
  <si>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</si>
  <si>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</si>
  <si>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</si>
  <si>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</si>
  <si>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</si>
  <si>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</si>
  <si>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</si>
  <si>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</si>
  <si>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</si>
  <si>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</si>
  <si>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</si>
  <si>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</si>
  <si>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</si>
  <si>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</si>
  <si>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</si>
  <si>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</si>
  <si>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</si>
  <si>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</si>
  <si>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</si>
  <si>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</si>
  <si>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</si>
  <si>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</si>
  <si>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</si>
  <si>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</si>
  <si>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</si>
  <si>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</si>
  <si>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</si>
  <si>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</si>
  <si>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</si>
  <si>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</si>
  <si>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</si>
  <si>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</si>
  <si>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</si>
  <si>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</si>
  <si>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</si>
  <si>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</si>
  <si>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</si>
  <si>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</si>
  <si>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</si>
  <si>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</si>
  <si>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</si>
  <si>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</si>
  <si>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</si>
  <si>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</si>
  <si>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</si>
  <si>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</si>
  <si>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</si>
  <si>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</si>
  <si>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</si>
  <si>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</si>
  <si>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</si>
  <si>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</si>
  <si>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</si>
  <si>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</si>
  <si>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</si>
  <si>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</si>
  <si>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</si>
  <si>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</si>
  <si>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</si>
  <si>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</si>
  <si>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</si>
  <si>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</si>
  <si>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</si>
  <si>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</si>
  <si>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</si>
  <si>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</si>
  <si>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</si>
  <si>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</si>
  <si>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</si>
  <si>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</si>
  <si>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</si>
  <si>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</si>
  <si>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</si>
  <si>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</si>
  <si>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</si>
  <si>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</si>
  <si>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</si>
  <si>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</si>
  <si>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</si>
  <si>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</si>
  <si>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</si>
  <si>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</si>
  <si>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</si>
  <si>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</si>
  <si>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</si>
  <si>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</si>
  <si>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</si>
  <si>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</si>
  <si>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</si>
  <si>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</si>
  <si>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</si>
  <si>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</si>
  <si>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</si>
  <si>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</si>
  <si>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</si>
  <si>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</si>
  <si>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</si>
  <si>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</si>
  <si>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</si>
  <si>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</si>
  <si>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</si>
  <si>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</si>
  <si>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</si>
  <si>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</si>
  <si>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</si>
  <si>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</si>
  <si>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</si>
  <si>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</si>
  <si>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</si>
  <si>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</si>
  <si>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</si>
  <si>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</si>
  <si>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</si>
  <si>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</si>
  <si>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</si>
  <si>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</si>
  <si>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</si>
  <si>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</si>
  <si>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</si>
  <si>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</si>
  <si>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</si>
  <si>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</si>
  <si>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</si>
  <si>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</si>
  <si>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</si>
  <si>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</si>
  <si>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</si>
  <si>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</si>
  <si>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</si>
  <si>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</si>
  <si>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</si>
  <si>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</si>
  <si>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</si>
  <si>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</si>
  <si>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</si>
  <si>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</si>
  <si>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</si>
  <si>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</si>
  <si>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</si>
  <si>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</si>
  <si>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</si>
  <si>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</si>
  <si>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</si>
  <si>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</si>
  <si>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</si>
  <si>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</si>
  <si>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</si>
  <si>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</si>
  <si>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</si>
  <si>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</si>
  <si>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</si>
  <si>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</si>
  <si>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</si>
  <si>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</si>
  <si>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</si>
  <si>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</si>
  <si>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</si>
  <si>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</si>
  <si>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</si>
  <si>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</si>
  <si>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</si>
  <si>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</si>
  <si>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</si>
  <si>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</si>
  <si>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</si>
  <si>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</si>
  <si>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</si>
  <si>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</si>
  <si>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</si>
  <si>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</si>
  <si>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</si>
  <si>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</si>
  <si>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</si>
  <si>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</si>
  <si>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</si>
  <si>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</si>
  <si>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</si>
  <si>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</si>
  <si>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</si>
  <si>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</si>
  <si>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</si>
  <si>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</si>
  <si>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</si>
  <si>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</si>
  <si>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</si>
  <si>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</si>
  <si>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</si>
  <si>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</si>
  <si>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</si>
  <si>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</si>
  <si>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</si>
  <si>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</si>
  <si>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</si>
  <si>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</si>
  <si>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</si>
  <si>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</si>
  <si>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</si>
  <si>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</si>
  <si>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</si>
  <si>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</si>
  <si>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</si>
  <si>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</si>
  <si>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</si>
  <si>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</si>
  <si>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</si>
  <si>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</si>
  <si>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</si>
  <si>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</si>
  <si>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</si>
  <si>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</si>
  <si>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</si>
  <si>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</si>
  <si>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</si>
  <si>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</si>
  <si>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</si>
  <si>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</si>
  <si>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</si>
  <si>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</si>
  <si>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</si>
  <si>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</si>
  <si>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</si>
  <si>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</si>
  <si>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</si>
  <si>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</si>
  <si>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</si>
  <si>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</si>
  <si>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</si>
  <si>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</si>
  <si>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</si>
  <si>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</si>
  <si>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</si>
  <si>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</si>
  <si>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</si>
  <si>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</si>
  <si>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</si>
  <si>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</si>
  <si>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</si>
  <si>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</si>
  <si>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</si>
  <si>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</si>
  <si>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</si>
  <si>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</si>
  <si>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</si>
  <si>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</si>
  <si>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</si>
  <si>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</si>
  <si>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</si>
  <si>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</si>
  <si>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</si>
  <si>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</si>
  <si>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</si>
  <si>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</si>
  <si>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</si>
  <si>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</si>
  <si>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</si>
  <si>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</si>
  <si>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</si>
  <si>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</si>
  <si>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</si>
  <si>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</si>
  <si>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</si>
  <si>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</si>
  <si>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</si>
  <si>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</si>
  <si>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</si>
  <si>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</si>
  <si>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</si>
  <si>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</si>
  <si>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</si>
  <si>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</si>
  <si>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</si>
  <si>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</si>
  <si>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</si>
  <si>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</si>
  <si>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</si>
  <si>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</si>
  <si>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</si>
  <si>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</si>
  <si>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</si>
  <si>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</si>
  <si>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</si>
  <si>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</si>
  <si>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</si>
  <si>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</si>
  <si>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</si>
  <si>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</si>
  <si>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</si>
  <si>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</si>
  <si>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</si>
  <si>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</si>
  <si>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</si>
  <si>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</si>
  <si>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</si>
  <si>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</si>
  <si>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</si>
  <si>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</si>
  <si>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</si>
  <si>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</si>
  <si>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</si>
  <si>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</si>
  <si>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</si>
  <si>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</si>
  <si>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</si>
  <si>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</si>
  <si>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</si>
  <si>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</si>
  <si>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</si>
  <si>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</si>
  <si>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</si>
  <si>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</si>
  <si>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</si>
  <si>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</si>
  <si>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</si>
  <si>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</si>
  <si>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</si>
  <si>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</si>
  <si>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</si>
  <si>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</si>
  <si>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</si>
  <si>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</si>
  <si>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</si>
  <si>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</si>
  <si>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</si>
  <si>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</si>
  <si>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</si>
  <si>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</si>
  <si>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</si>
  <si>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</si>
  <si>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</si>
  <si>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</si>
  <si>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</si>
  <si>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</si>
  <si>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</si>
  <si>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</si>
  <si>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</si>
  <si>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</si>
  <si>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</si>
  <si>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</si>
  <si>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</si>
  <si>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</si>
  <si>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</si>
  <si>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</si>
  <si>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</si>
  <si>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</si>
  <si>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</si>
  <si>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</si>
  <si>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</si>
  <si>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</si>
  <si>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</si>
  <si>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</si>
  <si>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</si>
  <si>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</si>
  <si>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</si>
  <si>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</si>
  <si>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</si>
  <si>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</si>
  <si>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</si>
  <si>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</si>
  <si>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</si>
  <si>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</si>
  <si>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</si>
  <si>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</si>
  <si>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</si>
  <si>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</si>
  <si>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</si>
  <si>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</si>
  <si>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</si>
  <si>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</si>
  <si>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</si>
  <si>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</si>
  <si>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</si>
  <si>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</si>
  <si>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</si>
  <si>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</si>
  <si>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</si>
  <si>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</si>
  <si>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</si>
  <si>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</si>
  <si>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</si>
  <si>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</si>
  <si>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</si>
  <si>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</si>
  <si>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</si>
  <si>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</si>
  <si>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</si>
  <si>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</si>
  <si>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</si>
  <si>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</si>
  <si>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</si>
  <si>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</si>
  <si>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</si>
  <si>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</si>
  <si>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</si>
  <si>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</si>
  <si>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</si>
  <si>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</si>
  <si>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</si>
  <si>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</si>
  <si>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</si>
  <si>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</si>
  <si>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</si>
  <si>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</si>
  <si>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</si>
  <si>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</si>
  <si>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</si>
  <si>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</si>
  <si>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</si>
  <si>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</si>
  <si>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</si>
  <si>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</si>
  <si>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</si>
  <si>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</si>
  <si>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</si>
  <si>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</si>
  <si>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</si>
  <si>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</si>
  <si>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</si>
  <si>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</si>
  <si>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</si>
  <si>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</si>
  <si>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</si>
  <si>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</si>
  <si>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</si>
  <si>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</si>
  <si>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</si>
  <si>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</si>
  <si>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</si>
  <si>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</si>
  <si>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</si>
  <si>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</si>
  <si>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</si>
  <si>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</si>
  <si>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</si>
  <si>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</si>
  <si>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</si>
  <si>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</si>
  <si>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</si>
  <si>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</si>
  <si>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</si>
  <si>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</si>
  <si>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</si>
  <si>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</si>
  <si>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</si>
  <si>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</si>
  <si>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</si>
  <si>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</si>
  <si>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</si>
  <si>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</si>
  <si>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</si>
  <si>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</si>
  <si>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</si>
  <si>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</si>
  <si>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</si>
  <si>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</si>
  <si>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</si>
  <si>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</si>
  <si>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</si>
  <si>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</si>
  <si>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</si>
  <si>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</si>
  <si>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</si>
  <si>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</si>
  <si>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</si>
  <si>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</si>
  <si>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</si>
  <si>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</si>
  <si>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</si>
  <si>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</si>
  <si>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</si>
  <si>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</si>
  <si>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</si>
  <si>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</si>
  <si>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</si>
  <si>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</si>
  <si>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</si>
  <si>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</si>
  <si>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</si>
  <si>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</si>
  <si>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</si>
  <si>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</si>
  <si>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</si>
  <si>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</si>
  <si>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</si>
  <si>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</si>
  <si>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</si>
  <si>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</si>
  <si>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</si>
  <si>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</si>
  <si>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</si>
  <si>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</si>
  <si>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</si>
  <si>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</si>
  <si>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</si>
  <si>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</si>
  <si>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</si>
  <si>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</si>
  <si>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</si>
  <si>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</si>
  <si>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</si>
  <si>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</si>
  <si>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</si>
  <si>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</si>
  <si>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</si>
  <si>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</si>
  <si>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</si>
  <si>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</si>
  <si>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</si>
  <si>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</si>
  <si>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</si>
  <si>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</si>
  <si>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</si>
  <si>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</si>
  <si>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</si>
  <si>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</si>
  <si>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</si>
  <si>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</si>
  <si>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</si>
  <si>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</si>
  <si>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</si>
  <si>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</si>
  <si>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</si>
  <si>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</si>
  <si>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</si>
  <si>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</si>
  <si>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</si>
  <si>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</si>
  <si>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</si>
  <si>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</si>
  <si>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</si>
  <si>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</si>
  <si>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</si>
  <si>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</si>
  <si>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</si>
  <si>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</si>
  <si>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</si>
  <si>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</si>
  <si>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</si>
  <si>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</si>
  <si>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</si>
  <si>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</si>
  <si>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</si>
  <si>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</si>
  <si>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</si>
  <si>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</si>
  <si>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</si>
  <si>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</si>
  <si>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</si>
  <si>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</si>
  <si>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</si>
  <si>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</si>
  <si>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</si>
  <si>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</si>
  <si>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</si>
  <si>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</si>
  <si>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</si>
  <si>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</si>
  <si>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</si>
  <si>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</si>
  <si>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</si>
  <si>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</si>
  <si>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</si>
  <si>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</si>
  <si>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</si>
  <si>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</si>
  <si>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</si>
  <si>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</si>
  <si>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</si>
  <si>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</si>
  <si>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</si>
  <si>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</si>
  <si>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</si>
  <si>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</si>
  <si>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</si>
  <si>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</si>
  <si>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</si>
  <si>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</si>
  <si>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</si>
  <si>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</si>
  <si>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</si>
  <si>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</si>
  <si>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</si>
  <si>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</si>
  <si>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</si>
  <si>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</si>
  <si>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</si>
  <si>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</si>
  <si>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</si>
  <si>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</si>
  <si>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</si>
  <si>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</si>
  <si>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</si>
  <si>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</si>
  <si>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</si>
  <si>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</si>
  <si>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</si>
  <si>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</si>
  <si>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</si>
  <si>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</si>
  <si>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</si>
  <si>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</si>
  <si>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</si>
  <si>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</si>
  <si>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</si>
  <si>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</si>
  <si>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</si>
  <si>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</si>
  <si>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</si>
  <si>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</si>
  <si>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</si>
  <si>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</si>
  <si>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</si>
  <si>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</si>
  <si>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</si>
  <si>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</si>
  <si>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</si>
  <si>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</si>
  <si>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</si>
  <si>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</si>
  <si>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</si>
  <si>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</si>
  <si>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</si>
  <si>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</si>
  <si>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</si>
  <si>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</si>
  <si>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</si>
  <si>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</si>
  <si>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</si>
  <si>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</si>
  <si>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</si>
  <si>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</si>
  <si>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</si>
  <si>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</si>
  <si>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</si>
  <si>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</si>
  <si>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</si>
  <si>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</si>
  <si>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</si>
  <si>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</si>
  <si>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</si>
  <si>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</si>
  <si>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</si>
  <si>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</si>
  <si>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</si>
  <si>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</si>
  <si>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</si>
  <si>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</si>
  <si>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</si>
  <si>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</si>
  <si>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</si>
  <si>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</si>
  <si>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</si>
  <si>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</si>
  <si>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</si>
  <si>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</si>
  <si>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</si>
  <si>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</si>
  <si>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</si>
  <si>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</si>
  <si>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</si>
  <si>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</si>
  <si>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</si>
  <si>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</si>
  <si>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</si>
  <si>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</si>
  <si>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</si>
  <si>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</si>
  <si>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</si>
  <si>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</si>
  <si>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</si>
  <si>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</si>
  <si>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</si>
  <si>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</si>
  <si>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</si>
  <si>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</si>
  <si>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</si>
  <si>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</si>
  <si>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</si>
  <si>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</si>
  <si>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</si>
  <si>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</si>
  <si>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</si>
  <si>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</si>
  <si>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</si>
  <si>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</si>
  <si>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</si>
  <si>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</si>
  <si>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</si>
  <si>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</si>
  <si>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</si>
  <si>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</si>
  <si>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</si>
  <si>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</si>
  <si>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</si>
  <si>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</si>
  <si>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</si>
  <si>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</si>
  <si>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</si>
  <si>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</si>
  <si>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</si>
  <si>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</si>
  <si>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</si>
  <si>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</si>
  <si>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</si>
  <si>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</si>
  <si>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</si>
  <si>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</si>
  <si>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</si>
  <si>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</si>
  <si>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</si>
  <si>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</si>
  <si>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</si>
  <si>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</si>
  <si>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</si>
  <si>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</si>
  <si>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</si>
  <si>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</si>
  <si>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</si>
  <si>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</si>
  <si>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</si>
  <si>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</si>
  <si>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</si>
  <si>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</si>
  <si>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</si>
  <si>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</si>
  <si>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</si>
  <si>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</si>
  <si>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</si>
  <si>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</si>
  <si>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</si>
  <si>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</si>
  <si>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</si>
  <si>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</si>
  <si>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</si>
  <si>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</si>
  <si>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</si>
  <si>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</si>
  <si>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</si>
  <si>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</si>
  <si>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</si>
  <si>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</si>
  <si>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</si>
  <si>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</si>
  <si>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</si>
  <si>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</si>
  <si>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</si>
  <si>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</si>
  <si>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</si>
  <si>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</si>
  <si>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</si>
  <si>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</si>
  <si>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</si>
  <si>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</si>
  <si>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</si>
  <si>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</si>
  <si>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</si>
  <si>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</si>
  <si>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</si>
  <si>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</si>
  <si>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</si>
  <si>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</si>
  <si>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</si>
  <si>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</si>
  <si>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</si>
  <si>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</si>
  <si>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</si>
  <si>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</si>
  <si>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</si>
  <si>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</si>
  <si>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</si>
  <si>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</si>
  <si>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</si>
  <si>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</si>
  <si>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</si>
  <si>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</si>
  <si>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</si>
  <si>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</si>
  <si>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</si>
  <si>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</si>
  <si>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</si>
  <si>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</si>
  <si>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</si>
  <si>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</si>
  <si>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</si>
  <si>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</si>
  <si>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</si>
  <si>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</si>
  <si>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</si>
  <si>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</si>
  <si>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</si>
  <si>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</si>
  <si>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</si>
  <si>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</si>
  <si>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</si>
  <si>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</si>
  <si>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</si>
  <si>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</si>
  <si>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</si>
  <si>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</si>
  <si>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</si>
  <si>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</si>
  <si>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</si>
  <si>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</si>
  <si>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</si>
  <si>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</si>
  <si>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</si>
  <si>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</si>
  <si>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</si>
  <si>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</si>
  <si>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</si>
  <si>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</si>
  <si>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</si>
  <si>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</si>
  <si>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</si>
  <si>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</si>
  <si>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</si>
  <si>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</si>
  <si>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</si>
  <si>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</si>
  <si>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</si>
  <si>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</si>
  <si>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</si>
  <si>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</si>
  <si>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</si>
  <si>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</si>
  <si>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</si>
  <si>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</si>
  <si>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</si>
  <si>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</si>
  <si>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</si>
  <si>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</si>
  <si>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</si>
  <si>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</si>
  <si>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</si>
  <si>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</si>
  <si>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</si>
  <si>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</si>
  <si>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</si>
  <si>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</si>
  <si>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</si>
  <si>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</si>
  <si>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</si>
  <si>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</si>
  <si>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</si>
  <si>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</si>
  <si>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</si>
  <si>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</si>
  <si>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</si>
  <si>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</si>
  <si>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</si>
  <si>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</si>
  <si>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</si>
  <si>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</si>
  <si>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</si>
  <si>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</si>
  <si>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</si>
  <si>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</si>
  <si>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</si>
  <si>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</si>
  <si>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</si>
  <si>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</si>
  <si>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</si>
  <si>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</si>
  <si>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</si>
  <si>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</si>
  <si>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</si>
  <si>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</si>
  <si>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</si>
  <si>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</si>
  <si>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</si>
  <si>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</si>
  <si>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</si>
  <si>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</si>
  <si>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</si>
  <si>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</si>
  <si>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</si>
  <si>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</si>
  <si>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</si>
  <si>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</si>
  <si>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</si>
  <si>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</si>
  <si>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</si>
  <si>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</si>
  <si>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</si>
  <si>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</si>
  <si>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</si>
  <si>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</si>
  <si>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</si>
  <si>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</si>
  <si>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</si>
  <si>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</si>
  <si>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</si>
  <si>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</si>
  <si>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</si>
  <si>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</si>
  <si>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</si>
  <si>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</si>
  <si>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</si>
  <si>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</si>
  <si>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</si>
  <si>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</si>
  <si>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</si>
  <si>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</si>
  <si>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</si>
  <si>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</si>
  <si>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</si>
  <si>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</si>
  <si>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</si>
  <si>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</si>
  <si>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</si>
  <si>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</si>
  <si>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</si>
  <si>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</si>
  <si>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</si>
  <si>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</si>
  <si>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</si>
  <si>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</si>
  <si>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</si>
  <si>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</si>
  <si>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</si>
  <si>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</si>
  <si>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</si>
  <si>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</si>
  <si>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</si>
  <si>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</si>
  <si>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</si>
  <si>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</si>
  <si>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</si>
  <si>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</si>
  <si>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</si>
  <si>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</si>
  <si>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</si>
  <si>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</si>
  <si>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</si>
  <si>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</si>
  <si>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</si>
  <si>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</si>
  <si>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</si>
  <si>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</si>
  <si>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</si>
  <si>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</si>
  <si>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</si>
  <si>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</si>
  <si>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</si>
  <si>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</si>
  <si>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</si>
  <si>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</si>
  <si>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</si>
  <si>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</si>
  <si>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</si>
  <si>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</si>
  <si>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</si>
  <si>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</si>
  <si>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</si>
  <si>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</si>
  <si>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</si>
  <si>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</si>
  <si>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</si>
  <si>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</si>
  <si>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</si>
  <si>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</si>
  <si>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</si>
  <si>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</si>
  <si>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</si>
  <si>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</si>
  <si>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</si>
  <si>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</si>
  <si>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</si>
  <si>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</si>
  <si>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</si>
  <si>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</si>
  <si>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</si>
  <si>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</si>
  <si>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</si>
  <si>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</si>
  <si>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</si>
  <si>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</si>
  <si>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</si>
  <si>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</si>
  <si>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</si>
  <si>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</si>
  <si>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</si>
  <si>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</si>
  <si>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</si>
  <si>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</si>
  <si>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</si>
  <si>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</si>
  <si>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</si>
  <si>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</si>
  <si>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</si>
  <si>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</si>
  <si>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</si>
  <si>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</si>
  <si>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</si>
  <si>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</si>
  <si>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</si>
  <si>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</si>
  <si>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</si>
  <si>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</si>
  <si>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</si>
  <si>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</si>
  <si>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</si>
  <si>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</si>
  <si>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</si>
  <si>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</si>
  <si>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</si>
  <si>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</si>
  <si>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</si>
  <si>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</si>
  <si>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</si>
  <si>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</si>
  <si>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</si>
  <si>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</si>
  <si>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</si>
  <si>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</si>
  <si>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</si>
  <si>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</si>
  <si>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</si>
  <si>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</si>
  <si>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</si>
  <si>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</si>
  <si>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</si>
  <si>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</si>
  <si>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</si>
  <si>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</si>
  <si>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</si>
  <si>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</si>
  <si>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</si>
  <si>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</si>
  <si>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</si>
  <si>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</si>
  <si>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</si>
  <si>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</si>
  <si>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</si>
  <si>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</si>
  <si>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</si>
  <si>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</si>
  <si>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</si>
  <si>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</si>
  <si>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</si>
  <si>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</si>
  <si>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</si>
  <si>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</si>
  <si>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</si>
  <si>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</si>
  <si>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</si>
  <si>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</si>
  <si>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</si>
  <si>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</si>
  <si>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</si>
  <si>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</si>
  <si>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</si>
  <si>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</si>
  <si>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</si>
  <si>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</si>
  <si>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</si>
  <si>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</si>
  <si>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</si>
  <si>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</si>
  <si>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</si>
  <si>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</si>
  <si>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</si>
  <si>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</si>
  <si>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</si>
  <si>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</si>
  <si>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</si>
  <si>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</si>
  <si>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</si>
  <si>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</si>
  <si>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</si>
  <si>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</si>
  <si>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</si>
  <si>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</si>
  <si>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</si>
  <si>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</si>
  <si>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</si>
  <si>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</si>
  <si>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</si>
  <si>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</si>
  <si>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</si>
  <si>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</si>
  <si>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</si>
  <si>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</si>
  <si>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</si>
  <si>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</si>
  <si>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</si>
  <si>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</si>
  <si>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</si>
  <si>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</si>
  <si>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</si>
  <si>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</si>
  <si>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</si>
  <si>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</si>
  <si>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</si>
  <si>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</si>
  <si>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</si>
  <si>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</si>
  <si>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</si>
  <si>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</si>
  <si>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</si>
  <si>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</si>
  <si>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</si>
  <si>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</si>
  <si>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</si>
  <si>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</si>
  <si>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</si>
  <si>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</si>
  <si>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</si>
  <si>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</si>
  <si>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</si>
  <si>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</si>
  <si>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</si>
  <si>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</si>
  <si>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</si>
  <si>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</si>
  <si>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</si>
  <si>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</si>
  <si>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</si>
  <si>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</si>
  <si>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</si>
  <si>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</si>
  <si>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</si>
  <si>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</si>
  <si>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</si>
  <si>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</si>
  <si>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</si>
  <si>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</si>
  <si>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</si>
  <si>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</si>
  <si>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</si>
  <si>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</si>
  <si>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</si>
  <si>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</si>
  <si>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</si>
  <si>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</si>
  <si>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</si>
  <si>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</si>
  <si>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</si>
  <si>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</si>
  <si>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</si>
  <si>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</si>
  <si>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</si>
  <si>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</si>
  <si>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</si>
  <si>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</si>
  <si>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</si>
  <si>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</si>
  <si>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</si>
  <si>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</si>
  <si>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</si>
  <si>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</si>
  <si>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</si>
  <si>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</si>
  <si>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</si>
  <si>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</si>
  <si>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</si>
  <si>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</si>
  <si>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</si>
  <si>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</si>
  <si>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</si>
  <si>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</si>
  <si>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</si>
  <si>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</si>
  <si>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</si>
  <si>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</si>
  <si>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</si>
  <si>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</si>
  <si>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</si>
  <si>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</si>
  <si>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</si>
  <si>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</si>
  <si>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</si>
  <si>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</si>
  <si>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</si>
  <si>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</si>
  <si>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</si>
  <si>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</si>
  <si>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</si>
  <si>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</si>
  <si>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</si>
  <si>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</si>
  <si>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</si>
  <si>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</si>
  <si>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</si>
  <si>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</si>
  <si>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</si>
  <si>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</si>
  <si>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</si>
  <si>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</si>
  <si>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</si>
  <si>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</si>
  <si>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</si>
  <si>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</si>
  <si>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</si>
  <si>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</si>
  <si>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</si>
  <si>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</si>
  <si>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</si>
  <si>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</si>
  <si>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</si>
  <si>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</si>
  <si>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</si>
  <si>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</si>
  <si>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</si>
  <si>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</si>
  <si>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</si>
  <si>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</si>
  <si>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</si>
  <si>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</si>
  <si>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</si>
  <si>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</si>
  <si>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</si>
  <si>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</si>
  <si>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</si>
  <si>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</si>
  <si>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</si>
  <si>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</si>
  <si>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</si>
  <si>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</si>
  <si>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</si>
  <si>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</si>
  <si>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</si>
  <si>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</si>
  <si>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</si>
  <si>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</si>
  <si>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</si>
  <si>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</si>
  <si>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</si>
  <si>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</si>
  <si>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</si>
  <si>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</si>
  <si>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</si>
  <si>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</si>
  <si>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</si>
  <si>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</si>
  <si>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</si>
  <si>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</si>
  <si>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</si>
  <si>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</si>
  <si>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</si>
  <si>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</si>
  <si>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</si>
  <si>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</si>
  <si>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</si>
  <si>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</si>
  <si>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</si>
  <si>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</si>
  <si>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</si>
  <si>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</si>
  <si>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</si>
  <si>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</si>
  <si>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</si>
  <si>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</si>
  <si>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</si>
  <si>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</si>
  <si>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</si>
  <si>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</si>
  <si>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</si>
  <si>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</si>
  <si>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</si>
  <si>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</si>
  <si>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</si>
  <si>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</si>
  <si>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</si>
  <si>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</si>
  <si>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</si>
  <si>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</si>
  <si>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</si>
  <si>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</si>
  <si>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</si>
  <si>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</si>
  <si>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</si>
  <si>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</si>
  <si>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</si>
  <si>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</si>
  <si>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</si>
  <si>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</si>
  <si>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</si>
  <si>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</si>
  <si>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</si>
  <si>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</si>
  <si>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</si>
  <si>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</si>
  <si>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</si>
  <si>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</si>
  <si>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</si>
  <si>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</si>
  <si>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</si>
  <si>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</si>
  <si>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</si>
  <si>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</si>
  <si>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</si>
  <si>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</si>
  <si>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</si>
  <si>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</si>
  <si>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</si>
  <si>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</si>
  <si>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</si>
  <si>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</si>
  <si>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</si>
  <si>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</si>
  <si>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</si>
  <si>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</si>
  <si>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</si>
  <si>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</si>
  <si>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</si>
  <si>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</si>
  <si>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</si>
  <si>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</si>
  <si>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</si>
  <si>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</si>
  <si>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</si>
  <si>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</si>
  <si>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</si>
  <si>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</si>
  <si>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</si>
  <si>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</si>
  <si>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</si>
  <si>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</si>
  <si>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</si>
  <si>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</si>
  <si>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</si>
  <si>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</si>
  <si>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</si>
  <si>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</si>
  <si>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</si>
  <si>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</si>
  <si>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</si>
  <si>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</si>
  <si>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</si>
  <si>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</si>
  <si>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</si>
  <si>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</si>
  <si>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</si>
  <si>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</si>
  <si>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</si>
  <si>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</si>
  <si>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</si>
  <si>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</si>
  <si>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</si>
  <si>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</si>
  <si>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</si>
  <si>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</si>
  <si>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</si>
  <si>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</si>
  <si>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</si>
  <si>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</si>
  <si>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</si>
  <si>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</si>
  <si>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</si>
  <si>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</si>
  <si>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</si>
  <si>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</si>
  <si>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</si>
  <si>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</si>
  <si>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</si>
  <si>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</si>
  <si>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</si>
  <si>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</si>
  <si>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</si>
  <si>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</si>
  <si>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</si>
  <si>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</si>
  <si>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</si>
  <si>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</si>
  <si>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</si>
  <si>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</si>
  <si>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</si>
  <si>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</si>
  <si>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</si>
  <si>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</si>
  <si>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</si>
  <si>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</si>
  <si>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</si>
  <si>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</si>
  <si>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</si>
  <si>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</si>
  <si>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</si>
  <si>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</si>
  <si>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</si>
  <si>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</si>
  <si>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</si>
  <si>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</si>
  <si>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</si>
  <si>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</si>
  <si>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</si>
  <si>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</si>
  <si>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</si>
  <si>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</si>
  <si>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</si>
  <si>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</si>
  <si>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</si>
  <si>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</si>
  <si>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</si>
  <si>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</si>
  <si>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</si>
  <si>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</si>
  <si>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</si>
  <si>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</si>
  <si>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</si>
  <si>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</si>
  <si>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</si>
  <si>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</si>
  <si>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</si>
  <si>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</si>
  <si>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</si>
  <si>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</si>
  <si>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</si>
  <si>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</si>
  <si>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</si>
  <si>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</si>
  <si>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</si>
  <si>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</si>
  <si>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</si>
  <si>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</si>
  <si>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</si>
  <si>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</si>
  <si>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</si>
  <si>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</si>
  <si>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</si>
  <si>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</si>
  <si>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</si>
  <si>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</si>
  <si>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</si>
  <si>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</si>
  <si>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</si>
  <si>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</si>
  <si>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</si>
  <si>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</si>
  <si>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</si>
  <si>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</si>
  <si>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</si>
  <si>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</si>
  <si>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</si>
  <si>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</si>
  <si>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</si>
  <si>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</si>
  <si>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</si>
  <si>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</si>
  <si>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</si>
  <si>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</si>
  <si>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</si>
  <si>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</si>
  <si>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</si>
  <si>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</si>
  <si>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</si>
  <si>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</si>
  <si>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</si>
  <si>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</si>
  <si>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</si>
  <si>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</si>
  <si>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</si>
  <si>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</si>
  <si>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</si>
  <si>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</si>
  <si>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</si>
  <si>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</si>
  <si>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</si>
  <si>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</si>
  <si>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</si>
  <si>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</si>
  <si>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</si>
  <si>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</si>
  <si>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</si>
  <si>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</si>
  <si>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</si>
  <si>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</si>
  <si>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</si>
  <si>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</si>
  <si>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</si>
  <si>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</si>
  <si>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</si>
  <si>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</si>
  <si>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</si>
  <si>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</si>
  <si>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</si>
  <si>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</si>
  <si>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</si>
  <si>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</si>
  <si>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</si>
  <si>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</si>
  <si>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</si>
  <si>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</si>
  <si>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</si>
  <si>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</si>
  <si>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</si>
  <si>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</si>
  <si>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</si>
  <si>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</si>
  <si>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</si>
  <si>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</si>
  <si>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</si>
  <si>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</si>
  <si>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</si>
  <si>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</si>
  <si>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</si>
  <si>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</si>
  <si>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</si>
  <si>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</si>
  <si>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</si>
  <si>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</si>
  <si>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</si>
  <si>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</si>
  <si>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</si>
  <si>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</si>
  <si>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</si>
  <si>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</si>
  <si>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</si>
  <si>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</si>
  <si>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</si>
  <si>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</si>
  <si>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</si>
  <si>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</si>
  <si>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</si>
  <si>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</si>
  <si>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</si>
  <si>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</si>
  <si>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</si>
  <si>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</si>
  <si>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</si>
  <si>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</si>
  <si>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</si>
  <si>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</si>
  <si>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</si>
  <si>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</si>
  <si>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</si>
  <si>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</si>
  <si>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</si>
  <si>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</si>
  <si>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</si>
  <si>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</si>
  <si>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</si>
  <si>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</si>
  <si>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</si>
  <si>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</si>
  <si>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</si>
  <si>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</si>
  <si>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</si>
  <si>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</si>
  <si>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</si>
  <si>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</si>
  <si>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</si>
  <si>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</si>
  <si>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</si>
  <si>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</si>
  <si>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</si>
  <si>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</si>
  <si>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</si>
  <si>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</si>
  <si>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</si>
  <si>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</si>
  <si>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</si>
  <si>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</si>
  <si>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</si>
  <si>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</si>
  <si>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</si>
  <si>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</si>
  <si>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</si>
  <si>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</si>
  <si>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</si>
  <si>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</si>
  <si>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</si>
  <si>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</si>
  <si>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</si>
  <si>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</si>
  <si>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</si>
  <si>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</si>
  <si>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</si>
  <si>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</si>
  <si>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</si>
  <si>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</si>
  <si>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</si>
  <si>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</si>
  <si>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</si>
  <si>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</si>
  <si>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</si>
  <si>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</si>
  <si>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</si>
  <si>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</si>
  <si>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</si>
  <si>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</si>
  <si>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</si>
  <si>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</si>
  <si>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</si>
  <si>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</si>
  <si>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</si>
  <si>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</si>
  <si>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</si>
  <si>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</si>
  <si>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</si>
  <si>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</si>
  <si>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</si>
  <si>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</si>
  <si>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</si>
  <si>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</si>
  <si>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</si>
  <si>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</si>
  <si>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</si>
  <si>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</si>
  <si>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</si>
  <si>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</si>
  <si>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</si>
  <si>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</si>
  <si>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</si>
  <si>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</si>
  <si>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</si>
  <si>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</si>
  <si>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</si>
  <si>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</si>
  <si>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</si>
  <si>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</si>
  <si>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</si>
  <si>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</si>
  <si>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</si>
  <si>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</si>
  <si>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</si>
  <si>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</si>
  <si>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</si>
  <si>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</si>
  <si>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</si>
  <si>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</si>
  <si>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</si>
  <si>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</si>
  <si>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</si>
  <si>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</si>
  <si>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</si>
  <si>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</si>
  <si>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</si>
  <si>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</si>
  <si>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</si>
  <si>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</si>
  <si>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</si>
  <si>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</si>
  <si>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</si>
  <si>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</si>
  <si>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</si>
  <si>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</si>
  <si>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</si>
  <si>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</si>
  <si>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</si>
  <si>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</si>
  <si>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</si>
  <si>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</si>
  <si>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</si>
  <si>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</si>
  <si>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</si>
  <si>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</si>
  <si>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</si>
  <si>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</si>
  <si>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</si>
  <si>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</si>
  <si>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</si>
  <si>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</si>
  <si>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</si>
  <si>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</si>
  <si>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</si>
  <si>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</si>
  <si>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</si>
  <si>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</si>
  <si>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</si>
  <si>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</si>
  <si>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</si>
  <si>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</si>
  <si>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</si>
  <si>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</si>
  <si>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</si>
  <si>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</si>
  <si>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</si>
  <si>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</si>
  <si>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</si>
  <si>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</si>
  <si>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</si>
  <si>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</si>
  <si>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</si>
  <si>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</si>
  <si>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</si>
  <si>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</si>
  <si>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</si>
  <si>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</si>
  <si>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</si>
  <si>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</si>
  <si>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</si>
  <si>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</si>
  <si>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</si>
  <si>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</si>
  <si>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</si>
  <si>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</si>
  <si>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</si>
  <si>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</si>
  <si>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</si>
  <si>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</si>
  <si>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</si>
  <si>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</si>
  <si>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</si>
  <si>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</si>
  <si>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</si>
  <si>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</si>
  <si>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</si>
  <si>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</si>
  <si>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</si>
  <si>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</si>
  <si>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</si>
  <si>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</si>
  <si>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</si>
  <si>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</si>
  <si>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</si>
  <si>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</si>
  <si>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</si>
  <si>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</si>
  <si>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</si>
  <si>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</si>
  <si>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</si>
  <si>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</si>
  <si>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</si>
  <si>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</si>
  <si>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</si>
  <si>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</si>
  <si>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</si>
  <si>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</si>
  <si>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</si>
  <si>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</si>
  <si>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</si>
  <si>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</si>
  <si>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</si>
  <si>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</si>
  <si>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</si>
  <si>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</si>
  <si>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</si>
  <si>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</si>
  <si>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</si>
  <si>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</si>
  <si>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</si>
  <si>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</si>
  <si>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</si>
  <si>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</si>
  <si>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</si>
  <si>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</si>
  <si>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</si>
  <si>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</si>
  <si>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</si>
  <si>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</si>
  <si>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</si>
  <si>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</si>
  <si>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</si>
  <si>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</si>
  <si>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</si>
  <si>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</si>
  <si>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</si>
  <si>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</si>
  <si>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</si>
  <si>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</si>
  <si>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</si>
  <si>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</si>
  <si>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</si>
  <si>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</si>
  <si>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</si>
  <si>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</si>
  <si>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</si>
  <si>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</si>
  <si>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</si>
  <si>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</si>
  <si>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</si>
  <si>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</si>
  <si>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</si>
  <si>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</si>
  <si>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</si>
  <si>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</si>
  <si>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</si>
  <si>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</si>
  <si>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</si>
  <si>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</si>
  <si>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</si>
  <si>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</si>
  <si>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</si>
  <si>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</si>
  <si>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</si>
  <si>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</si>
  <si>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</si>
  <si>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</si>
  <si>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</si>
  <si>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</si>
  <si>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</si>
  <si>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</si>
  <si>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</si>
  <si>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</si>
  <si>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</si>
  <si>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</si>
  <si>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</si>
  <si>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</si>
  <si>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</si>
  <si>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</si>
  <si>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</si>
  <si>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</si>
  <si>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</si>
  <si>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</si>
  <si>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</si>
  <si>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</si>
  <si>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</si>
  <si>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</si>
  <si>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</si>
  <si>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</si>
  <si>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</si>
  <si>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</si>
  <si>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</si>
  <si>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</si>
  <si>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</si>
  <si>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</si>
  <si>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</si>
  <si>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</si>
  <si>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</si>
  <si>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</si>
  <si>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</si>
  <si>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</si>
  <si>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</si>
  <si>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</si>
  <si>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</si>
  <si>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</si>
  <si>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</si>
  <si>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</si>
  <si>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</si>
  <si>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</si>
  <si>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</si>
  <si>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</si>
  <si>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</si>
  <si>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</si>
  <si>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</si>
  <si>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</si>
  <si>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</si>
  <si>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</si>
  <si>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</si>
  <si>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</si>
  <si>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</si>
  <si>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</si>
  <si>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</si>
  <si>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</si>
  <si>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</si>
  <si>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</si>
  <si>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</si>
  <si>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</si>
  <si>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</si>
  <si>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</si>
  <si>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</si>
  <si>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</si>
  <si>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</si>
  <si>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</si>
  <si>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</si>
  <si>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</si>
  <si>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</si>
  <si>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</si>
  <si>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</si>
  <si>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</si>
  <si>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</si>
  <si>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</si>
  <si>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</si>
  <si>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</si>
  <si>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</si>
  <si>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</si>
  <si>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</si>
  <si>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</si>
  <si>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</si>
  <si>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</si>
  <si>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</si>
  <si>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</si>
  <si>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</si>
  <si>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</si>
  <si>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</si>
  <si>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</si>
  <si>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</si>
  <si>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</si>
  <si>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</si>
  <si>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</si>
  <si>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</si>
  <si>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</si>
  <si>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</si>
  <si>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</si>
  <si>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</si>
  <si>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</si>
  <si>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</si>
  <si>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</si>
  <si>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</si>
  <si>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</si>
  <si>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</si>
  <si>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</si>
  <si>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</si>
  <si>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</si>
  <si>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</si>
  <si>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</si>
  <si>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</si>
  <si>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</si>
  <si>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</si>
  <si>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</si>
  <si>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</si>
  <si>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</si>
  <si>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</si>
  <si>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</si>
  <si>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</si>
  <si>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</si>
  <si>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</si>
  <si>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</si>
  <si>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</si>
  <si>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</si>
  <si>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</si>
  <si>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</si>
  <si>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</si>
  <si>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</si>
  <si>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</si>
  <si>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</si>
  <si>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</si>
  <si>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</si>
  <si>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</si>
  <si>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</si>
  <si>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</si>
  <si>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</si>
  <si>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</si>
  <si>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</si>
  <si>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</si>
  <si>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</si>
  <si>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</si>
  <si>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</si>
  <si>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</si>
  <si>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</si>
  <si>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</si>
  <si>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</si>
  <si>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</si>
  <si>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</si>
  <si>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</si>
  <si>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</si>
  <si>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</si>
  <si>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</si>
  <si>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</si>
  <si>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</si>
  <si>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</si>
  <si>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</si>
  <si>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</si>
  <si>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</si>
  <si>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</si>
  <si>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</si>
  <si>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</si>
  <si>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</si>
  <si>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</si>
  <si>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</si>
  <si>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</si>
  <si>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</si>
  <si>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</si>
  <si>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</si>
  <si>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</si>
  <si>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</si>
  <si>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</si>
  <si>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</si>
  <si>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</si>
  <si>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</si>
  <si>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</si>
  <si>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</si>
  <si>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</si>
  <si>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</si>
  <si>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</si>
  <si>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</si>
  <si>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</si>
  <si>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</si>
  <si>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</si>
  <si>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</si>
  <si>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</si>
  <si>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</si>
  <si>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</si>
  <si>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</si>
  <si>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</si>
  <si>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</si>
  <si>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</si>
  <si>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</si>
  <si>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</si>
  <si>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</si>
  <si>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</si>
  <si>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</si>
  <si>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</si>
  <si>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</si>
  <si>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</si>
  <si>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</si>
  <si>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</si>
  <si>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</si>
  <si>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</si>
  <si>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</si>
  <si>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</si>
  <si>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</si>
  <si>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</si>
  <si>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</si>
  <si>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</si>
  <si>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</si>
  <si>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</si>
  <si>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</si>
  <si>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</si>
  <si>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</si>
  <si>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</si>
  <si>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</si>
  <si>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</si>
  <si>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</si>
  <si>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</si>
  <si>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</si>
  <si>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</si>
  <si>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</si>
  <si>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</si>
  <si>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</si>
  <si>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</si>
  <si>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</si>
  <si>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</si>
  <si>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</si>
  <si>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</si>
  <si>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</si>
  <si>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</si>
  <si>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</si>
  <si>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</si>
  <si>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</si>
  <si>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</si>
  <si>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</si>
  <si>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</si>
  <si>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</si>
  <si>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</si>
  <si>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</si>
  <si>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</si>
  <si>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</si>
  <si>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</si>
  <si>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</si>
  <si>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</si>
  <si>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</si>
  <si>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</si>
  <si>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</si>
  <si>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</si>
  <si>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</si>
  <si>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</si>
  <si>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</si>
  <si>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</si>
  <si>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</si>
  <si>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</si>
  <si>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</si>
  <si>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</si>
  <si>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</si>
  <si>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</si>
  <si>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</si>
  <si>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</si>
  <si>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</si>
  <si>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</si>
  <si>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</si>
  <si>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</si>
  <si>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</si>
  <si>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</si>
  <si>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</si>
  <si>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</si>
  <si>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</si>
  <si>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</si>
  <si>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</si>
  <si>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</si>
  <si>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</si>
  <si>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</si>
  <si>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</si>
  <si>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</si>
  <si>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</si>
  <si>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</si>
  <si>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</si>
  <si>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</si>
  <si>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</si>
  <si>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</si>
  <si>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</si>
  <si>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</si>
  <si>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</si>
  <si>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</si>
  <si>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</si>
  <si>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</si>
  <si>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</si>
  <si>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</si>
  <si>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</si>
  <si>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</si>
  <si>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</si>
  <si>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</si>
  <si>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</si>
  <si>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</si>
  <si>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</si>
  <si>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</si>
  <si>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</si>
  <si>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</si>
  <si>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</si>
  <si>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</si>
  <si>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</si>
  <si>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</si>
  <si>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</si>
  <si>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</si>
  <si>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</si>
  <si>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</si>
  <si>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</si>
  <si>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</si>
  <si>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</si>
  <si>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</si>
  <si>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</si>
  <si>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</si>
  <si>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</si>
  <si>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</si>
  <si>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</si>
  <si>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</si>
  <si>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</si>
  <si>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</si>
  <si>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</si>
  <si>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</si>
  <si>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</si>
  <si>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</si>
  <si>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</si>
  <si>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</si>
  <si>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</si>
  <si>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</si>
  <si>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</si>
  <si>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</si>
  <si>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</si>
  <si>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</si>
  <si>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</si>
  <si>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</si>
  <si>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</si>
  <si>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</si>
  <si>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</si>
  <si>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</si>
  <si>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</si>
  <si>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</si>
  <si>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</si>
  <si>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</si>
  <si>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</si>
  <si>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</si>
  <si>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</si>
  <si>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</si>
  <si>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</si>
  <si>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</si>
  <si>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</si>
  <si>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</si>
  <si>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</si>
  <si>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</si>
  <si>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</si>
  <si>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</si>
  <si>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</si>
  <si>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</si>
  <si>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</si>
  <si>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</si>
  <si>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</si>
  <si>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</si>
  <si>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</si>
  <si>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</si>
  <si>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</si>
  <si>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</si>
  <si>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</si>
  <si>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</si>
  <si>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</si>
  <si>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</si>
  <si>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</si>
  <si>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</si>
  <si>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</si>
  <si>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</si>
  <si>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</si>
  <si>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</si>
  <si>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</si>
  <si>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</si>
  <si>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</si>
  <si>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</si>
  <si>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</si>
  <si>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</si>
  <si>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</si>
  <si>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</si>
  <si>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</si>
  <si>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</si>
  <si>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</si>
  <si>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</si>
  <si>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</si>
  <si>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</si>
  <si>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</si>
  <si>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</si>
  <si>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</si>
  <si>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</si>
  <si>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</si>
  <si>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</si>
  <si>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</si>
  <si>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</si>
  <si>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</si>
  <si>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</si>
  <si>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</si>
  <si>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</si>
  <si>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</si>
  <si>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</si>
  <si>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</si>
  <si>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</si>
  <si>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</si>
  <si>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</si>
  <si>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</si>
  <si>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</si>
  <si>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</si>
  <si>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</si>
  <si>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</si>
  <si>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</si>
  <si>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</si>
  <si>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</si>
  <si>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</si>
  <si>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</si>
  <si>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</si>
  <si>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</si>
  <si>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</si>
  <si>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</si>
  <si>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</si>
  <si>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</si>
  <si>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</si>
  <si>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</si>
  <si>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</si>
  <si>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</si>
  <si>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</si>
  <si>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</si>
  <si>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</si>
  <si>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</si>
  <si>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</si>
  <si>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</si>
  <si>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</si>
  <si>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</si>
  <si>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</si>
  <si>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</si>
  <si>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</si>
  <si>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</si>
  <si>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</si>
  <si>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</si>
  <si>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</si>
  <si>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</si>
  <si>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</si>
  <si>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</si>
  <si>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</si>
  <si>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</si>
  <si>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</si>
  <si>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</si>
  <si>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</si>
  <si>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</si>
  <si>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</si>
  <si>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</si>
  <si>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</si>
  <si>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</si>
  <si>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</si>
  <si>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</si>
  <si>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</si>
  <si>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</si>
  <si>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</si>
  <si>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</si>
  <si>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</si>
  <si>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</si>
  <si>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</si>
  <si>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</si>
  <si>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</si>
  <si>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</si>
  <si>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</si>
  <si>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</si>
  <si>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</si>
  <si>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</si>
  <si>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</si>
  <si>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</si>
  <si>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</si>
  <si>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</si>
  <si>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</si>
  <si>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</si>
  <si>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</si>
  <si>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</si>
  <si>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</si>
  <si>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</si>
  <si>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</si>
  <si>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</si>
  <si>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</si>
  <si>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</si>
  <si>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</si>
  <si>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</si>
  <si>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</si>
  <si>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</si>
  <si>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</si>
  <si>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</si>
  <si>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</si>
  <si>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</si>
  <si>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</si>
  <si>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</si>
  <si>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</si>
  <si>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</si>
  <si>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</si>
  <si>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</si>
  <si>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</si>
  <si>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</si>
  <si>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</si>
  <si>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</si>
  <si>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</si>
  <si>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</si>
  <si>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</si>
  <si>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</si>
  <si>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</si>
  <si>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</si>
  <si>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</si>
  <si>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</si>
  <si>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</si>
  <si>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</si>
  <si>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</si>
  <si>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</si>
  <si>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</si>
  <si>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</si>
  <si>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</si>
  <si>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</si>
  <si>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</si>
  <si>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</si>
  <si>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</si>
  <si>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</si>
  <si>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</si>
  <si>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</si>
  <si>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</si>
  <si>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</si>
  <si>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</si>
  <si>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</si>
  <si>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</si>
  <si>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</si>
  <si>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</si>
  <si>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</si>
  <si>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</si>
  <si>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</si>
  <si>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</si>
  <si>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</si>
  <si>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</si>
  <si>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</si>
  <si>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</si>
  <si>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</si>
  <si>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</si>
  <si>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</si>
  <si>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</si>
  <si>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</si>
  <si>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</si>
  <si>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</si>
  <si>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</si>
  <si>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</si>
  <si>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</si>
  <si>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</si>
  <si>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</si>
  <si>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</si>
  <si>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</si>
  <si>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</si>
  <si>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</si>
  <si>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</si>
  <si>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</si>
  <si>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</si>
  <si>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</si>
  <si>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</si>
  <si>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</si>
  <si>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</si>
  <si>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</si>
  <si>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</si>
  <si>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</si>
  <si>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</si>
  <si>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</si>
  <si>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</si>
  <si>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</si>
  <si>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</si>
  <si>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</si>
  <si>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</si>
  <si>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</si>
  <si>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</si>
  <si>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</si>
  <si>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</si>
  <si>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</si>
  <si>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</si>
  <si>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</si>
  <si>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</si>
  <si>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</si>
  <si>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</si>
  <si>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</si>
  <si>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</si>
  <si>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</si>
  <si>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</si>
  <si>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</si>
  <si>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</si>
  <si>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</si>
  <si>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</si>
  <si>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</si>
  <si>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</si>
  <si>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</si>
  <si>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</si>
  <si>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</si>
  <si>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</si>
  <si>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</si>
  <si>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</si>
  <si>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</si>
  <si>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</si>
  <si>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</si>
  <si>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</si>
  <si>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</si>
  <si>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</si>
  <si>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</si>
  <si>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</si>
  <si>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</si>
  <si>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</si>
  <si>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</si>
  <si>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</si>
  <si>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</si>
  <si>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</si>
  <si>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</si>
  <si>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</si>
  <si>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</si>
  <si>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</si>
  <si>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</si>
  <si>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</si>
  <si>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</si>
  <si>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</si>
  <si>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</si>
  <si>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</si>
  <si>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</si>
  <si>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</si>
  <si>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</si>
  <si>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</si>
  <si>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</si>
  <si>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</si>
  <si>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</si>
  <si>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</si>
  <si>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</si>
  <si>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</si>
  <si>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</si>
  <si>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</si>
  <si>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</si>
  <si>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</si>
  <si>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</si>
  <si>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</si>
  <si>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</si>
  <si>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</si>
  <si>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</si>
  <si>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</si>
  <si>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</si>
  <si>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</si>
  <si>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</si>
  <si>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</si>
  <si>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</si>
  <si>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</si>
  <si>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</si>
  <si>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</si>
  <si>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</si>
  <si>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</si>
  <si>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</si>
  <si>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</si>
  <si>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</si>
  <si>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</si>
  <si>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</si>
  <si>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</si>
  <si>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</si>
  <si>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</si>
  <si>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</si>
  <si>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</si>
  <si>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</si>
  <si>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</si>
  <si>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</si>
  <si>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</si>
  <si>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</si>
  <si>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</si>
  <si>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</si>
  <si>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</si>
  <si>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</si>
  <si>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</si>
  <si>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</si>
  <si>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</si>
  <si>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</si>
  <si>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</si>
  <si>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</si>
  <si>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</si>
  <si>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</si>
  <si>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</si>
  <si>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</si>
  <si>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</si>
  <si>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</si>
  <si>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</si>
  <si>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</si>
  <si>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</si>
  <si>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</si>
  <si>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</si>
  <si>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</si>
  <si>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</si>
  <si>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</si>
  <si>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</si>
  <si>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</si>
  <si>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</si>
  <si>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</si>
  <si>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</si>
  <si>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</si>
  <si>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</si>
  <si>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</si>
  <si>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</si>
  <si>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</si>
  <si>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</si>
  <si>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</si>
  <si>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</si>
  <si>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</si>
  <si>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</si>
  <si>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</si>
  <si>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</si>
  <si>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</si>
  <si>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</si>
  <si>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</si>
  <si>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</si>
  <si>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</si>
  <si>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</si>
  <si>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</si>
  <si>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</si>
  <si>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</si>
  <si>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</si>
  <si>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</si>
  <si>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</si>
  <si>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</si>
  <si>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</si>
  <si>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</si>
  <si>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</si>
  <si>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</si>
  <si>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</si>
  <si>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</si>
  <si>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</si>
  <si>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</si>
  <si>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</si>
  <si>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</si>
  <si>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</si>
  <si>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</si>
  <si>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</si>
  <si>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</si>
  <si>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</si>
  <si>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</si>
  <si>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</si>
  <si>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</si>
  <si>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</si>
  <si>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</si>
  <si>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</si>
  <si>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</si>
  <si>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</si>
  <si>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</si>
  <si>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</si>
  <si>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</si>
  <si>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</si>
  <si>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</si>
  <si>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</si>
  <si>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</si>
  <si>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</si>
  <si>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</si>
  <si>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</si>
  <si>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</si>
  <si>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</si>
  <si>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</si>
  <si>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</si>
  <si>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</si>
  <si>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</si>
  <si>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</si>
  <si>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</si>
  <si>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</si>
  <si>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</si>
  <si>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</si>
  <si>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</si>
  <si>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</si>
  <si>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</si>
  <si>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</si>
  <si>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</si>
  <si>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</si>
  <si>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</si>
  <si>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</si>
  <si>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</si>
  <si>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</si>
  <si>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</si>
  <si>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</si>
  <si>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</si>
  <si>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</si>
  <si>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</si>
  <si>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</si>
  <si>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</si>
  <si>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</si>
  <si>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</si>
  <si>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</si>
  <si>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</si>
  <si>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</si>
  <si>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</si>
  <si>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</si>
  <si>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</si>
  <si>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</si>
  <si>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</si>
  <si>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</si>
  <si>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</si>
  <si>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</si>
  <si>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</si>
  <si>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</si>
  <si>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</si>
  <si>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</si>
  <si>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</si>
  <si>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</si>
  <si>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</si>
  <si>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</si>
  <si>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</si>
  <si>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</si>
  <si>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</si>
  <si>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</si>
  <si>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</si>
  <si>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</si>
  <si>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</si>
  <si>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</si>
  <si>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</si>
  <si>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</si>
  <si>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</si>
  <si>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</si>
  <si>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</si>
  <si>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</si>
  <si>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</si>
  <si>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</si>
  <si>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</si>
  <si>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</si>
  <si>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</si>
  <si>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</si>
  <si>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</si>
  <si>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</si>
  <si>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</si>
  <si>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</si>
  <si>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</si>
  <si>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</si>
  <si>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</si>
  <si>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</si>
  <si>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</si>
  <si>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</si>
  <si>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</si>
  <si>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</si>
  <si>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</si>
  <si>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</si>
  <si>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</si>
  <si>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</si>
  <si>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</si>
  <si>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</si>
  <si>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</si>
  <si>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</si>
  <si>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</si>
  <si>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</si>
  <si>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</si>
  <si>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</si>
  <si>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</si>
  <si>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</si>
  <si>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</si>
  <si>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</si>
  <si>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</si>
  <si>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</si>
  <si>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</si>
  <si>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</si>
  <si>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</si>
  <si>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</si>
  <si>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</si>
  <si>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</si>
  <si>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</si>
  <si>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</si>
  <si>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</si>
  <si>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</si>
  <si>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</si>
  <si>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</si>
  <si>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</si>
  <si>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</si>
  <si>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</si>
  <si>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</si>
  <si>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</si>
  <si>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</si>
  <si>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</si>
  <si>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</si>
  <si>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</si>
  <si>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</si>
  <si>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</si>
  <si>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</si>
  <si>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</si>
  <si>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</si>
  <si>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</si>
  <si>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</si>
  <si>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</si>
  <si>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</si>
  <si>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</si>
  <si>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</si>
  <si>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</si>
  <si>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</si>
  <si>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</si>
  <si>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</si>
  <si>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</si>
  <si>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</si>
  <si>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</si>
  <si>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</si>
  <si>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</si>
  <si>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</si>
  <si>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</si>
  <si>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</si>
  <si>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</si>
  <si>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</si>
  <si>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</si>
  <si>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</si>
  <si>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</si>
  <si>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</si>
  <si>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</si>
  <si>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</si>
  <si>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</si>
  <si>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</si>
  <si>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</si>
  <si>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</si>
  <si>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</si>
  <si>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</si>
  <si>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</si>
  <si>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</si>
  <si>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</si>
  <si>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</si>
  <si>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</si>
  <si>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</si>
  <si>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</si>
  <si>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</si>
  <si>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</si>
  <si>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</si>
  <si>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</si>
  <si>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</si>
  <si>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</si>
  <si>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</si>
  <si>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</si>
  <si>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</si>
  <si>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</si>
  <si>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</si>
  <si>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</si>
  <si>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</si>
  <si>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</si>
  <si>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</si>
  <si>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</si>
  <si>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</si>
  <si>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</si>
  <si>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</si>
  <si>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</si>
  <si>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</si>
  <si>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</si>
  <si>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</si>
  <si>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</si>
  <si>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</si>
  <si>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</si>
  <si>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</si>
  <si>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</si>
  <si>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</si>
  <si>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</si>
  <si>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</si>
  <si>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</si>
  <si>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</si>
  <si>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</si>
  <si>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</si>
  <si>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</si>
  <si>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</si>
  <si>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</si>
  <si>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</si>
  <si>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</si>
  <si>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</si>
  <si>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</si>
  <si>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</si>
  <si>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</si>
  <si>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</si>
  <si>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</si>
  <si>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</si>
  <si>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</si>
  <si>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</si>
  <si>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</si>
  <si>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</si>
  <si>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</si>
  <si>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</si>
  <si>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</si>
  <si>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</si>
  <si>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</si>
  <si>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</si>
  <si>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</si>
  <si>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</si>
  <si>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</si>
  <si>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</si>
  <si>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</si>
  <si>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</si>
  <si>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</si>
  <si>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</si>
  <si>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</si>
  <si>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</si>
  <si>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</si>
  <si>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</si>
  <si>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</si>
  <si>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</si>
  <si>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</si>
  <si>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</si>
  <si>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</si>
  <si>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</si>
  <si>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</si>
  <si>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</si>
  <si>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</si>
  <si>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</si>
  <si>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</si>
  <si>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</si>
  <si>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</si>
  <si>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</si>
  <si>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</si>
  <si>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</si>
  <si>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</si>
  <si>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</si>
  <si>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</si>
  <si>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</si>
  <si>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</si>
  <si>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</si>
  <si>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</si>
  <si>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</si>
  <si>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</si>
  <si>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</si>
  <si>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</si>
  <si>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</si>
  <si>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</si>
  <si>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</si>
  <si>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</si>
  <si>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</si>
  <si>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</si>
  <si>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</si>
  <si>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</si>
  <si>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</si>
  <si>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</si>
  <si>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</si>
  <si>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</si>
  <si>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</si>
  <si>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</si>
  <si>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</si>
  <si>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</si>
  <si>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</si>
  <si>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</si>
  <si>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</si>
  <si>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</si>
  <si>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</si>
  <si>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</si>
  <si>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</si>
  <si>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</si>
  <si>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</si>
  <si>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</si>
  <si>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</si>
  <si>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</si>
  <si>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</si>
  <si>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</si>
  <si>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</si>
  <si>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</si>
  <si>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</si>
  <si>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</si>
  <si>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</si>
  <si>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</si>
  <si>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</si>
  <si>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</si>
  <si>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</si>
  <si>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</si>
  <si>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</si>
  <si>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</si>
  <si>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</si>
  <si>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</si>
  <si>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</si>
  <si>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</si>
  <si>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</si>
  <si>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</si>
  <si>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</si>
  <si>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</si>
  <si>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</si>
  <si>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</si>
  <si>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</si>
  <si>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</si>
  <si>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</si>
  <si>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</si>
  <si>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</si>
  <si>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</si>
  <si>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</si>
  <si>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</si>
  <si>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</si>
  <si>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</si>
  <si>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</si>
  <si>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</si>
  <si>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</si>
  <si>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</si>
  <si>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</si>
  <si>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</si>
  <si>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</si>
  <si>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</si>
  <si>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</si>
  <si>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</si>
  <si>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</si>
  <si>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</si>
  <si>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</si>
  <si>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</si>
  <si>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</si>
  <si>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</si>
  <si>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</si>
  <si>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</si>
  <si>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</si>
  <si>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</si>
  <si>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</si>
  <si>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</si>
  <si>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</si>
  <si>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</si>
  <si>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</si>
  <si>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</si>
  <si>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</si>
  <si>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</si>
  <si>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</si>
  <si>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</si>
  <si>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</si>
  <si>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</si>
  <si>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</si>
  <si>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</si>
  <si>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</si>
  <si>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</si>
  <si>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</si>
  <si>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</si>
  <si>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</si>
  <si>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</si>
  <si>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</si>
  <si>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</si>
  <si>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</si>
  <si>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</si>
  <si>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</si>
  <si>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</si>
  <si>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</si>
  <si>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</si>
  <si>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</si>
  <si>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</si>
  <si>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</si>
  <si>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</si>
  <si>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</si>
  <si>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</si>
  <si>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</si>
  <si>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</si>
  <si>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</si>
  <si>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</si>
  <si>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</si>
  <si>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</si>
  <si>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</si>
  <si>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</si>
  <si>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</si>
  <si>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</si>
  <si>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</si>
  <si>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</si>
  <si>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</si>
  <si>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</si>
  <si>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</si>
  <si>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</si>
  <si>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</si>
  <si>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</si>
  <si>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</si>
  <si>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</si>
  <si>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</si>
  <si>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</si>
  <si>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</si>
  <si>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</si>
  <si>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</si>
  <si>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</si>
  <si>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</si>
  <si>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</si>
  <si>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</si>
  <si>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</si>
  <si>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</si>
  <si>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</si>
  <si>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</si>
  <si>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</si>
  <si>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</si>
  <si>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</si>
  <si>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</si>
  <si>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</si>
  <si>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</si>
  <si>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</si>
  <si>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</si>
  <si>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</si>
  <si>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</si>
  <si>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</si>
  <si>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</si>
  <si>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</si>
  <si>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</si>
  <si>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</si>
  <si>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</si>
  <si>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</si>
  <si>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</si>
  <si>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</si>
  <si>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</si>
  <si>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</si>
  <si>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</si>
  <si>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</si>
  <si>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</si>
  <si>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</si>
  <si>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</si>
  <si>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</si>
  <si>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</si>
  <si>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</si>
  <si>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</si>
  <si>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</si>
  <si>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</si>
  <si>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</si>
  <si>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</si>
  <si>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</si>
  <si>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</si>
  <si>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</si>
  <si>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</si>
  <si>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</si>
  <si>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</si>
  <si>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</si>
  <si>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</si>
  <si>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</si>
  <si>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</si>
  <si>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</si>
  <si>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</si>
  <si>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</si>
  <si>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</si>
  <si>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</si>
  <si>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</si>
  <si>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</si>
  <si>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</si>
  <si>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</si>
  <si>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</si>
  <si>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</si>
  <si>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</si>
  <si>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</si>
  <si>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</si>
  <si>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</si>
  <si>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</si>
  <si>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</si>
  <si>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</si>
  <si>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</si>
  <si>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</si>
  <si>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</si>
  <si>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</si>
  <si>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</si>
  <si>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</si>
  <si>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</si>
  <si>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</si>
  <si>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</si>
  <si>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</si>
  <si>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</si>
  <si>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</si>
  <si>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</si>
  <si>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</si>
  <si>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</si>
  <si>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</si>
  <si>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</si>
  <si>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</si>
  <si>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</si>
  <si>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</si>
  <si>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</si>
  <si>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</si>
  <si>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</si>
  <si>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</si>
  <si>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</si>
  <si>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</si>
  <si>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</si>
  <si>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</si>
  <si>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</si>
  <si>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</si>
  <si>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</si>
  <si>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</si>
  <si>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</si>
  <si>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</si>
  <si>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</si>
  <si>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</si>
  <si>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</si>
  <si>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</si>
  <si>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</si>
  <si>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</si>
  <si>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</si>
  <si>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</si>
  <si>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</si>
  <si>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</si>
  <si>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</si>
  <si>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</si>
  <si>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</si>
  <si>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</si>
  <si>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</si>
  <si>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</si>
  <si>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</si>
  <si>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</si>
  <si>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</si>
  <si>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</si>
  <si>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</si>
  <si>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</si>
  <si>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</si>
  <si>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</si>
  <si>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</si>
  <si>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</si>
  <si>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</si>
  <si>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</si>
  <si>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</si>
  <si>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</si>
  <si>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</si>
  <si>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</si>
  <si>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</si>
  <si>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</si>
  <si>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</si>
  <si>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</si>
  <si>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</si>
  <si>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</si>
  <si>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</si>
  <si>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</si>
  <si>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</si>
  <si>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</si>
  <si>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</si>
  <si>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</si>
  <si>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</si>
  <si>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</si>
  <si>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</si>
  <si>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</si>
  <si>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</si>
  <si>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</si>
  <si>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</si>
  <si>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</si>
  <si>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</si>
  <si>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</si>
  <si>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</si>
  <si>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</si>
  <si>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</si>
  <si>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</si>
  <si>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</si>
  <si>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</si>
  <si>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</si>
  <si>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</si>
  <si>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</si>
  <si>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</si>
  <si>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</si>
  <si>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</si>
  <si>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</si>
  <si>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</si>
  <si>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</si>
  <si>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</si>
  <si>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</si>
  <si>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</si>
  <si>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</si>
  <si>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</si>
  <si>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</si>
  <si>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</si>
  <si>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</si>
  <si>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</si>
  <si>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</si>
  <si>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</si>
  <si>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</si>
  <si>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</si>
  <si>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</si>
  <si>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</si>
  <si>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</si>
  <si>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</si>
  <si>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</si>
  <si>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</si>
  <si>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</si>
  <si>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</si>
  <si>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</si>
  <si>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</si>
  <si>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</si>
  <si>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</si>
  <si>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</si>
  <si>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</si>
  <si>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</si>
  <si>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</si>
  <si>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</si>
  <si>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</si>
  <si>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</si>
  <si>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</si>
  <si>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</si>
  <si>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</si>
  <si>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</si>
  <si>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</si>
  <si>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</si>
  <si>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</si>
  <si>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</si>
  <si>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</si>
  <si>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</si>
  <si>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</si>
  <si>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</si>
  <si>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</si>
  <si>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</si>
  <si>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</si>
  <si>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</si>
  <si>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</si>
  <si>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</si>
  <si>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</si>
  <si>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</si>
  <si>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</si>
  <si>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</si>
  <si>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</si>
  <si>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</si>
  <si>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</si>
  <si>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</si>
  <si>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</si>
  <si>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</si>
  <si>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</si>
  <si>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</si>
  <si>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</si>
  <si>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</si>
  <si>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</si>
  <si>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</si>
  <si>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</si>
  <si>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</si>
  <si>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</si>
  <si>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</si>
  <si>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</si>
  <si>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</si>
  <si>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</si>
  <si>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</si>
  <si>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</si>
  <si>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</si>
  <si>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</si>
  <si>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</si>
  <si>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</si>
  <si>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</si>
  <si>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</si>
  <si>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</si>
  <si>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</si>
  <si>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</si>
  <si>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</si>
  <si>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</si>
  <si>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</si>
  <si>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</si>
  <si>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</si>
  <si>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</si>
  <si>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</si>
  <si>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</si>
  <si>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</si>
  <si>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</si>
  <si>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</si>
  <si>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</si>
  <si>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</si>
  <si>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</si>
  <si>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</si>
  <si>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</si>
  <si>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</si>
  <si>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</si>
  <si>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</si>
  <si>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</si>
  <si>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</si>
  <si>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</si>
  <si>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</si>
  <si>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</si>
  <si>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</si>
  <si>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</si>
  <si>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</si>
  <si>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</si>
  <si>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</si>
  <si>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</si>
  <si>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</si>
  <si>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</si>
  <si>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</si>
  <si>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</si>
  <si>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</si>
  <si>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</si>
  <si>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</si>
  <si>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</si>
  <si>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</si>
  <si>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</si>
  <si>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</si>
  <si>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</si>
  <si>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</si>
  <si>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</si>
  <si>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</si>
  <si>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</si>
  <si>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</si>
  <si>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</si>
  <si>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</si>
  <si>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</si>
  <si>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</si>
  <si>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</si>
  <si>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</si>
  <si>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</si>
  <si>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</si>
  <si>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</si>
  <si>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</si>
  <si>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</si>
  <si>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</si>
  <si>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</si>
  <si>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</si>
  <si>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</si>
  <si>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</si>
  <si>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</si>
  <si>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</si>
  <si>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</si>
  <si>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</si>
  <si>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</si>
  <si>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</si>
  <si>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</si>
  <si>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</si>
  <si>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</si>
  <si>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</si>
  <si>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</si>
  <si>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</si>
  <si>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</si>
  <si>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</si>
  <si>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</si>
  <si>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</si>
  <si>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</si>
  <si>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</si>
  <si>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</si>
  <si>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</si>
  <si>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</si>
  <si>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</si>
  <si>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</si>
  <si>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</si>
  <si>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</si>
  <si>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</si>
  <si>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</si>
  <si>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</si>
  <si>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</si>
  <si>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</si>
  <si>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</si>
  <si>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</si>
  <si>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</si>
  <si>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</si>
  <si>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</si>
  <si>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</si>
  <si>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</si>
  <si>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</si>
  <si>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</si>
  <si>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</si>
  <si>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</si>
  <si>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</si>
  <si>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</si>
  <si>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</si>
  <si>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</si>
  <si>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</si>
  <si>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</si>
  <si>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</si>
  <si>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</si>
  <si>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</si>
  <si>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</si>
  <si>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</si>
  <si>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</si>
  <si>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</si>
  <si>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</si>
  <si>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</si>
  <si>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</si>
  <si>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</si>
  <si>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</si>
  <si>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</si>
  <si>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</si>
  <si>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</si>
  <si>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</si>
  <si>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</si>
  <si>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</si>
  <si>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</si>
  <si>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</si>
  <si>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</si>
  <si>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</si>
  <si>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</si>
  <si>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</si>
  <si>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</si>
  <si>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</si>
  <si>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</si>
  <si>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</si>
  <si>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</si>
  <si>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</si>
  <si>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</si>
  <si>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</si>
  <si>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</si>
  <si>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</si>
  <si>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</si>
  <si>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</si>
  <si>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</si>
  <si>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</si>
  <si>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</si>
  <si>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</si>
  <si>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</si>
  <si>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</si>
  <si>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</si>
  <si>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</si>
  <si>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</si>
  <si>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</si>
  <si>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</si>
  <si>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</si>
  <si>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</si>
  <si>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</si>
  <si>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</si>
  <si>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</si>
  <si>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</si>
  <si>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</si>
  <si>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</si>
  <si>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</si>
  <si>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</si>
  <si>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</si>
  <si>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</si>
  <si>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</si>
  <si>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</si>
  <si>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</si>
  <si>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</si>
  <si>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</si>
  <si>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</si>
  <si>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</si>
  <si>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</si>
  <si>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</si>
  <si>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</si>
  <si>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</si>
  <si>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</si>
  <si>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</si>
  <si>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</si>
  <si>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</si>
  <si>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</si>
  <si>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</si>
  <si>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</si>
  <si>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</si>
  <si>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</si>
  <si>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</si>
  <si>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</si>
  <si>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</si>
  <si>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</si>
  <si>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</si>
  <si>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</si>
  <si>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</si>
  <si>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</si>
  <si>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</si>
  <si>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</si>
  <si>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</si>
  <si>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</si>
  <si>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</si>
  <si>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</si>
  <si>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</si>
  <si>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</si>
  <si>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</si>
  <si>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</si>
  <si>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</si>
  <si>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</si>
  <si>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</si>
  <si>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</si>
  <si>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</si>
  <si>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</si>
  <si>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</si>
  <si>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</si>
  <si>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</si>
  <si>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</si>
  <si>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</si>
  <si>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</si>
  <si>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</si>
  <si>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</si>
  <si>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</si>
  <si>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</si>
  <si>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</si>
  <si>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</si>
  <si>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</si>
  <si>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</si>
  <si>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</si>
  <si>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</si>
  <si>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</si>
  <si>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</si>
  <si>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</si>
  <si>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</si>
  <si>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</si>
  <si>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</si>
  <si>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</si>
  <si>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</si>
  <si>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</si>
  <si>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</si>
  <si>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</si>
  <si>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</si>
  <si>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</si>
  <si>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</si>
  <si>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</si>
  <si>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</si>
  <si>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</si>
  <si>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</si>
  <si>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</si>
  <si>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</si>
  <si>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</si>
  <si>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</si>
  <si>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</si>
  <si>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</si>
  <si>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</si>
  <si>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</si>
  <si>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</si>
  <si>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</si>
  <si>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</si>
  <si>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</si>
  <si>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</si>
  <si>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</si>
  <si>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</si>
  <si>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</si>
  <si>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</si>
  <si>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</si>
  <si>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</si>
  <si>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</si>
  <si>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</si>
  <si>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</si>
  <si>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</si>
  <si>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</si>
  <si>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</si>
  <si>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</si>
  <si>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</si>
  <si>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</si>
  <si>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</si>
  <si>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</si>
  <si>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</si>
  <si>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</si>
  <si>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</si>
  <si>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</si>
  <si>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</si>
  <si>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</si>
  <si>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</si>
  <si>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</si>
  <si>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</si>
  <si>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</si>
  <si>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</si>
  <si>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</si>
  <si>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</si>
  <si>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</si>
  <si>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</si>
  <si>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</si>
  <si>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</si>
  <si>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</si>
  <si>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</si>
  <si>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</si>
  <si>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</si>
  <si>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</si>
  <si>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</si>
  <si>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</si>
  <si>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</si>
  <si>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</si>
  <si>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</si>
  <si>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</si>
  <si>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</si>
  <si>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</si>
  <si>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</si>
  <si>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</si>
  <si>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</si>
  <si>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</si>
  <si>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</si>
  <si>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</si>
  <si>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</si>
  <si>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</si>
  <si>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</si>
  <si>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</si>
  <si>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</si>
  <si>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</si>
  <si>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</si>
  <si>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</si>
  <si>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</si>
  <si>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</si>
  <si>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</si>
  <si>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</si>
  <si>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</si>
  <si>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</si>
  <si>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</si>
  <si>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</si>
  <si>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</si>
  <si>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</si>
  <si>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</si>
  <si>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</si>
  <si>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</si>
  <si>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</si>
  <si>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</si>
  <si>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</si>
  <si>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</si>
  <si>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</si>
  <si>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</si>
  <si>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</si>
  <si>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</si>
  <si>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</si>
  <si>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</si>
  <si>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</si>
  <si>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</si>
  <si>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</si>
  <si>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</si>
  <si>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</si>
  <si>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</si>
  <si>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</si>
  <si>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</si>
  <si>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</si>
  <si>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</si>
  <si>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</si>
  <si>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</si>
  <si>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</si>
  <si>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</si>
  <si>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</si>
  <si>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</si>
  <si>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</si>
  <si>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</si>
  <si>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</si>
  <si>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</si>
  <si>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</si>
  <si>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</si>
  <si>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</si>
  <si>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</si>
  <si>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</si>
  <si>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</si>
  <si>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</si>
  <si>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</si>
  <si>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</si>
  <si>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</si>
  <si>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</si>
  <si>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</si>
  <si>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</si>
  <si>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</si>
  <si>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</si>
  <si>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</si>
  <si>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</si>
  <si>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</si>
  <si>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</si>
  <si>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</si>
  <si>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</si>
  <si>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</si>
  <si>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</si>
  <si>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</si>
  <si>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</si>
  <si>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</si>
  <si>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</si>
  <si>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</si>
  <si>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</si>
  <si>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</si>
  <si>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</si>
  <si>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</si>
  <si>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</si>
  <si>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</si>
  <si>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</si>
  <si>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</si>
  <si>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</si>
  <si>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</si>
  <si>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</si>
  <si>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</si>
  <si>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</si>
  <si>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</si>
  <si>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</si>
  <si>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</si>
  <si>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</si>
  <si>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</si>
  <si>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</si>
  <si>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</si>
  <si>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</si>
  <si>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</si>
  <si>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</si>
  <si>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</si>
  <si>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</si>
  <si>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</si>
  <si>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</si>
  <si>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</si>
  <si>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</si>
  <si>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</si>
  <si>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</si>
  <si>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</si>
  <si>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</si>
  <si>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</si>
  <si>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</si>
  <si>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</si>
  <si>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</si>
  <si>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</si>
  <si>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</si>
  <si>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</si>
  <si>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</si>
  <si>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</si>
  <si>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</si>
  <si>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</si>
  <si>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</si>
  <si>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</si>
  <si>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</si>
  <si>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</si>
  <si>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</si>
  <si>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</si>
  <si>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</si>
  <si>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</si>
  <si>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</si>
  <si>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</si>
  <si>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</si>
  <si>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</si>
  <si>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</si>
  <si>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</si>
  <si>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</si>
  <si>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</si>
  <si>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</si>
  <si>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</si>
  <si>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</si>
  <si>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</si>
  <si>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</si>
  <si>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</si>
  <si>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</si>
  <si>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</si>
  <si>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</si>
  <si>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</si>
  <si>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</si>
  <si>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</si>
  <si>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</si>
  <si>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</si>
  <si>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</si>
  <si>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</si>
  <si>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</si>
  <si>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</si>
  <si>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</si>
  <si>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</si>
  <si>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</si>
  <si>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</si>
  <si>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</si>
  <si>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</si>
  <si>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</si>
  <si>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</si>
  <si>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</si>
  <si>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</si>
  <si>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</si>
  <si>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</si>
  <si>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</si>
  <si>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</si>
  <si>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</si>
  <si>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</si>
  <si>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</si>
  <si>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</si>
  <si>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</si>
  <si>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</si>
  <si>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</si>
  <si>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</si>
  <si>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</si>
  <si>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</si>
  <si>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</si>
  <si>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</si>
  <si>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</si>
  <si>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</si>
  <si>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</si>
  <si>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</si>
  <si>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</si>
  <si>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</si>
  <si>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</si>
  <si>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</si>
  <si>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</si>
  <si>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</si>
  <si>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</si>
  <si>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</si>
  <si>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</si>
  <si>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</si>
  <si>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</si>
  <si>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</si>
  <si>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</si>
  <si>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</si>
  <si>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</si>
  <si>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</si>
  <si>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</si>
  <si>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</si>
  <si>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</si>
  <si>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</si>
  <si>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</si>
  <si>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</si>
  <si>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</si>
  <si>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</si>
  <si>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</si>
  <si>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</si>
  <si>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</si>
  <si>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</si>
  <si>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</si>
  <si>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</si>
  <si>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</si>
  <si>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</si>
  <si>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</si>
  <si>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</si>
  <si>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</si>
  <si>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</si>
  <si>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</si>
  <si>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</si>
  <si>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</si>
  <si>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</si>
  <si>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</si>
  <si>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</si>
  <si>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</si>
  <si>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</si>
  <si>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</si>
  <si>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</si>
  <si>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</si>
  <si>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</si>
  <si>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</si>
  <si>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</si>
  <si>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</si>
  <si>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</si>
  <si>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</si>
  <si>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</si>
  <si>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</si>
  <si>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</si>
  <si>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</si>
  <si>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</si>
  <si>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</si>
  <si>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</si>
  <si>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</si>
  <si>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</si>
  <si>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</si>
  <si>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</si>
  <si>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</si>
  <si>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</si>
  <si>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</si>
  <si>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</si>
  <si>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</si>
  <si>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</si>
  <si>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</si>
  <si>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</si>
  <si>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</si>
  <si>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</si>
  <si>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</si>
  <si>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</si>
  <si>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</si>
  <si>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</si>
  <si>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</si>
  <si>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</si>
  <si>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</si>
  <si>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</si>
  <si>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</si>
  <si>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</si>
  <si>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</si>
  <si>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</si>
  <si>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</si>
  <si>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</si>
  <si>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</si>
  <si>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</si>
  <si>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</si>
  <si>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</si>
  <si>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</si>
  <si>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</si>
  <si>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</si>
  <si>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</si>
  <si>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</si>
  <si>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</si>
  <si>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</si>
  <si>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</si>
  <si>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</si>
  <si>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</si>
  <si>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</si>
  <si>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</si>
  <si>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</si>
  <si>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</si>
  <si>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</si>
  <si>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</si>
  <si>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</si>
  <si>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</si>
  <si>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</si>
  <si>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</si>
  <si>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</si>
  <si>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</si>
  <si>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</si>
  <si>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</si>
  <si>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</si>
  <si>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</si>
  <si>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</si>
  <si>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</si>
  <si>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</si>
  <si>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</si>
  <si>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</si>
  <si>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</si>
  <si>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</si>
  <si>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</si>
  <si>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</si>
  <si>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</si>
  <si>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</si>
  <si>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</si>
  <si>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</si>
  <si>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</si>
  <si>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</si>
  <si>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</si>
  <si>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</si>
  <si>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</si>
  <si>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</si>
  <si>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</si>
  <si>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</si>
  <si>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</si>
  <si>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</si>
  <si>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</si>
  <si>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</si>
  <si>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</si>
  <si>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</si>
  <si>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</si>
  <si>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</si>
  <si>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</si>
  <si>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</si>
  <si>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</si>
  <si>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</si>
  <si>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</si>
  <si>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</si>
  <si>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</si>
  <si>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</si>
  <si>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</si>
  <si>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</si>
  <si>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</si>
  <si>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</si>
  <si>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</si>
  <si>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</si>
  <si>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</si>
  <si>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</si>
  <si>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</si>
  <si>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</si>
  <si>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</si>
  <si>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</si>
  <si>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</si>
  <si>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</si>
  <si>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</si>
  <si>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</si>
  <si>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</si>
  <si>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</si>
  <si>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</si>
  <si>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</si>
  <si>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</si>
  <si>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</si>
  <si>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</si>
  <si>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</si>
  <si>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</si>
  <si>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</si>
  <si>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</si>
  <si>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</si>
  <si>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</si>
  <si>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</si>
  <si>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</si>
  <si>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</si>
  <si>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</si>
  <si>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</si>
  <si>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</si>
  <si>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</si>
  <si>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</si>
  <si>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</si>
  <si>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</si>
  <si>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</si>
  <si>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</si>
  <si>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</si>
  <si>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</si>
  <si>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</si>
  <si>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</si>
  <si>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</si>
  <si>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</si>
  <si>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</si>
  <si>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</si>
  <si>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</si>
  <si>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</si>
  <si>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</si>
  <si>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</si>
  <si>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</si>
  <si>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</si>
  <si>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</si>
  <si>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</si>
  <si>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</si>
  <si>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</si>
  <si>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</si>
  <si>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</si>
  <si>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</si>
  <si>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</si>
  <si>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</si>
  <si>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</si>
  <si>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</si>
  <si>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</si>
  <si>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</si>
  <si>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</si>
  <si>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</si>
  <si>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</si>
  <si>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</si>
  <si>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</si>
  <si>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</si>
  <si>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</si>
  <si>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</si>
  <si>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</si>
  <si>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</si>
  <si>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</si>
  <si>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</si>
  <si>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</si>
  <si>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</si>
  <si>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</si>
  <si>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</si>
  <si>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</si>
  <si>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</si>
  <si>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</si>
  <si>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</si>
  <si>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</si>
  <si>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</si>
  <si>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</si>
  <si>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</si>
  <si>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</si>
  <si>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</si>
  <si>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</si>
  <si>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</si>
  <si>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</si>
  <si>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</si>
  <si>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</si>
  <si>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</si>
  <si>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</si>
  <si>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</si>
  <si>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</si>
  <si>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</si>
  <si>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</si>
  <si>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</si>
  <si>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</si>
  <si>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</si>
  <si>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</si>
  <si>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</si>
  <si>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</si>
  <si>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</si>
  <si>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</si>
  <si>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</si>
  <si>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</si>
  <si>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</si>
  <si>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</si>
  <si>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</si>
  <si>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</si>
  <si>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</si>
  <si>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</si>
  <si>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</si>
  <si>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</si>
  <si>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</si>
  <si>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</si>
  <si>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</si>
  <si>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</si>
  <si>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</si>
  <si>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</si>
  <si>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</si>
  <si>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</si>
  <si>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</si>
  <si>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</si>
  <si>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</si>
  <si>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</si>
  <si>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</si>
  <si>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</si>
  <si>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</si>
  <si>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</si>
  <si>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</si>
  <si>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</si>
  <si>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</si>
  <si>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</si>
  <si>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</si>
  <si>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</si>
  <si>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</si>
  <si>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</si>
  <si>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</si>
  <si>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</si>
  <si>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</si>
  <si>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</si>
  <si>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</si>
  <si>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</si>
  <si>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</si>
  <si>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</si>
  <si>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</si>
  <si>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</si>
  <si>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</si>
  <si>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</si>
  <si>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</si>
  <si>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</si>
  <si>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</si>
  <si>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</si>
  <si>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</si>
  <si>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</si>
  <si>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</si>
  <si>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</si>
  <si>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</si>
  <si>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</si>
  <si>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</si>
  <si>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</si>
  <si>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</si>
  <si>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</si>
  <si>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</si>
  <si>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</si>
  <si>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</si>
  <si>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</si>
  <si>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</si>
  <si>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</si>
  <si>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</si>
  <si>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</si>
  <si>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</si>
  <si>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</si>
  <si>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</si>
  <si>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</si>
  <si>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</si>
  <si>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</si>
  <si>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</si>
  <si>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</si>
  <si>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</si>
  <si>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</si>
  <si>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</si>
  <si>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</si>
  <si>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</si>
  <si>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</si>
  <si>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</si>
  <si>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</si>
  <si>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</si>
  <si>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</si>
  <si>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</si>
  <si>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</si>
  <si>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</si>
  <si>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</si>
  <si>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</si>
  <si>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</si>
  <si>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</si>
  <si>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</si>
  <si>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</si>
  <si>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</si>
  <si>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</si>
  <si>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</si>
  <si>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</si>
  <si>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</si>
  <si>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</si>
  <si>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</si>
  <si>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</si>
  <si>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</si>
  <si>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</si>
  <si>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</si>
  <si>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</si>
  <si>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</si>
  <si>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</si>
  <si>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</si>
  <si>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</si>
  <si>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</si>
  <si>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</si>
  <si>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</si>
  <si>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</si>
  <si>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</si>
  <si>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</si>
  <si>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</si>
  <si>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</si>
  <si>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</si>
  <si>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</si>
  <si>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</si>
  <si>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</si>
  <si>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</si>
  <si>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</si>
  <si>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</si>
  <si>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</si>
  <si>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</si>
  <si>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</si>
  <si>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</si>
  <si>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</si>
  <si>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</si>
  <si>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</si>
  <si>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</si>
  <si>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</si>
  <si>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</si>
  <si>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</si>
  <si>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</si>
  <si>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</si>
  <si>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</si>
  <si>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</si>
  <si>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</si>
  <si>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</si>
  <si>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</si>
  <si>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</si>
  <si>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</si>
  <si>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</si>
  <si>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</si>
  <si>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</si>
  <si>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</si>
  <si>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</si>
  <si>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</si>
  <si>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</si>
  <si>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</si>
  <si>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</si>
  <si>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</si>
  <si>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</si>
  <si>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</si>
  <si>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</si>
  <si>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</si>
  <si>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</si>
  <si>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</si>
  <si>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</si>
  <si>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</si>
  <si>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</si>
  <si>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</si>
  <si>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</si>
  <si>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</si>
  <si>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</si>
  <si>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</si>
  <si>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</si>
  <si>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</si>
  <si>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</si>
  <si>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</si>
  <si>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</si>
  <si>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</si>
  <si>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</si>
  <si>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</si>
  <si>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</si>
  <si>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</si>
  <si>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</si>
  <si>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</si>
  <si>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</si>
  <si>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</si>
  <si>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</si>
  <si>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</si>
  <si>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</si>
  <si>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</si>
  <si>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</si>
  <si>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</si>
  <si>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</si>
  <si>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</si>
  <si>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</si>
  <si>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</si>
  <si>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</si>
  <si>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</si>
  <si>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</si>
  <si>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</si>
  <si>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</si>
  <si>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</si>
  <si>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</si>
  <si>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</si>
  <si>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</si>
  <si>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</si>
  <si>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</si>
  <si>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</si>
  <si>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</si>
  <si>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</si>
  <si>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</si>
  <si>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</si>
  <si>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</si>
  <si>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</si>
  <si>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</si>
  <si>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</si>
  <si>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</si>
  <si>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</si>
  <si>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</si>
  <si>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</si>
  <si>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</si>
  <si>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</si>
  <si>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</si>
  <si>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</si>
  <si>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</si>
  <si>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</si>
  <si>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</si>
  <si>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</si>
  <si>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</si>
  <si>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</si>
  <si>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</si>
  <si>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</si>
  <si>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</si>
  <si>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</si>
  <si>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</si>
  <si>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</si>
  <si>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</si>
  <si>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</si>
  <si>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</si>
  <si>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</si>
  <si>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</si>
  <si>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</si>
  <si>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</si>
  <si>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</si>
  <si>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</si>
  <si>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</si>
  <si>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</si>
  <si>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</si>
  <si>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</si>
  <si>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</si>
  <si>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</si>
  <si>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</si>
  <si>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</si>
  <si>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</si>
  <si>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</si>
  <si>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</si>
  <si>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</si>
  <si>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</si>
  <si>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</si>
  <si>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</si>
  <si>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</si>
  <si>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</si>
  <si>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</si>
  <si>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</si>
  <si>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</si>
  <si>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</si>
  <si>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</si>
  <si>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</si>
  <si>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</si>
  <si>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</si>
  <si>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</si>
  <si>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</si>
  <si>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</si>
  <si>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</si>
  <si>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</si>
  <si>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</si>
  <si>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</si>
  <si>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</si>
  <si>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</si>
  <si>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</si>
  <si>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</si>
  <si>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</si>
  <si>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</si>
  <si>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</si>
  <si>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</si>
  <si>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</si>
  <si>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</si>
  <si>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</si>
  <si>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</si>
  <si>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</si>
  <si>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</si>
  <si>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</si>
  <si>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</si>
  <si>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</si>
  <si>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</si>
  <si>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</si>
  <si>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</si>
  <si>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</si>
  <si>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</si>
  <si>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</si>
  <si>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</si>
  <si>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</si>
  <si>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</si>
  <si>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</si>
  <si>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</si>
  <si>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</si>
  <si>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</si>
  <si>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</si>
  <si>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</si>
  <si>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</si>
  <si>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</si>
  <si>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</si>
  <si>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</si>
  <si>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</si>
  <si>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</si>
  <si>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</si>
  <si>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</si>
  <si>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</si>
  <si>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</si>
  <si>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</si>
  <si>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</si>
  <si>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</si>
  <si>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</si>
  <si>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</si>
  <si>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</si>
  <si>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</si>
  <si>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</si>
  <si>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</si>
  <si>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</si>
  <si>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</si>
  <si>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</si>
  <si>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</si>
  <si>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</si>
  <si>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</si>
  <si>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</si>
  <si>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</si>
  <si>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</si>
  <si>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</si>
  <si>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</si>
  <si>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</si>
  <si>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</si>
  <si>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</si>
  <si>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</si>
  <si>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</si>
  <si>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</si>
  <si>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</si>
  <si>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</si>
  <si>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</si>
  <si>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</si>
  <si>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</si>
  <si>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</si>
  <si>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</si>
  <si>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</si>
  <si>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</si>
  <si>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</si>
  <si>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</si>
  <si>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</si>
  <si>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</si>
  <si>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</si>
  <si>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</si>
  <si>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</si>
  <si>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</si>
  <si>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</si>
  <si>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</si>
  <si>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</si>
  <si>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</si>
  <si>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</si>
  <si>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</si>
  <si>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</si>
  <si>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</si>
  <si>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</si>
  <si>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</si>
  <si>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</si>
  <si>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</si>
  <si>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</si>
  <si>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</si>
  <si>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</si>
  <si>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</si>
  <si>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</si>
  <si>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</si>
  <si>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</si>
  <si>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</si>
  <si>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</si>
  <si>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</si>
  <si>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</si>
  <si>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</si>
  <si>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</si>
  <si>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</si>
  <si>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</si>
  <si>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</si>
  <si>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</si>
  <si>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</si>
  <si>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</si>
  <si>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</si>
  <si>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</si>
  <si>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</si>
  <si>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</si>
  <si>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</si>
  <si>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</si>
  <si>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</si>
  <si>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</si>
  <si>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</si>
  <si>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</si>
  <si>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</si>
  <si>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</si>
  <si>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</si>
  <si>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</si>
  <si>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</si>
  <si>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</si>
  <si>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</si>
  <si>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</si>
  <si>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</si>
  <si>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</si>
  <si>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</si>
  <si>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</si>
  <si>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</si>
  <si>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</si>
  <si>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</si>
  <si>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</si>
  <si>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</si>
  <si>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</si>
  <si>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</si>
  <si>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</si>
  <si>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</si>
  <si>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</si>
  <si>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</si>
  <si>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</si>
  <si>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</si>
  <si>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</si>
  <si>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</si>
  <si>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</si>
  <si>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</si>
  <si>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</si>
  <si>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</si>
  <si>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</si>
  <si>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</si>
  <si>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</si>
  <si>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</si>
  <si>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</si>
  <si>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</si>
  <si>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</si>
  <si>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</si>
  <si>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</si>
  <si>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</si>
  <si>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</si>
  <si>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</si>
  <si>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</si>
  <si>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</si>
  <si>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</si>
  <si>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</si>
  <si>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</si>
  <si>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</si>
  <si>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</si>
  <si>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</si>
  <si>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</si>
  <si>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</si>
  <si>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</si>
  <si>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</si>
  <si>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</si>
  <si>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</si>
  <si>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</si>
  <si>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</si>
  <si>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</si>
  <si>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</si>
  <si>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</si>
  <si>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</si>
  <si>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</si>
  <si>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</si>
  <si>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</si>
  <si>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</si>
  <si>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</si>
  <si>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</si>
  <si>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</si>
  <si>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</si>
  <si>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</si>
  <si>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</si>
  <si>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</si>
  <si>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</si>
  <si>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</si>
  <si>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</si>
  <si>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</si>
  <si>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</si>
  <si>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</si>
  <si>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</si>
  <si>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</si>
  <si>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</si>
  <si>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</si>
  <si>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</si>
  <si>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</si>
  <si>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</si>
  <si>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</si>
  <si>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</si>
  <si>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</si>
  <si>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</si>
  <si>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</si>
  <si>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</si>
  <si>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</si>
  <si>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</si>
  <si>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</si>
  <si>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</si>
  <si>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</si>
  <si>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</si>
  <si>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</si>
  <si>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</si>
  <si>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</si>
  <si>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</si>
  <si>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</si>
  <si>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</si>
  <si>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</si>
  <si>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</si>
  <si>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</si>
  <si>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</si>
  <si>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</si>
  <si>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</si>
  <si>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</si>
  <si>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</si>
  <si>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</si>
  <si>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</si>
  <si>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</si>
  <si>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</si>
  <si>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</si>
  <si>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</si>
  <si>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</si>
  <si>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</si>
  <si>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</si>
  <si>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</si>
  <si>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</si>
  <si>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</si>
  <si>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</si>
  <si>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</si>
  <si>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</si>
  <si>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</si>
  <si>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</si>
  <si>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</si>
  <si>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</si>
  <si>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</si>
  <si>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</si>
  <si>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</si>
  <si>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</si>
  <si>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</si>
  <si>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</si>
  <si>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</si>
  <si>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</si>
  <si>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</si>
  <si>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</si>
  <si>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</si>
  <si>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</si>
  <si>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</si>
  <si>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</si>
  <si>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</si>
  <si>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</si>
  <si>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</si>
  <si>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</si>
  <si>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</si>
  <si>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</si>
  <si>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</si>
  <si>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</si>
  <si>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</si>
  <si>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</si>
  <si>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</si>
  <si>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</si>
  <si>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</si>
  <si>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</si>
  <si>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</si>
  <si>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</si>
  <si>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</si>
  <si>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</si>
  <si>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</si>
  <si>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</si>
  <si>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</si>
  <si>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</si>
  <si>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</si>
  <si>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</si>
  <si>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</si>
  <si>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</si>
  <si>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</si>
  <si>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</si>
  <si>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</si>
  <si>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</si>
  <si>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</si>
  <si>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</si>
  <si>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</si>
  <si>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</si>
  <si>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</si>
  <si>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</si>
  <si>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</si>
  <si>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</si>
  <si>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</si>
  <si>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</si>
  <si>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</si>
  <si>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</si>
  <si>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</si>
  <si>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</si>
  <si>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</si>
  <si>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</si>
  <si>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</si>
  <si>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</si>
  <si>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</si>
  <si>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</si>
  <si>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</si>
  <si>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</si>
  <si>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</si>
  <si>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</si>
  <si>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</si>
  <si>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</si>
  <si>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</si>
  <si>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</si>
  <si>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</si>
  <si>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</si>
  <si>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</si>
  <si>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</si>
  <si>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</si>
  <si>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</si>
  <si>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</si>
  <si>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</si>
  <si>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</si>
  <si>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</si>
  <si>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</si>
  <si>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</si>
  <si>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</si>
  <si>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</si>
  <si>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</si>
  <si>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</si>
  <si>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</si>
  <si>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</si>
  <si>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</si>
  <si>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</si>
  <si>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</si>
  <si>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</si>
  <si>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</si>
  <si>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</si>
  <si>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</si>
  <si>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</si>
  <si>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</si>
  <si>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</si>
  <si>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</si>
  <si>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</si>
  <si>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</si>
  <si>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</si>
  <si>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</si>
  <si>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</si>
  <si>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</si>
  <si>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</si>
  <si>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</si>
  <si>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</si>
  <si>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</si>
  <si>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</si>
  <si>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</si>
  <si>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</si>
  <si>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</si>
  <si>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</si>
  <si>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</si>
  <si>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</si>
  <si>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</si>
  <si>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</si>
  <si>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</si>
  <si>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</si>
  <si>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</si>
  <si>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</si>
  <si>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</si>
  <si>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</si>
  <si>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</si>
  <si>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</si>
  <si>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</si>
  <si>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</si>
  <si>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</si>
  <si>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</si>
  <si>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</si>
  <si>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</si>
  <si>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</si>
  <si>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</si>
  <si>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</si>
  <si>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</si>
  <si>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</si>
  <si>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</si>
  <si>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</si>
  <si>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</si>
  <si>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</si>
  <si>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</si>
  <si>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</si>
  <si>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</si>
  <si>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</si>
  <si>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</si>
  <si>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</si>
  <si>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</si>
  <si>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</si>
  <si>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</si>
  <si>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</si>
  <si>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</si>
  <si>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</si>
  <si>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</si>
  <si>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</si>
  <si>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</si>
  <si>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</si>
  <si>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</si>
  <si>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</si>
  <si>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</si>
  <si>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</si>
  <si>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</si>
  <si>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</si>
  <si>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</si>
  <si>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</si>
  <si>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</si>
  <si>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</si>
  <si>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</si>
  <si>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</si>
  <si>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</si>
  <si>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</si>
  <si>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</si>
  <si>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</si>
  <si>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</si>
  <si>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</si>
  <si>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</si>
  <si>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</si>
  <si>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</si>
  <si>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</si>
  <si>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</si>
  <si>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</si>
  <si>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</si>
  <si>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</si>
  <si>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</si>
  <si>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</si>
  <si>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</si>
  <si>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</si>
  <si>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</si>
  <si>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</si>
  <si>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</si>
  <si>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</si>
  <si>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</si>
  <si>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</si>
  <si>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</si>
  <si>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</si>
  <si>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</si>
  <si>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</si>
  <si>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</si>
  <si>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</si>
  <si>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</si>
  <si>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</si>
  <si>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</si>
  <si>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</si>
  <si>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</si>
  <si>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</si>
  <si>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</si>
  <si>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</si>
  <si>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</si>
  <si>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</si>
  <si>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</si>
  <si>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</si>
  <si>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</si>
  <si>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</si>
  <si>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</si>
  <si>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</si>
  <si>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</si>
  <si>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</si>
  <si>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</si>
  <si>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</si>
  <si>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</si>
  <si>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</si>
  <si>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</si>
  <si>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</si>
  <si>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</si>
  <si>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</si>
  <si>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</si>
  <si>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</si>
  <si>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</si>
  <si>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</si>
  <si>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</si>
  <si>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</si>
  <si>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</si>
  <si>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</si>
  <si>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</si>
  <si>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</si>
  <si>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</si>
  <si>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</si>
  <si>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</si>
  <si>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</si>
  <si>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</si>
  <si>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</si>
  <si>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</si>
  <si>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</si>
  <si>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</si>
  <si>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</si>
  <si>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</si>
  <si>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</si>
  <si>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</si>
  <si>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</si>
  <si>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</si>
  <si>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</si>
  <si>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</si>
  <si>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</si>
  <si>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</si>
  <si>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</si>
  <si>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</si>
  <si>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</si>
  <si>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</si>
  <si>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</si>
  <si>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</si>
  <si>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</si>
  <si>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</si>
  <si>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</si>
  <si>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</si>
  <si>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</si>
  <si>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</si>
  <si>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</si>
  <si>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</si>
  <si>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</si>
  <si>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</si>
  <si>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</si>
  <si>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</si>
  <si>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</si>
  <si>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</si>
  <si>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</si>
  <si>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</si>
  <si>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</si>
  <si>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</si>
  <si>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</si>
  <si>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</si>
  <si>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</si>
  <si>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</si>
  <si>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</si>
  <si>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</si>
  <si>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</si>
  <si>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</si>
  <si>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</si>
  <si>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</si>
  <si>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</si>
  <si>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</si>
  <si>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</si>
  <si>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</si>
  <si>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</si>
  <si>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</si>
  <si>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</si>
  <si>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</si>
  <si>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</si>
  <si>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</si>
  <si>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</si>
  <si>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</si>
  <si>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</si>
  <si>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</si>
  <si>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</si>
  <si>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</si>
  <si>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</si>
  <si>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</si>
  <si>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</si>
  <si>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</si>
  <si>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</si>
  <si>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</si>
  <si>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</si>
  <si>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</si>
  <si>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</si>
  <si>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</si>
  <si>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</si>
  <si>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</si>
  <si>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</si>
  <si>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</si>
  <si>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</si>
  <si>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</si>
  <si>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</si>
  <si>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</si>
  <si>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</si>
  <si>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</si>
  <si>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</si>
  <si>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</si>
  <si>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</si>
  <si>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</si>
  <si>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</si>
  <si>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</si>
  <si>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</si>
  <si>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</si>
  <si>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</si>
  <si>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</si>
  <si>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</si>
  <si>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</si>
  <si>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</si>
  <si>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</si>
  <si>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</si>
  <si>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</si>
  <si>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</si>
  <si>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</si>
  <si>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</si>
  <si>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</si>
  <si>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</si>
  <si>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</si>
  <si>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</si>
  <si>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</si>
  <si>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</si>
  <si>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</si>
  <si>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</si>
  <si>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</si>
  <si>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</si>
  <si>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</si>
  <si>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</si>
  <si>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</si>
  <si>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</si>
  <si>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</si>
  <si>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</si>
  <si>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</si>
  <si>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</si>
  <si>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</si>
  <si>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</si>
  <si>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</si>
  <si>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</si>
  <si>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</si>
  <si>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</si>
  <si>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</si>
  <si>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</si>
  <si>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</si>
  <si>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</si>
  <si>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</si>
  <si>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</si>
  <si>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</si>
  <si>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</si>
  <si>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</si>
  <si>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</si>
  <si>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</si>
  <si>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</si>
  <si>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</si>
  <si>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</si>
  <si>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</si>
  <si>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</si>
  <si>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</si>
  <si>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</si>
  <si>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</si>
  <si>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</si>
  <si>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</si>
  <si>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</si>
  <si>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</si>
  <si>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</si>
  <si>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</si>
  <si>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</si>
  <si>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</si>
  <si>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</si>
  <si>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</si>
  <si>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</si>
  <si>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</si>
  <si>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</si>
  <si>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</si>
  <si>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</si>
  <si>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</si>
  <si>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</si>
  <si>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</si>
  <si>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</si>
  <si>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</si>
  <si>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</si>
  <si>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</si>
  <si>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</si>
  <si>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</si>
  <si>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</si>
  <si>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</si>
  <si>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</si>
  <si>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</si>
  <si>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</si>
  <si>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</si>
  <si>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</si>
  <si>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</si>
  <si>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</si>
  <si>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</si>
  <si>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</si>
  <si>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</si>
  <si>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</si>
  <si>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</si>
  <si>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</si>
  <si>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</si>
  <si>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</si>
  <si>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</si>
  <si>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</si>
  <si>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</si>
  <si>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</si>
  <si>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</si>
  <si>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</si>
  <si>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</si>
  <si>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</si>
  <si>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</si>
  <si>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</si>
  <si>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</si>
  <si>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</si>
  <si>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</si>
  <si>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</si>
  <si>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</si>
  <si>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</si>
  <si>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</si>
  <si>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</si>
  <si>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</si>
  <si>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</si>
  <si>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</si>
  <si>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</si>
  <si>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</si>
  <si>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</si>
  <si>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</si>
  <si>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</si>
  <si>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</si>
  <si>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</si>
  <si>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</si>
  <si>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</si>
  <si>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</si>
  <si>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</si>
  <si>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</si>
  <si>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</si>
  <si>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</si>
  <si>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</si>
  <si>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</si>
  <si>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</si>
  <si>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</si>
  <si>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</si>
  <si>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</si>
  <si>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</si>
  <si>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</si>
  <si>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</si>
  <si>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</si>
  <si>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</si>
  <si>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</si>
  <si>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</si>
  <si>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</si>
  <si>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</si>
  <si>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</si>
  <si>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</si>
  <si>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</si>
  <si>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</si>
  <si>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</si>
  <si>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</si>
  <si>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</si>
  <si>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</si>
  <si>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</si>
  <si>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</si>
  <si>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</si>
  <si>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</si>
  <si>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</si>
  <si>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</si>
  <si>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</si>
  <si>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</si>
  <si>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</si>
  <si>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</si>
  <si>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</si>
  <si>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</si>
  <si>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</si>
  <si>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</si>
  <si>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</si>
  <si>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</si>
  <si>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</si>
  <si>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</si>
  <si>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</si>
  <si>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</si>
  <si>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</si>
  <si>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</si>
  <si>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</si>
  <si>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</si>
  <si>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</si>
  <si>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</si>
  <si>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</si>
  <si>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</si>
  <si>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</si>
  <si>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</si>
  <si>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</si>
  <si>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</si>
  <si>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</si>
  <si>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</si>
  <si>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</si>
  <si>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</si>
  <si>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</si>
  <si>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</si>
  <si>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</si>
  <si>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</si>
  <si>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</si>
  <si>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</si>
  <si>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</si>
  <si>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</si>
  <si>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</si>
  <si>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</si>
  <si>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</si>
  <si>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</si>
  <si>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</si>
  <si>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</si>
  <si>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</si>
  <si>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</si>
  <si>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</si>
  <si>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</si>
  <si>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</si>
  <si>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</si>
  <si>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</si>
  <si>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</si>
  <si>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</si>
  <si>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</si>
  <si>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</si>
  <si>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</si>
  <si>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</si>
  <si>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</si>
  <si>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</si>
  <si>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</si>
  <si>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</si>
  <si>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</si>
  <si>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</si>
  <si>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</si>
  <si>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</si>
  <si>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</si>
  <si>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</si>
  <si>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</si>
  <si>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</si>
  <si>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</si>
  <si>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</si>
  <si>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</si>
  <si>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</si>
  <si>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</si>
  <si>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</si>
  <si>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</si>
  <si>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</si>
  <si>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</si>
  <si>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</si>
  <si>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</si>
  <si>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</si>
  <si>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</si>
  <si>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</si>
  <si>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</si>
  <si>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</si>
  <si>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</si>
  <si>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</si>
  <si>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</si>
  <si>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</si>
  <si>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</si>
  <si>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</si>
  <si>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</si>
  <si>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</si>
  <si>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</si>
  <si>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</si>
  <si>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</si>
  <si>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</si>
  <si>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</si>
  <si>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</si>
  <si>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</si>
  <si>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</si>
  <si>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</si>
  <si>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</si>
  <si>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</si>
  <si>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</si>
  <si>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</si>
  <si>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</si>
  <si>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</si>
  <si>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</si>
  <si>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</si>
  <si>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</si>
  <si>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</si>
  <si>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</si>
  <si>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</si>
  <si>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</si>
  <si>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</si>
  <si>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</si>
  <si>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</si>
  <si>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</si>
  <si>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</si>
  <si>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</si>
  <si>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</si>
  <si>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</si>
  <si>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</si>
  <si>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</si>
  <si>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</si>
  <si>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</si>
  <si>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</si>
  <si>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</si>
  <si>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</si>
  <si>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</si>
  <si>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</si>
  <si>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</si>
  <si>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</si>
  <si>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</si>
  <si>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</si>
  <si>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</si>
  <si>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</si>
  <si>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</si>
  <si>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</si>
  <si>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</si>
  <si>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</si>
  <si>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</si>
  <si>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</si>
  <si>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</si>
  <si>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</si>
  <si>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</si>
  <si>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</si>
  <si>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</si>
  <si>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</si>
  <si>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</si>
  <si>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</si>
  <si>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</si>
  <si>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</si>
  <si>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</si>
  <si>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</si>
  <si>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</si>
  <si>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</si>
  <si>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</si>
  <si>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</si>
  <si>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</si>
  <si>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</si>
  <si>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</si>
  <si>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</si>
  <si>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</si>
  <si>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</si>
  <si>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</si>
  <si>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</si>
  <si>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</si>
  <si>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</si>
  <si>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</si>
  <si>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</si>
  <si>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</si>
  <si>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</si>
  <si>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</si>
  <si>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</si>
  <si>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</si>
  <si>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</si>
  <si>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</si>
  <si>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</si>
  <si>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</si>
  <si>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</si>
  <si>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</si>
  <si>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</si>
  <si>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</si>
  <si>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</si>
  <si>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</si>
  <si>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</si>
  <si>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</si>
  <si>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</si>
  <si>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</si>
  <si>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</si>
  <si>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</si>
  <si>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</si>
  <si>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</si>
  <si>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</si>
  <si>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</si>
  <si>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</si>
  <si>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</si>
  <si>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</si>
  <si>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</si>
  <si>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</si>
  <si>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</si>
  <si>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</si>
  <si>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</si>
  <si>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</si>
  <si>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</si>
  <si>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</si>
  <si>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</si>
  <si>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</si>
  <si>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</si>
  <si>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</si>
  <si>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</si>
  <si>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</si>
  <si>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</si>
  <si>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</si>
  <si>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</si>
  <si>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</si>
  <si>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</si>
  <si>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</si>
  <si>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</si>
  <si>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</si>
  <si>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</si>
  <si>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</si>
  <si>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</si>
  <si>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</si>
  <si>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</si>
  <si>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</si>
  <si>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</si>
  <si>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</si>
  <si>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</si>
  <si>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</si>
  <si>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</si>
  <si>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</si>
  <si>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</si>
  <si>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</si>
  <si>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</si>
  <si>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</si>
  <si>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</si>
  <si>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</si>
  <si>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</si>
  <si>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</si>
  <si>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</si>
  <si>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</si>
  <si>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</si>
  <si>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</si>
  <si>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</si>
  <si>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</si>
  <si>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</si>
  <si>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</si>
  <si>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</si>
  <si>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</si>
  <si>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</si>
  <si>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</si>
  <si>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</si>
  <si>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</si>
  <si>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</si>
  <si>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</si>
  <si>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</si>
  <si>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</si>
  <si>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</si>
  <si>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</si>
  <si>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</si>
  <si>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</si>
  <si>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</si>
  <si>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</si>
  <si>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</si>
  <si>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</si>
  <si>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</si>
  <si>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</si>
  <si>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</si>
  <si>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Standard</t>
  </si>
  <si>
    <t>New nodes</t>
  </si>
  <si>
    <t>moves</t>
  </si>
  <si>
    <t>new nodes</t>
  </si>
  <si>
    <t>PL10N08020</t>
  </si>
  <si>
    <t>PL10N09030</t>
  </si>
  <si>
    <t>CH65Z03104</t>
  </si>
  <si>
    <t>DE50Z03114</t>
  </si>
  <si>
    <t>SE50Z03104</t>
  </si>
  <si>
    <t>EG50Z03104</t>
  </si>
  <si>
    <t>BE50Z03104</t>
  </si>
  <si>
    <t>CZ50Z03104</t>
  </si>
  <si>
    <t>NL50Z03106</t>
  </si>
  <si>
    <t>AT50R03104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</si>
  <si>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</si>
  <si>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</si>
  <si>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</si>
  <si>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</si>
  <si>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</si>
  <si>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</si>
  <si>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</si>
  <si>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</si>
  <si>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</si>
  <si>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</si>
  <si>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</si>
  <si>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</si>
  <si>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</si>
  <si>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</si>
  <si>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</si>
  <si>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</si>
  <si>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</si>
  <si>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</si>
  <si>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</si>
  <si>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</si>
  <si>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</si>
  <si>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</si>
  <si>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</si>
  <si>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</si>
  <si>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</si>
  <si>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</si>
  <si>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</si>
  <si>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</si>
  <si>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</si>
  <si>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</si>
  <si>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</si>
  <si>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</si>
  <si>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</si>
  <si>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</si>
  <si>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</si>
  <si>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</si>
  <si>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</si>
  <si>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</si>
  <si>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</si>
  <si>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</si>
  <si>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</si>
  <si>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</si>
  <si>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</si>
  <si>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</si>
  <si>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</si>
  <si>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</si>
  <si>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</si>
  <si>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</si>
  <si>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</si>
  <si>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</si>
  <si>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</si>
  <si>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</si>
  <si>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</si>
  <si>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</si>
  <si>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</si>
  <si>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</si>
  <si>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</si>
  <si>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</si>
  <si>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</si>
  <si>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</si>
  <si>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</si>
  <si>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</si>
  <si>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</si>
  <si>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</si>
  <si>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</si>
  <si>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</si>
  <si>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</si>
  <si>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</si>
  <si>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</si>
  <si>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</si>
  <si>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</si>
  <si>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</si>
  <si>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</si>
  <si>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</si>
  <si>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</si>
  <si>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</si>
  <si>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</si>
  <si>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</si>
  <si>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</si>
  <si>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</si>
  <si>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</si>
  <si>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</si>
  <si>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</si>
  <si>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</si>
  <si>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</si>
  <si>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</si>
  <si>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</si>
  <si>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</si>
  <si>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</si>
  <si>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</si>
  <si>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</si>
  <si>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</si>
  <si>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</si>
  <si>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</si>
  <si>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</si>
  <si>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</si>
  <si>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</si>
  <si>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</si>
  <si>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</si>
  <si>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</si>
  <si>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</si>
  <si>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</si>
  <si>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</si>
  <si>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</si>
  <si>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</si>
  <si>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</si>
  <si>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</si>
  <si>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</si>
  <si>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</si>
  <si>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</si>
  <si>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</si>
  <si>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</si>
  <si>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</si>
  <si>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</si>
  <si>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</si>
  <si>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H0001</t>
  </si>
  <si>
    <t>H0002</t>
  </si>
  <si>
    <t>H0003</t>
  </si>
  <si>
    <t>H0004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</si>
  <si>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</si>
  <si>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</si>
  <si>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</si>
  <si>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</si>
  <si>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</si>
  <si>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</si>
  <si>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</si>
  <si>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</si>
  <si>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</si>
  <si>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</si>
  <si>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</si>
  <si>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H001</t>
  </si>
  <si>
    <t>H002</t>
  </si>
  <si>
    <t>H003</t>
  </si>
  <si>
    <t>H004</t>
  </si>
  <si>
    <t>H005</t>
  </si>
  <si>
    <t>H006</t>
  </si>
  <si>
    <t>H007</t>
  </si>
  <si>
    <t>H008</t>
  </si>
  <si>
    <t>H009</t>
  </si>
  <si>
    <t>H010</t>
  </si>
  <si>
    <t>H011</t>
  </si>
  <si>
    <t>H012</t>
  </si>
  <si>
    <t>H013</t>
  </si>
  <si>
    <t>H014</t>
  </si>
  <si>
    <t>H015</t>
  </si>
  <si>
    <t>H016</t>
  </si>
  <si>
    <t>H017</t>
  </si>
  <si>
    <t>H018</t>
  </si>
  <si>
    <t>H019</t>
  </si>
  <si>
    <t>H020</t>
  </si>
  <si>
    <t>H021</t>
  </si>
  <si>
    <t>H022</t>
  </si>
  <si>
    <t>H023</t>
  </si>
  <si>
    <t>H024</t>
  </si>
  <si>
    <t>H025</t>
  </si>
  <si>
    <t>H026</t>
  </si>
  <si>
    <t>H027</t>
  </si>
  <si>
    <t>H028</t>
  </si>
  <si>
    <t>H029</t>
  </si>
  <si>
    <t>H030</t>
  </si>
  <si>
    <t>H031</t>
  </si>
  <si>
    <t>H032</t>
  </si>
  <si>
    <t>H033</t>
  </si>
  <si>
    <t>H034</t>
  </si>
  <si>
    <t>H035</t>
  </si>
  <si>
    <t>H036</t>
  </si>
  <si>
    <t>H037</t>
  </si>
  <si>
    <t>H038</t>
  </si>
  <si>
    <t>H039</t>
  </si>
  <si>
    <t>H040</t>
  </si>
  <si>
    <t>H041</t>
  </si>
  <si>
    <t>H042</t>
  </si>
  <si>
    <t>H043</t>
  </si>
  <si>
    <t>H044</t>
  </si>
  <si>
    <t>H045</t>
  </si>
  <si>
    <t>H046</t>
  </si>
  <si>
    <t>H047</t>
  </si>
  <si>
    <t>H048</t>
  </si>
  <si>
    <t>H049</t>
  </si>
  <si>
    <t>H050</t>
  </si>
  <si>
    <t>H051</t>
  </si>
  <si>
    <t>H052</t>
  </si>
  <si>
    <t>H053</t>
  </si>
  <si>
    <t>H054</t>
  </si>
  <si>
    <t>H055</t>
  </si>
  <si>
    <t>H056</t>
  </si>
  <si>
    <t>H057</t>
  </si>
  <si>
    <t>H058</t>
  </si>
  <si>
    <t>H059</t>
  </si>
  <si>
    <t>H060</t>
  </si>
  <si>
    <t>H061</t>
  </si>
  <si>
    <t>H062</t>
  </si>
  <si>
    <t>H063</t>
  </si>
  <si>
    <t>H064</t>
  </si>
  <si>
    <t>H065</t>
  </si>
  <si>
    <t>H066</t>
  </si>
  <si>
    <t>H067</t>
  </si>
  <si>
    <t>H068</t>
  </si>
  <si>
    <t>H069</t>
  </si>
  <si>
    <t>H070</t>
  </si>
  <si>
    <t>H071</t>
  </si>
  <si>
    <t>H072</t>
  </si>
  <si>
    <t>H073</t>
  </si>
  <si>
    <t>H074</t>
  </si>
  <si>
    <t>H075</t>
  </si>
  <si>
    <t>H076</t>
  </si>
  <si>
    <t>H077</t>
  </si>
  <si>
    <t>H078</t>
  </si>
  <si>
    <t>H079</t>
  </si>
  <si>
    <t>H080</t>
  </si>
  <si>
    <t>H081</t>
  </si>
  <si>
    <t>H082</t>
  </si>
  <si>
    <t>H083</t>
  </si>
  <si>
    <t>H084</t>
  </si>
  <si>
    <t>H085</t>
  </si>
  <si>
    <t>H086</t>
  </si>
  <si>
    <t>H087</t>
  </si>
  <si>
    <t>H088</t>
  </si>
  <si>
    <t>H089</t>
  </si>
  <si>
    <t>H090</t>
  </si>
  <si>
    <t>H091</t>
  </si>
  <si>
    <t>H092</t>
  </si>
  <si>
    <t>H093</t>
  </si>
  <si>
    <t>H094</t>
  </si>
  <si>
    <t>H095</t>
  </si>
  <si>
    <t>H096</t>
  </si>
  <si>
    <t>H097</t>
  </si>
  <si>
    <t>H098</t>
  </si>
  <si>
    <t>H099</t>
  </si>
  <si>
    <t>H100</t>
  </si>
  <si>
    <t>H101</t>
  </si>
  <si>
    <t>H102</t>
  </si>
  <si>
    <t>H103</t>
  </si>
  <si>
    <t>H104</t>
  </si>
  <si>
    <t>H105</t>
  </si>
  <si>
    <t>H106</t>
  </si>
  <si>
    <t>H107</t>
  </si>
  <si>
    <t>H108</t>
  </si>
  <si>
    <t>H109</t>
  </si>
  <si>
    <t>H110</t>
  </si>
  <si>
    <t>H111</t>
  </si>
  <si>
    <t>H112</t>
  </si>
  <si>
    <t>H113</t>
  </si>
  <si>
    <t>H114</t>
  </si>
  <si>
    <t>H115</t>
  </si>
  <si>
    <t>H116</t>
  </si>
  <si>
    <t>H117</t>
  </si>
  <si>
    <t>H118</t>
  </si>
  <si>
    <t>H119</t>
  </si>
  <si>
    <t>H120</t>
  </si>
  <si>
    <t>H121</t>
  </si>
  <si>
    <t>H122</t>
  </si>
  <si>
    <t>H123</t>
  </si>
  <si>
    <t>H124</t>
  </si>
  <si>
    <t>H125</t>
  </si>
  <si>
    <t>H126</t>
  </si>
  <si>
    <t>H127</t>
  </si>
  <si>
    <t>H128</t>
  </si>
  <si>
    <t>H129</t>
  </si>
  <si>
    <t>H130</t>
  </si>
  <si>
    <t>H131</t>
  </si>
  <si>
    <t>H132</t>
  </si>
  <si>
    <t>H133</t>
  </si>
  <si>
    <t>H134</t>
  </si>
  <si>
    <t>H135</t>
  </si>
  <si>
    <t>H136</t>
  </si>
  <si>
    <t>H137</t>
  </si>
  <si>
    <t>H138</t>
  </si>
  <si>
    <t>H139</t>
  </si>
  <si>
    <t>H140</t>
  </si>
  <si>
    <t>H141</t>
  </si>
  <si>
    <t>H142</t>
  </si>
  <si>
    <t>H143</t>
  </si>
  <si>
    <t>H144</t>
  </si>
  <si>
    <t>H145</t>
  </si>
  <si>
    <t>H146</t>
  </si>
  <si>
    <t>H147</t>
  </si>
  <si>
    <t>H148</t>
  </si>
  <si>
    <t>H149</t>
  </si>
  <si>
    <t>H150</t>
  </si>
  <si>
    <t>H151</t>
  </si>
  <si>
    <t>H152</t>
  </si>
  <si>
    <t>H153</t>
  </si>
  <si>
    <t>H154</t>
  </si>
  <si>
    <t>Global Demand Planning Local_1022</t>
  </si>
  <si>
    <t>H000000650 Global Demand Planning Local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</si>
  <si>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</si>
  <si>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</si>
  <si>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</si>
  <si>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</si>
  <si>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</si>
  <si>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</si>
  <si>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</si>
  <si>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</si>
  <si>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</si>
  <si>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</si>
  <si>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</si>
  <si>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</si>
  <si>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</si>
  <si>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</si>
  <si>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</si>
  <si>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</si>
  <si>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</si>
  <si>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</si>
  <si>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</si>
  <si>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</si>
  <si>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</si>
  <si>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</si>
  <si>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</si>
  <si>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</si>
  <si>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</si>
  <si>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</si>
  <si>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</si>
  <si>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</si>
  <si>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</si>
  <si>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</si>
  <si>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</si>
  <si>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</si>
  <si>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</si>
  <si>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</si>
  <si>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</si>
  <si>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</si>
  <si>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</si>
  <si>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</si>
  <si>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</si>
  <si>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</si>
  <si>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</si>
  <si>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</si>
  <si>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</si>
  <si>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</si>
  <si>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</si>
  <si>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</si>
  <si>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</si>
  <si>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</si>
  <si>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</si>
  <si>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</si>
  <si>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</si>
  <si>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</si>
  <si>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</si>
  <si>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</si>
  <si>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</si>
  <si>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</si>
  <si>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</si>
  <si>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</si>
  <si>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</si>
  <si>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</si>
  <si>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</si>
  <si>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H000000651 Warehousing/distribution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</si>
  <si>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</si>
  <si>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</si>
  <si>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</si>
  <si>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</si>
  <si>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</si>
  <si>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</si>
  <si>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</si>
  <si>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</si>
  <si>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</si>
  <si>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</si>
  <si>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</si>
  <si>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</si>
  <si>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</si>
  <si>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</si>
  <si>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</si>
  <si>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</si>
  <si>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</si>
  <si>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</si>
  <si>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</si>
  <si>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</si>
  <si>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</si>
  <si>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</si>
  <si>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</si>
  <si>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</si>
  <si>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</si>
  <si>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</si>
  <si>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</si>
  <si>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</si>
  <si>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</si>
  <si>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</si>
  <si>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</si>
  <si>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</si>
  <si>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</si>
  <si>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</si>
  <si>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</si>
  <si>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</si>
  <si>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</si>
  <si>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</si>
  <si>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</si>
  <si>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</si>
  <si>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</si>
  <si>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</si>
  <si>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</si>
  <si>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</si>
  <si>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</si>
  <si>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</si>
  <si>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</si>
  <si>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</si>
  <si>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H000000652 Freight and other Transportation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</si>
  <si>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</si>
  <si>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</si>
  <si>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</si>
  <si>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</si>
  <si>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</si>
  <si>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</si>
  <si>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</si>
  <si>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</si>
  <si>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</si>
  <si>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</si>
  <si>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</si>
  <si>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</si>
  <si>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</si>
  <si>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</si>
  <si>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</si>
  <si>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</si>
  <si>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</si>
  <si>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</si>
  <si>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</si>
  <si>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</si>
  <si>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</si>
  <si>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</si>
  <si>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</si>
  <si>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</si>
  <si>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</si>
  <si>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</si>
  <si>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</si>
  <si>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</si>
  <si>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</si>
  <si>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</si>
  <si>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</si>
  <si>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</si>
  <si>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</si>
  <si>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</si>
  <si>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</si>
  <si>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</si>
  <si>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</si>
  <si>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</si>
  <si>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</si>
  <si>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</si>
  <si>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</si>
  <si>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</si>
  <si>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</si>
  <si>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H000000684 Quality - Subsidiaries &amp; Distribution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</si>
  <si>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</si>
  <si>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</si>
  <si>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</si>
  <si>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</si>
  <si>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H000000685 Subsidiaries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</si>
  <si>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</si>
  <si>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</si>
  <si>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</si>
  <si>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</si>
  <si>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</si>
  <si>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</si>
  <si>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</si>
  <si>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</si>
  <si>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</si>
  <si>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</si>
  <si>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</si>
  <si>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</si>
  <si>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</si>
  <si>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</si>
  <si>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</si>
  <si>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</si>
  <si>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</si>
  <si>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</si>
  <si>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</si>
  <si>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</si>
  <si>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</si>
  <si>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</si>
  <si>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</si>
  <si>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</si>
  <si>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</si>
  <si>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</si>
  <si>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</si>
  <si>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</si>
  <si>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</si>
  <si>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</si>
  <si>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</si>
  <si>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</si>
  <si>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H000000686 Distribution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</si>
  <si>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</si>
  <si>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</si>
  <si>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</si>
  <si>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</si>
  <si>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</si>
  <si>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</si>
  <si>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</si>
  <si>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</si>
  <si>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</si>
  <si>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</si>
  <si>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</si>
  <si>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</si>
  <si>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</si>
  <si>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</si>
  <si>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</si>
  <si>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</si>
  <si>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</si>
  <si>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</si>
  <si>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</si>
  <si>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</si>
  <si>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H000004261 Qualtiy - Pharma sites</t>
  </si>
  <si>
    <t>Quality - Pharma sites_1401</t>
  </si>
  <si>
    <t>Quality - Pharma sites_1891</t>
  </si>
  <si>
    <t>Quality - Global QC_1227</t>
  </si>
  <si>
    <t>H000004263 Quality - Global QC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</si>
  <si>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</si>
  <si>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</si>
  <si>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</si>
  <si>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</si>
  <si>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</si>
  <si>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H000004266 Qualtiy - Local Subsidiaries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</si>
  <si>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</si>
  <si>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</si>
  <si>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</si>
  <si>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</si>
  <si>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</si>
  <si>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</si>
  <si>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</si>
  <si>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</si>
  <si>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</si>
  <si>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</si>
  <si>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</si>
  <si>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</si>
  <si>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</si>
  <si>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</si>
  <si>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</si>
  <si>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</si>
  <si>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</si>
  <si>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</si>
  <si>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</si>
  <si>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</si>
  <si>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</si>
  <si>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</si>
  <si>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</si>
  <si>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</si>
  <si>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</si>
  <si>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</si>
  <si>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</si>
  <si>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</si>
  <si>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</si>
  <si>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</si>
  <si>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</si>
  <si>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</si>
  <si>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</si>
  <si>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</si>
  <si>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</si>
  <si>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</si>
  <si>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</si>
  <si>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</si>
  <si>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</si>
  <si>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</si>
  <si>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</si>
  <si>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</si>
  <si>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</si>
  <si>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</si>
  <si>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</si>
  <si>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</si>
  <si>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</si>
  <si>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</si>
  <si>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</si>
  <si>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</si>
  <si>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</si>
  <si>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</si>
  <si>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</si>
  <si>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</si>
  <si>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</si>
  <si>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</si>
  <si>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</si>
  <si>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</si>
  <si>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</si>
  <si>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</si>
  <si>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</si>
  <si>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</si>
  <si>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</si>
  <si>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</si>
  <si>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</si>
  <si>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</si>
  <si>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</si>
  <si>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</si>
  <si>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</si>
  <si>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</si>
  <si>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</si>
  <si>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</si>
  <si>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</si>
  <si>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</si>
  <si>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</si>
  <si>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</si>
  <si>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</si>
  <si>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</si>
  <si>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</si>
  <si>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</si>
  <si>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</si>
  <si>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</si>
  <si>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</si>
  <si>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</si>
  <si>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</si>
  <si>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</si>
  <si>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</si>
  <si>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</si>
  <si>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</si>
  <si>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</si>
  <si>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</si>
  <si>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</si>
  <si>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</si>
  <si>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</si>
  <si>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</si>
  <si>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</si>
  <si>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</si>
  <si>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</si>
  <si>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</si>
  <si>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</si>
  <si>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</si>
  <si>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</si>
  <si>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</si>
  <si>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</si>
  <si>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</si>
  <si>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</si>
  <si>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</si>
  <si>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</si>
  <si>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</si>
  <si>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</si>
  <si>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</si>
  <si>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</si>
  <si>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</si>
  <si>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</si>
  <si>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</si>
  <si>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</si>
  <si>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</si>
  <si>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</si>
  <si>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</si>
  <si>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</si>
  <si>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</si>
  <si>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</si>
  <si>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</si>
  <si>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</si>
  <si>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</si>
  <si>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</si>
  <si>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</si>
  <si>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</si>
  <si>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</si>
  <si>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</si>
  <si>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</si>
  <si>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</si>
  <si>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</si>
  <si>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</si>
  <si>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</si>
  <si>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</si>
  <si>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</si>
  <si>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</si>
  <si>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</si>
  <si>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</si>
  <si>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</si>
  <si>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</si>
  <si>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</si>
  <si>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</si>
  <si>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</si>
  <si>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</si>
  <si>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</si>
  <si>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</si>
  <si>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</si>
  <si>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</si>
  <si>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</si>
  <si>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</si>
  <si>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</si>
  <si>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</si>
  <si>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</si>
  <si>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</si>
  <si>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</si>
  <si>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</si>
  <si>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</si>
  <si>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</si>
  <si>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</si>
  <si>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</si>
  <si>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</si>
  <si>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</si>
  <si>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</si>
  <si>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</si>
  <si>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</si>
  <si>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</si>
  <si>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</si>
  <si>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</si>
  <si>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</si>
  <si>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</si>
  <si>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</si>
  <si>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</si>
  <si>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</si>
  <si>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</si>
  <si>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</si>
  <si>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</si>
  <si>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</si>
  <si>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</si>
  <si>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</si>
  <si>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</si>
  <si>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</si>
  <si>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</si>
  <si>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</si>
  <si>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</si>
  <si>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</si>
  <si>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</si>
  <si>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</si>
  <si>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</si>
  <si>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</si>
  <si>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</si>
  <si>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</si>
  <si>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</si>
  <si>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</si>
  <si>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</si>
  <si>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</si>
  <si>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</si>
  <si>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</si>
  <si>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</si>
  <si>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</si>
  <si>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</si>
  <si>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</si>
  <si>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</si>
  <si>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</si>
  <si>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</si>
  <si>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</si>
  <si>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</si>
  <si>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</si>
  <si>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</si>
  <si>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</si>
  <si>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</si>
  <si>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</si>
  <si>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</si>
  <si>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</si>
  <si>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</si>
  <si>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</si>
  <si>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</si>
  <si>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</si>
  <si>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</si>
  <si>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</si>
  <si>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</si>
  <si>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</si>
  <si>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</si>
  <si>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</si>
  <si>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</si>
  <si>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</si>
  <si>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</si>
  <si>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</si>
  <si>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</si>
  <si>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</si>
  <si>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</si>
  <si>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</si>
  <si>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</si>
  <si>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</si>
  <si>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</si>
  <si>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</si>
  <si>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</si>
  <si>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</si>
  <si>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</si>
  <si>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</si>
  <si>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</si>
  <si>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</si>
  <si>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</si>
  <si>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</si>
  <si>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</si>
  <si>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</si>
  <si>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</si>
  <si>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</si>
  <si>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</si>
  <si>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</si>
  <si>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</si>
  <si>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</si>
  <si>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</si>
  <si>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</si>
  <si>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</si>
  <si>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</si>
  <si>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</si>
  <si>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</si>
  <si>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</si>
  <si>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</si>
  <si>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</si>
  <si>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</si>
  <si>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</si>
  <si>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</si>
  <si>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</si>
  <si>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</si>
  <si>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</si>
  <si>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</si>
  <si>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</si>
  <si>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</si>
  <si>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</si>
  <si>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</si>
  <si>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</si>
  <si>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</si>
  <si>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</si>
  <si>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</si>
  <si>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</si>
  <si>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</si>
  <si>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</si>
  <si>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</si>
  <si>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</si>
  <si>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</si>
  <si>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</si>
  <si>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</si>
  <si>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</si>
  <si>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</si>
  <si>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</si>
  <si>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</si>
  <si>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</si>
  <si>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</si>
  <si>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</si>
  <si>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</si>
  <si>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</si>
  <si>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</si>
  <si>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</si>
  <si>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</si>
  <si>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</si>
  <si>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</si>
  <si>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</si>
  <si>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</si>
  <si>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</si>
  <si>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</si>
  <si>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</si>
  <si>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</si>
  <si>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</si>
  <si>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</si>
  <si>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</si>
  <si>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</si>
  <si>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</si>
  <si>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</si>
  <si>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</si>
  <si>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</si>
  <si>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</si>
  <si>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</si>
  <si>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</si>
  <si>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</si>
  <si>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</si>
  <si>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</si>
  <si>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</si>
  <si>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</si>
  <si>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</si>
  <si>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</si>
  <si>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</si>
  <si>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</si>
  <si>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</si>
  <si>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</si>
  <si>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</si>
  <si>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</si>
  <si>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</si>
  <si>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</si>
  <si>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</si>
  <si>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</si>
  <si>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</si>
  <si>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</si>
  <si>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</si>
  <si>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</si>
  <si>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</si>
  <si>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</si>
  <si>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</si>
  <si>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</si>
  <si>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</si>
  <si>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</si>
  <si>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</si>
  <si>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</si>
  <si>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</si>
  <si>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</si>
  <si>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</si>
  <si>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</si>
  <si>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</si>
  <si>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</si>
  <si>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</si>
  <si>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</si>
  <si>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</si>
  <si>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</si>
  <si>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</si>
  <si>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</si>
  <si>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</si>
  <si>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</si>
  <si>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</si>
  <si>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</si>
  <si>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</si>
  <si>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</si>
  <si>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</si>
  <si>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</si>
  <si>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</si>
  <si>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</si>
  <si>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</si>
  <si>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</si>
  <si>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</si>
  <si>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</si>
  <si>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</si>
  <si>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</si>
  <si>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</si>
  <si>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</si>
  <si>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</si>
  <si>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</si>
  <si>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</si>
  <si>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</si>
  <si>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</si>
  <si>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</si>
  <si>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</si>
  <si>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</si>
  <si>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</si>
  <si>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</si>
  <si>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</si>
  <si>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</si>
  <si>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</si>
  <si>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</si>
  <si>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</si>
  <si>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</si>
  <si>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</si>
  <si>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</si>
  <si>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</si>
  <si>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</si>
  <si>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</si>
  <si>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</si>
  <si>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</si>
  <si>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</si>
  <si>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</si>
  <si>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</si>
  <si>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</si>
  <si>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</si>
  <si>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</si>
  <si>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</si>
  <si>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</si>
  <si>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</si>
  <si>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</si>
  <si>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</si>
  <si>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</si>
  <si>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</si>
  <si>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</si>
  <si>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</si>
  <si>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</si>
  <si>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</si>
  <si>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</si>
  <si>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</si>
  <si>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</si>
  <si>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</si>
  <si>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</si>
  <si>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</si>
  <si>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</si>
  <si>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</si>
  <si>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</si>
  <si>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</si>
  <si>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</si>
  <si>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</si>
  <si>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</si>
  <si>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</si>
  <si>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</si>
  <si>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</si>
  <si>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</si>
  <si>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</si>
  <si>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</si>
  <si>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</si>
  <si>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</si>
  <si>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</si>
  <si>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</si>
  <si>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</si>
  <si>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</si>
  <si>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</si>
  <si>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</si>
  <si>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</si>
  <si>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</si>
  <si>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</si>
  <si>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</si>
  <si>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</si>
  <si>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</si>
  <si>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</si>
  <si>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</si>
  <si>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</si>
  <si>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</si>
  <si>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</si>
  <si>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</si>
  <si>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</si>
  <si>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</si>
  <si>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</si>
  <si>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</si>
  <si>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</si>
  <si>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</si>
  <si>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</si>
  <si>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</si>
  <si>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</si>
  <si>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</si>
  <si>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</si>
  <si>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</si>
  <si>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</si>
  <si>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</si>
  <si>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</si>
  <si>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</si>
  <si>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</si>
  <si>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</si>
  <si>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</si>
  <si>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</si>
  <si>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</si>
  <si>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</si>
  <si>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</si>
  <si>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</si>
  <si>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</si>
  <si>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</si>
  <si>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</si>
  <si>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</si>
  <si>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</si>
  <si>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</si>
  <si>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</si>
  <si>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</si>
  <si>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</si>
  <si>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</si>
  <si>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</si>
  <si>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</si>
  <si>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</si>
  <si>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</si>
  <si>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</si>
  <si>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</si>
  <si>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</si>
  <si>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</si>
  <si>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</si>
  <si>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</si>
  <si>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</si>
  <si>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</si>
  <si>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</si>
  <si>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</si>
  <si>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</si>
  <si>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</si>
  <si>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</si>
  <si>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</si>
  <si>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</si>
  <si>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</si>
  <si>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</si>
  <si>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</si>
  <si>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</si>
  <si>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</si>
  <si>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</si>
  <si>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</si>
  <si>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</si>
  <si>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</si>
  <si>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</si>
  <si>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</si>
  <si>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</si>
  <si>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</si>
  <si>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</si>
  <si>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</si>
  <si>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</si>
  <si>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</si>
  <si>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</si>
  <si>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</si>
  <si>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</si>
  <si>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</si>
  <si>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</si>
  <si>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</si>
  <si>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</si>
  <si>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</si>
  <si>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</si>
  <si>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</si>
  <si>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</si>
  <si>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</si>
  <si>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</si>
  <si>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</si>
  <si>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</si>
  <si>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</si>
  <si>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</si>
  <si>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</si>
  <si>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</si>
  <si>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</si>
  <si>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</si>
  <si>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</si>
  <si>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</si>
  <si>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</si>
  <si>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</si>
  <si>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</si>
  <si>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</si>
  <si>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</si>
  <si>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</si>
  <si>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</si>
  <si>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</si>
  <si>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</si>
  <si>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</si>
  <si>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</si>
  <si>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</si>
  <si>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</si>
  <si>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</si>
  <si>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</si>
  <si>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</si>
  <si>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</si>
  <si>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</si>
  <si>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</si>
  <si>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</si>
  <si>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</si>
  <si>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</si>
  <si>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</si>
  <si>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</si>
  <si>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</si>
  <si>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</si>
  <si>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</si>
  <si>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</si>
  <si>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</si>
  <si>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</si>
  <si>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</si>
  <si>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</si>
  <si>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</si>
  <si>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</si>
  <si>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</si>
  <si>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</si>
  <si>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</si>
  <si>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</si>
  <si>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</si>
  <si>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</si>
  <si>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</si>
  <si>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</si>
  <si>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H0005</t>
  </si>
  <si>
    <t>AR - Sales Promotion Ogsiveo</t>
  </si>
  <si>
    <t>H0006</t>
  </si>
  <si>
    <t>AR - Sales Promotion Gomekli</t>
  </si>
  <si>
    <t>H0007</t>
  </si>
  <si>
    <t>AR - Medical Activities RT</t>
  </si>
  <si>
    <t>H000002505</t>
  </si>
  <si>
    <t>H0008</t>
  </si>
  <si>
    <t>AR - Medical Activities Ogsiveo&amp;Gomekli</t>
  </si>
  <si>
    <t>H0009</t>
  </si>
  <si>
    <t>AR - Medical Activities Ogsiveo</t>
  </si>
  <si>
    <t>H0010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</si>
  <si>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</si>
  <si>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</si>
  <si>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</si>
  <si>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</si>
  <si>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</si>
  <si>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</si>
  <si>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</si>
  <si>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</si>
  <si>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</si>
  <si>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</si>
  <si>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</si>
  <si>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</si>
  <si>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</si>
  <si>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</si>
  <si>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</si>
  <si>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</si>
  <si>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</si>
  <si>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</si>
  <si>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</si>
  <si>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</si>
  <si>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</si>
  <si>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</si>
  <si>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</si>
  <si>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</si>
  <si>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</si>
  <si>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</si>
  <si>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</si>
  <si>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</si>
  <si>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</si>
  <si>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</si>
  <si>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</si>
  <si>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</si>
  <si>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</si>
  <si>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</si>
  <si>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</si>
  <si>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</si>
  <si>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</si>
  <si>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</si>
  <si>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</si>
  <si>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</si>
  <si>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</si>
  <si>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</si>
  <si>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</si>
  <si>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</si>
  <si>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</si>
  <si>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</si>
  <si>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</si>
  <si>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</si>
  <si>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</si>
  <si>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</si>
  <si>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</si>
  <si>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</si>
  <si>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</si>
  <si>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</si>
  <si>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</si>
  <si>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</si>
  <si>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</si>
  <si>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</si>
  <si>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</si>
  <si>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</si>
  <si>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</si>
  <si>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</si>
  <si>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</si>
  <si>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</si>
  <si>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</si>
  <si>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</si>
  <si>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</si>
  <si>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</si>
  <si>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</si>
  <si>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</si>
  <si>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</si>
  <si>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</si>
  <si>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</si>
  <si>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</si>
  <si>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</si>
  <si>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</si>
  <si>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</si>
  <si>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</si>
  <si>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</si>
  <si>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</si>
  <si>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</si>
  <si>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</si>
  <si>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</si>
  <si>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</si>
  <si>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</si>
  <si>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</si>
  <si>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</si>
  <si>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</si>
  <si>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</si>
  <si>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</si>
  <si>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</si>
  <si>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</si>
  <si>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</si>
  <si>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</si>
  <si>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</si>
  <si>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</si>
  <si>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</si>
  <si>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</si>
  <si>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</si>
  <si>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</si>
  <si>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</si>
  <si>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</si>
  <si>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</si>
  <si>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</si>
  <si>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</si>
  <si>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</si>
  <si>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</si>
  <si>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</si>
  <si>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</si>
  <si>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</si>
  <si>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</si>
  <si>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</si>
  <si>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</si>
  <si>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</si>
  <si>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</si>
  <si>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</si>
  <si>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</si>
  <si>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</si>
  <si>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</si>
  <si>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</si>
  <si>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</si>
  <si>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</si>
  <si>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</si>
  <si>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</si>
  <si>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</si>
  <si>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</si>
  <si>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</si>
  <si>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</si>
  <si>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</si>
  <si>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</si>
  <si>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</si>
  <si>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</si>
  <si>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</si>
  <si>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</si>
  <si>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</si>
  <si>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</si>
  <si>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</si>
  <si>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</si>
  <si>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</si>
  <si>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</si>
  <si>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</si>
  <si>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</si>
  <si>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</t>
  </si>
  <si>
    <t>G00000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</si>
  <si>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</si>
  <si>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</si>
  <si>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</si>
  <si>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</si>
  <si>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</si>
  <si>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</si>
  <si>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</si>
  <si>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</si>
  <si>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</si>
  <si>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</si>
  <si>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</si>
  <si>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</si>
  <si>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</si>
  <si>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</si>
  <si>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</si>
  <si>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</si>
  <si>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</si>
  <si>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</si>
  <si>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</si>
  <si>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</si>
  <si>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</si>
  <si>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</si>
  <si>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</si>
  <si>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</si>
  <si>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</si>
  <si>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</si>
  <si>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</si>
  <si>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</si>
  <si>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</si>
  <si>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</si>
  <si>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</si>
  <si>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</si>
  <si>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</si>
  <si>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</si>
  <si>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</si>
  <si>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</si>
  <si>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</si>
  <si>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</si>
  <si>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</si>
  <si>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</si>
  <si>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</si>
  <si>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</si>
  <si>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</si>
  <si>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</si>
  <si>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</si>
  <si>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</si>
  <si>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</si>
  <si>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</si>
  <si>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</si>
  <si>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</si>
  <si>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</si>
  <si>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</si>
  <si>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</si>
  <si>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</si>
  <si>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</si>
  <si>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</si>
  <si>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</si>
  <si>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</si>
  <si>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</si>
  <si>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</si>
  <si>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</si>
  <si>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</si>
  <si>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</si>
  <si>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</si>
  <si>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</si>
  <si>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</si>
  <si>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</si>
  <si>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</si>
  <si>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</si>
  <si>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</si>
  <si>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</si>
  <si>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</si>
  <si>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</si>
  <si>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</si>
  <si>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</si>
  <si>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</si>
  <si>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</si>
  <si>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</si>
  <si>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</si>
  <si>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</si>
  <si>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</si>
  <si>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</si>
  <si>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</si>
  <si>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</si>
  <si>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</si>
  <si>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</si>
  <si>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</si>
  <si>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</si>
  <si>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</si>
  <si>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</si>
  <si>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</si>
  <si>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</si>
  <si>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</si>
  <si>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</si>
  <si>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</si>
  <si>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</si>
  <si>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</si>
  <si>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</si>
  <si>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</si>
  <si>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</si>
  <si>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</si>
  <si>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</si>
  <si>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</si>
  <si>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</si>
  <si>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</si>
  <si>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</si>
  <si>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</si>
  <si>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</si>
  <si>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</si>
  <si>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</si>
  <si>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</si>
  <si>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</si>
  <si>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</si>
  <si>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</si>
  <si>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</si>
  <si>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</si>
  <si>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</si>
  <si>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</si>
  <si>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</si>
  <si>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</si>
  <si>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</si>
  <si>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</si>
  <si>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</si>
  <si>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</si>
  <si>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</si>
  <si>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</si>
  <si>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</si>
  <si>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</si>
  <si>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</si>
  <si>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</si>
  <si>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</si>
  <si>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</si>
  <si>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</si>
  <si>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</si>
  <si>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</si>
  <si>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</si>
  <si>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</si>
  <si>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</si>
  <si>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</si>
  <si>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</si>
  <si>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</si>
  <si>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</si>
  <si>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</si>
  <si>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</si>
  <si>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</si>
  <si>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</si>
  <si>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</si>
  <si>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</si>
  <si>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</si>
  <si>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</si>
  <si>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</si>
  <si>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</si>
  <si>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</si>
  <si>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</si>
  <si>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</si>
  <si>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</si>
  <si>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</si>
  <si>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</si>
  <si>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</si>
  <si>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</si>
  <si>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</si>
  <si>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</si>
  <si>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</si>
  <si>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</si>
  <si>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</si>
  <si>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</si>
  <si>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</si>
  <si>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</si>
  <si>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</si>
  <si>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</si>
  <si>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</si>
  <si>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</si>
  <si>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</si>
  <si>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</si>
  <si>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</si>
  <si>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</si>
  <si>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</si>
  <si>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</si>
  <si>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</si>
  <si>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</si>
  <si>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</si>
  <si>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</si>
  <si>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</si>
  <si>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</si>
  <si>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</si>
  <si>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</si>
  <si>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</si>
  <si>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</si>
  <si>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</si>
  <si>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</si>
  <si>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</si>
  <si>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</si>
  <si>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</si>
  <si>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</si>
  <si>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</si>
  <si>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</si>
  <si>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</si>
  <si>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</si>
  <si>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</si>
  <si>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</si>
  <si>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</si>
  <si>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</si>
  <si>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</si>
  <si>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</si>
  <si>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</si>
  <si>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</si>
  <si>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</si>
  <si>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</si>
  <si>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</si>
  <si>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</si>
  <si>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</si>
  <si>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</si>
  <si>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</si>
  <si>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</si>
  <si>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</si>
  <si>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</si>
  <si>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</si>
  <si>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</si>
  <si>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</si>
  <si>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</si>
  <si>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</si>
  <si>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</si>
  <si>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</si>
  <si>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</si>
  <si>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</si>
  <si>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</si>
  <si>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</si>
  <si>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</si>
  <si>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</si>
  <si>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</si>
  <si>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</si>
  <si>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</si>
  <si>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</si>
  <si>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</si>
  <si>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</si>
  <si>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</si>
  <si>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</si>
  <si>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</si>
  <si>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</si>
  <si>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</si>
  <si>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</si>
  <si>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</si>
  <si>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</si>
  <si>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</si>
  <si>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</si>
  <si>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</si>
  <si>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</si>
  <si>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</si>
  <si>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</si>
  <si>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</si>
  <si>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</si>
  <si>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</si>
  <si>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</si>
  <si>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</si>
  <si>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</si>
  <si>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</si>
  <si>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</si>
  <si>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</si>
  <si>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</si>
  <si>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</si>
  <si>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</si>
  <si>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</si>
  <si>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</si>
  <si>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</si>
  <si>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</si>
  <si>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</si>
  <si>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</si>
  <si>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</si>
  <si>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</si>
  <si>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</si>
  <si>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</si>
  <si>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</si>
  <si>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</si>
  <si>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</si>
  <si>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</si>
  <si>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</si>
  <si>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</si>
  <si>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</si>
  <si>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</si>
  <si>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</si>
  <si>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</si>
  <si>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</si>
  <si>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</si>
  <si>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</si>
  <si>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</si>
  <si>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</si>
  <si>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</si>
  <si>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</si>
  <si>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</si>
  <si>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</si>
  <si>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</si>
  <si>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</si>
  <si>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</si>
  <si>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</si>
  <si>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</si>
  <si>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</si>
  <si>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</si>
  <si>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STANDARD</t>
  </si>
  <si>
    <t>Done for 1000</t>
  </si>
  <si>
    <t>Done for 1000/Done for KR00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</si>
</sst>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9" applyNumberFormat="0" applyAlignment="0" applyProtection="0">
      <alignment horizontal="left" vertical="center" indent="1"/>
    </xf>
    <xf numFmtId="164" fontId="26" fillId="0" borderId="30" applyNumberFormat="0" applyProtection="0">
      <alignment horizontal="right" vertical="center"/>
    </xf>
    <xf numFmtId="164" fontId="25" fillId="0" borderId="31" applyNumberFormat="0" applyProtection="0">
      <alignment horizontal="right" vertical="center"/>
    </xf>
    <xf numFmtId="164" fontId="26" fillId="13" borderId="29" applyNumberFormat="0" applyAlignment="0" applyProtection="0">
      <alignment horizontal="left" vertical="center" indent="1"/>
    </xf>
    <xf numFmtId="0" fontId="27" fillId="14" borderId="31" applyNumberFormat="0" applyAlignment="0">
      <alignment horizontal="left" vertical="center" indent="1"/>
      <protection locked="0"/>
    </xf>
    <xf numFmtId="0" fontId="27" fillId="15" borderId="31" applyNumberFormat="0" applyAlignment="0" applyProtection="0">
      <alignment horizontal="left" vertical="center" indent="1"/>
    </xf>
    <xf numFmtId="164" fontId="26" fillId="16" borderId="30" applyNumberFormat="0" applyBorder="0">
      <alignment horizontal="right" vertical="center"/>
      <protection locked="0"/>
    </xf>
    <xf numFmtId="0" fontId="27" fillId="14" borderId="31" applyNumberFormat="0" applyAlignment="0">
      <alignment horizontal="left" vertical="center" indent="1"/>
      <protection locked="0"/>
    </xf>
    <xf numFmtId="164" fontId="25" fillId="15" borderId="31" applyNumberFormat="0" applyProtection="0">
      <alignment horizontal="right" vertical="center"/>
    </xf>
    <xf numFmtId="164" fontId="25" fillId="16" borderId="31" applyNumberFormat="0" applyBorder="0">
      <alignment horizontal="right" vertical="center"/>
      <protection locked="0"/>
    </xf>
    <xf numFmtId="164" fontId="28" fillId="17" borderId="32" applyNumberFormat="0" applyBorder="0" applyAlignment="0" applyProtection="0">
      <alignment horizontal="right" vertical="center" indent="1"/>
    </xf>
    <xf numFmtId="164" fontId="29" fillId="18" borderId="32" applyNumberFormat="0" applyBorder="0" applyAlignment="0" applyProtection="0">
      <alignment horizontal="right" vertical="center" indent="1"/>
    </xf>
    <xf numFmtId="164" fontId="29" fillId="19" borderId="32" applyNumberFormat="0" applyBorder="0" applyAlignment="0" applyProtection="0">
      <alignment horizontal="right" vertical="center" indent="1"/>
    </xf>
    <xf numFmtId="164" fontId="30" fillId="20" borderId="32" applyNumberFormat="0" applyBorder="0" applyAlignment="0" applyProtection="0">
      <alignment horizontal="right" vertical="center" indent="1"/>
    </xf>
    <xf numFmtId="164" fontId="30" fillId="21" borderId="32" applyNumberFormat="0" applyBorder="0" applyAlignment="0" applyProtection="0">
      <alignment horizontal="right" vertical="center" indent="1"/>
    </xf>
    <xf numFmtId="164" fontId="30" fillId="22" borderId="32" applyNumberFormat="0" applyBorder="0" applyAlignment="0" applyProtection="0">
      <alignment horizontal="right" vertical="center" indent="1"/>
    </xf>
    <xf numFmtId="164" fontId="31" fillId="23" borderId="32" applyNumberFormat="0" applyBorder="0" applyAlignment="0" applyProtection="0">
      <alignment horizontal="right" vertical="center" indent="1"/>
    </xf>
    <xf numFmtId="164" fontId="31" fillId="24" borderId="32" applyNumberFormat="0" applyBorder="0" applyAlignment="0" applyProtection="0">
      <alignment horizontal="right" vertical="center" indent="1"/>
    </xf>
    <xf numFmtId="164" fontId="31" fillId="25" borderId="32" applyNumberFormat="0" applyBorder="0" applyAlignment="0" applyProtection="0">
      <alignment horizontal="right" vertical="center" indent="1"/>
    </xf>
    <xf numFmtId="0" fontId="32" fillId="0" borderId="29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3" applyNumberFormat="0" applyFont="0" applyFill="0" applyAlignment="0" applyProtection="0"/>
    <xf numFmtId="164" fontId="26" fillId="0" borderId="30" applyNumberFormat="0" applyFill="0" applyBorder="0" applyAlignment="0" applyProtection="0">
      <alignment horizontal="right" vertical="center"/>
    </xf>
    <xf numFmtId="164" fontId="26" fillId="13" borderId="29" applyNumberFormat="0" applyAlignment="0" applyProtection="0">
      <alignment horizontal="left" vertical="center" indent="1"/>
    </xf>
    <xf numFmtId="0" fontId="25" fillId="12" borderId="31" applyNumberFormat="0" applyAlignment="0" applyProtection="0">
      <alignment horizontal="left" vertical="center" indent="1"/>
    </xf>
    <xf numFmtId="0" fontId="27" fillId="26" borderId="29" applyNumberFormat="0" applyAlignment="0" applyProtection="0">
      <alignment horizontal="left" vertical="center" indent="1"/>
    </xf>
    <xf numFmtId="0" fontId="27" fillId="27" borderId="29" applyNumberFormat="0" applyAlignment="0" applyProtection="0">
      <alignment horizontal="left" vertical="center" indent="1"/>
    </xf>
    <xf numFmtId="0" fontId="27" fillId="28" borderId="29" applyNumberFormat="0" applyAlignment="0" applyProtection="0">
      <alignment horizontal="left" vertical="center" indent="1"/>
    </xf>
    <xf numFmtId="0" fontId="27" fillId="16" borderId="29" applyNumberFormat="0" applyAlignment="0" applyProtection="0">
      <alignment horizontal="left" vertical="center" indent="1"/>
    </xf>
    <xf numFmtId="0" fontId="27" fillId="15" borderId="31" applyNumberFormat="0" applyAlignment="0" applyProtection="0">
      <alignment horizontal="left" vertical="center" indent="1"/>
    </xf>
    <xf numFmtId="0" fontId="34" fillId="0" borderId="34" applyNumberFormat="0" applyFill="0" applyBorder="0" applyAlignment="0" applyProtection="0"/>
    <xf numFmtId="0" fontId="35" fillId="0" borderId="34" applyNumberFormat="0" applyBorder="0" applyAlignment="0" applyProtection="0"/>
    <xf numFmtId="0" fontId="34" fillId="14" borderId="31" applyNumberFormat="0" applyAlignment="0">
      <alignment horizontal="left" vertical="center" indent="1"/>
      <protection locked="0"/>
    </xf>
    <xf numFmtId="0" fontId="34" fillId="14" borderId="31" applyNumberFormat="0" applyAlignment="0">
      <alignment horizontal="left" vertical="center" indent="1"/>
      <protection locked="0"/>
    </xf>
    <xf numFmtId="0" fontId="34" fillId="15" borderId="31" applyNumberFormat="0" applyAlignment="0" applyProtection="0">
      <alignment horizontal="left" vertical="center" indent="1"/>
    </xf>
    <xf numFmtId="164" fontId="36" fillId="15" borderId="31" applyNumberFormat="0" applyProtection="0">
      <alignment horizontal="right" vertical="center"/>
    </xf>
    <xf numFmtId="164" fontId="37" fillId="16" borderId="30" applyNumberFormat="0" applyBorder="0">
      <alignment horizontal="right" vertical="center"/>
      <protection locked="0"/>
    </xf>
    <xf numFmtId="164" fontId="36" fillId="16" borderId="31" applyNumberFormat="0" applyBorder="0">
      <alignment horizontal="right" vertical="center"/>
      <protection locked="0"/>
    </xf>
    <xf numFmtId="164" fontId="26" fillId="0" borderId="30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</cellStyleXfs>
  <cellXfs count="10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0" fillId="0" borderId="28" xfId="127" applyNumberFormat="1" applyFont="1" applyBorder="1" applyAlignment="1"/>
    <xf numFmtId="0" fontId="0" fillId="0" borderId="23" xfId="127" applyNumberFormat="1" applyFont="1" applyBorder="1" applyAlignment="1"/>
    <xf numFmtId="0" fontId="0" fillId="0" borderId="23" xfId="168" applyNumberFormat="1" applyFont="1" applyBorder="1" applyAlignment="1"/>
    <xf numFmtId="0" fontId="0" fillId="0" borderId="28" xfId="168" applyNumberFormat="1" applyFont="1" applyBorder="1" applyAlignment="1"/>
    <xf numFmtId="0" fontId="12" fillId="0" borderId="1" xfId="167"/>
    <xf numFmtId="0" fontId="12" fillId="0" borderId="1" xfId="168"/>
    <xf numFmtId="0" fontId="12" fillId="0" borderId="1" xfId="169"/>
  </cellXfs>
  <cellStyles count="17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67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33.163229861108" createdVersion="7" refreshedVersion="7" minRefreshableVersion="3" recordCount="161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617"/>
    </cacheField>
    <cacheField name="Forecast?" numFmtId="0">
      <sharedItems/>
    </cacheField>
    <cacheField name="Ticket" numFmtId="0">
      <sharedItems containsBlank="1" count="15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3">
        <s v="ON TM1"/>
        <s v="RETURNED TO ORIGINAL NODE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HC"/>
    <m/>
    <m/>
    <s v="Erjo Miguel Tagle"/>
  </r>
  <r>
    <n v="1551"/>
    <s v="F2"/>
    <x v="61"/>
    <s v="H000005088"/>
    <s v="Focus30 Global R&amp;D"/>
    <s v="H000000965"/>
    <s v="New"/>
    <x v="0"/>
    <x v="0"/>
    <s v="HC"/>
    <m/>
    <m/>
    <s v="Erjo Miguel Tagle"/>
  </r>
  <r>
    <n v="1552"/>
    <s v="F2"/>
    <x v="61"/>
    <s v="H000005089"/>
    <s v="Focus30 Local R&amp;D"/>
    <s v="H000000965"/>
    <s v="New"/>
    <x v="0"/>
    <x v="0"/>
    <s v="HC"/>
    <m/>
    <m/>
    <s v="Erjo Miguel Tagle"/>
  </r>
  <r>
    <n v="1553"/>
    <s v="F2"/>
    <x v="62"/>
    <s v="G000000889"/>
    <m/>
    <s v="G000000873"/>
    <s v="Move"/>
    <x v="0"/>
    <x v="0"/>
    <s v="MGF"/>
    <m/>
    <m/>
    <s v="Analyn Ayson"/>
  </r>
  <r>
    <n v="1554"/>
    <s v="F2"/>
    <x v="62"/>
    <s v="G000001018"/>
    <m/>
    <s v="G000000873"/>
    <s v="Move"/>
    <x v="0"/>
    <x v="0"/>
    <s v="MGF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1"/>
    <x v="0"/>
    <s v="MGF"/>
    <m/>
    <m/>
    <s v="Jojeff Tagnong"/>
  </r>
  <r>
    <n v="1559"/>
    <s v="F2"/>
    <x v="64"/>
    <s v="G000001464"/>
    <s v="FTD VP - VPPA"/>
    <s v="G000000547"/>
    <s v="New"/>
    <x v="1"/>
    <x v="0"/>
    <s v="MGF"/>
    <m/>
    <m/>
    <s v="Jojeff Tagnong"/>
  </r>
  <r>
    <n v="1560"/>
    <s v="F2"/>
    <x v="64"/>
    <s v="G000001465"/>
    <s v="VP - MGF Reporting"/>
    <s v="G000001464"/>
    <s v="New"/>
    <x v="1"/>
    <x v="0"/>
    <s v="MGF"/>
    <m/>
    <m/>
    <s v="Jojeff Tagnong"/>
  </r>
  <r>
    <n v="1561"/>
    <s v="F2"/>
    <x v="64"/>
    <s v="G000001466"/>
    <s v="VP - non-MGF Reporting"/>
    <s v="G000001464"/>
    <s v="New"/>
    <x v="1"/>
    <x v="0"/>
    <s v="MGF"/>
    <m/>
    <m/>
    <s v="Jojeff Tagnong"/>
  </r>
  <r>
    <n v="1562"/>
    <s v="F2"/>
    <x v="64"/>
    <s v="G000001467"/>
    <s v="GED VP -VPPA (L2)"/>
    <s v="G000001465"/>
    <s v="New"/>
    <x v="1"/>
    <x v="0"/>
    <s v="MGF"/>
    <m/>
    <m/>
    <s v="Jojeff Tagnong"/>
  </r>
  <r>
    <n v="1563"/>
    <s v="F2"/>
    <x v="64"/>
    <s v="G000001468"/>
    <s v="FTD VP - Intercompany Charges"/>
    <s v="G000001466"/>
    <s v="New"/>
    <x v="1"/>
    <x v="0"/>
    <s v="MGF"/>
    <m/>
    <m/>
    <s v="Jojeff Tagnong"/>
  </r>
  <r>
    <n v="1564"/>
    <s v="F2"/>
    <x v="64"/>
    <s v="G000001469"/>
    <s v="FTD VP - Exceptionals"/>
    <s v="G000001466"/>
    <s v="New"/>
    <x v="1"/>
    <x v="0"/>
    <s v="MGF"/>
    <m/>
    <m/>
    <s v="Jojeff Tagnong"/>
  </r>
  <r>
    <n v="1565"/>
    <s v="F2"/>
    <x v="64"/>
    <s v="G000001470"/>
    <s v="FP&amp;A CO BS91"/>
    <s v="G000000547"/>
    <s v="New"/>
    <x v="1"/>
    <x v="0"/>
    <s v="MGF"/>
    <m/>
    <m/>
    <s v="Jojeff Tagnong"/>
  </r>
  <r>
    <n v="1566"/>
    <s v="F2"/>
    <x v="64"/>
    <s v="G000001471"/>
    <s v="FTE SR - Strategy Realization Office"/>
    <s v="G000000001"/>
    <s v="New"/>
    <x v="1"/>
    <x v="0"/>
    <s v="MGF"/>
    <m/>
    <m/>
    <s v="Jojeff Tagnong"/>
  </r>
  <r>
    <n v="1567"/>
    <s v="F2"/>
    <x v="64"/>
    <s v="G000001472"/>
    <s v="SR - MGF Reporting"/>
    <s v="G000001471"/>
    <s v="New"/>
    <x v="1"/>
    <x v="0"/>
    <s v="MGF"/>
    <m/>
    <m/>
    <s v="Jojeff Tagnong"/>
  </r>
  <r>
    <n v="1568"/>
    <s v="F2"/>
    <x v="64"/>
    <s v="G000001473"/>
    <s v="SR - non-MGF Reporting"/>
    <s v="G000001471"/>
    <s v="New"/>
    <x v="1"/>
    <x v="0"/>
    <s v="MGF"/>
    <m/>
    <m/>
    <s v="Jojeff Tagnong"/>
  </r>
  <r>
    <n v="1569"/>
    <s v="F2"/>
    <x v="64"/>
    <s v="G000001474"/>
    <s v="GEE SR -Strategy Realization Office (L2)"/>
    <s v="G000001472"/>
    <s v="New"/>
    <x v="1"/>
    <x v="0"/>
    <s v="MGF"/>
    <m/>
    <m/>
    <s v="Jojeff Tagnong"/>
  </r>
  <r>
    <n v="1570"/>
    <s v="F2"/>
    <x v="64"/>
    <s v="G000001475"/>
    <s v="FTE SR - Intercompany Charges"/>
    <s v="G000001473"/>
    <s v="New"/>
    <x v="1"/>
    <x v="0"/>
    <s v="MGF"/>
    <m/>
    <m/>
    <s v="Jojeff Tagnong"/>
  </r>
  <r>
    <n v="1571"/>
    <s v="F2"/>
    <x v="64"/>
    <s v="G000001476"/>
    <s v="FTE SR - Exceptionals"/>
    <s v="G000001473"/>
    <s v="New"/>
    <x v="1"/>
    <x v="0"/>
    <s v="MGF"/>
    <m/>
    <m/>
    <s v="Jojeff Tagnong"/>
  </r>
  <r>
    <n v="1572"/>
    <s v="F2"/>
    <x v="64"/>
    <s v="G000001477"/>
    <s v="FTF MZ - Merck Zeitservice"/>
    <s v="G000000001"/>
    <s v="New"/>
    <x v="1"/>
    <x v="0"/>
    <s v="MGF"/>
    <m/>
    <m/>
    <s v="Jojeff Tagnong"/>
  </r>
  <r>
    <n v="1573"/>
    <s v="F2"/>
    <x v="64"/>
    <s v="G000001478"/>
    <s v="MZ - MGF Reporting"/>
    <s v="G000001477"/>
    <s v="New"/>
    <x v="1"/>
    <x v="0"/>
    <s v="MGF"/>
    <m/>
    <m/>
    <s v="Jojeff Tagnong"/>
  </r>
  <r>
    <n v="1574"/>
    <s v="F2"/>
    <x v="64"/>
    <s v="G000001479"/>
    <s v="MZ - non-MGF Reporting"/>
    <s v="G000001477"/>
    <s v="New"/>
    <x v="1"/>
    <x v="0"/>
    <s v="MGF"/>
    <m/>
    <m/>
    <s v="Jojeff Tagnong"/>
  </r>
  <r>
    <n v="1575"/>
    <s v="F2"/>
    <x v="64"/>
    <s v="G000001480"/>
    <s v="GEF MZ -Strategy Realization Office (L2)"/>
    <s v="G000001478"/>
    <s v="New"/>
    <x v="1"/>
    <x v="0"/>
    <s v="MGF"/>
    <m/>
    <m/>
    <s v="Jojeff Tagnong"/>
  </r>
  <r>
    <n v="1576"/>
    <s v="F2"/>
    <x v="64"/>
    <s v="G000001481"/>
    <s v="FTF MZ - Intercompany Charges"/>
    <s v="G000001479"/>
    <s v="New"/>
    <x v="1"/>
    <x v="0"/>
    <s v="MGF"/>
    <m/>
    <m/>
    <s v="Jojeff Tagnong"/>
  </r>
  <r>
    <n v="1577"/>
    <s v="F2"/>
    <x v="64"/>
    <s v="G000001482"/>
    <s v="FTF MZ - Exceptionals"/>
    <s v="G000001479"/>
    <s v="New"/>
    <x v="1"/>
    <x v="0"/>
    <s v="MGF"/>
    <m/>
    <m/>
    <s v="Jojeff Tagnong"/>
  </r>
  <r>
    <n v="1578"/>
    <s v="F2"/>
    <x v="64"/>
    <s v="G000001483"/>
    <s v="FTG BK - Merck BKK Health Insurance"/>
    <s v="G000000001"/>
    <s v="New"/>
    <x v="1"/>
    <x v="0"/>
    <s v="MGF"/>
    <m/>
    <m/>
    <s v="Jojeff Tagnong"/>
  </r>
  <r>
    <n v="1579"/>
    <s v="F2"/>
    <x v="64"/>
    <s v="G000001484"/>
    <s v="BK - MGF Reporting"/>
    <s v="G000001483"/>
    <s v="New"/>
    <x v="1"/>
    <x v="0"/>
    <s v="MGF"/>
    <m/>
    <m/>
    <s v="Jojeff Tagnong"/>
  </r>
  <r>
    <n v="1580"/>
    <s v="F2"/>
    <x v="64"/>
    <s v="G000001485"/>
    <s v="BK - non-MGF Reporting"/>
    <s v="G000001483"/>
    <s v="New"/>
    <x v="1"/>
    <x v="0"/>
    <s v="MGF"/>
    <m/>
    <m/>
    <s v="Jojeff Tagnong"/>
  </r>
  <r>
    <n v="1581"/>
    <s v="F2"/>
    <x v="64"/>
    <s v="G000001486"/>
    <s v="GEG BK - Merck BKK Health Insurance (L2)"/>
    <s v="G000001484"/>
    <s v="New"/>
    <x v="1"/>
    <x v="0"/>
    <s v="MGF"/>
    <m/>
    <m/>
    <s v="Jojeff Tagnong"/>
  </r>
  <r>
    <n v="1582"/>
    <s v="F2"/>
    <x v="64"/>
    <s v="G000001487"/>
    <s v="FTG BK - Intercompany Charges"/>
    <s v="G000001485"/>
    <s v="New"/>
    <x v="1"/>
    <x v="0"/>
    <s v="MGF"/>
    <m/>
    <m/>
    <s v="Jojeff Tagnong"/>
  </r>
  <r>
    <n v="1583"/>
    <s v="F2"/>
    <x v="64"/>
    <s v="G000001488"/>
    <s v="FTG BK - Exceptionals"/>
    <s v="G000001485"/>
    <s v="New"/>
    <x v="1"/>
    <x v="0"/>
    <s v="MGF"/>
    <m/>
    <m/>
    <s v="Jojeff Tagnong"/>
  </r>
  <r>
    <n v="1584"/>
    <s v="F2"/>
    <x v="64"/>
    <s v="G000001489"/>
    <s v="FTH BR - Works Council"/>
    <s v="G000000001"/>
    <s v="New"/>
    <x v="1"/>
    <x v="0"/>
    <s v="MGF"/>
    <m/>
    <m/>
    <s v="Jojeff Tagnong"/>
  </r>
  <r>
    <n v="1585"/>
    <s v="F2"/>
    <x v="64"/>
    <s v="G000001490"/>
    <s v="BR - MGF Reporting"/>
    <s v="G000001489"/>
    <s v="New"/>
    <x v="1"/>
    <x v="0"/>
    <s v="MGF"/>
    <m/>
    <m/>
    <s v="Jojeff Tagnong"/>
  </r>
  <r>
    <n v="1586"/>
    <s v="F2"/>
    <x v="64"/>
    <s v="G000001491"/>
    <s v="BR - non-MGF Reporting"/>
    <s v="G000001489"/>
    <s v="New"/>
    <x v="1"/>
    <x v="0"/>
    <s v="MGF"/>
    <m/>
    <m/>
    <s v="Jojeff Tagnong"/>
  </r>
  <r>
    <n v="1587"/>
    <s v="F2"/>
    <x v="64"/>
    <s v="G000001492"/>
    <s v="GEH BR - Works Council (L2)"/>
    <s v="G000001490"/>
    <s v="New"/>
    <x v="1"/>
    <x v="0"/>
    <s v="MGF"/>
    <m/>
    <m/>
    <s v="Jojeff Tagnong"/>
  </r>
  <r>
    <n v="1588"/>
    <s v="F2"/>
    <x v="64"/>
    <s v="G000001493"/>
    <s v="FTH BR - Intercompany Charges"/>
    <s v="G000001491"/>
    <s v="New"/>
    <x v="1"/>
    <x v="0"/>
    <s v="MGF"/>
    <m/>
    <m/>
    <s v="Jojeff Tagnong"/>
  </r>
  <r>
    <n v="1589"/>
    <s v="F2"/>
    <x v="64"/>
    <s v="G000001494"/>
    <s v="FTH BR - Exceptionals"/>
    <s v="G000001491"/>
    <s v="New"/>
    <x v="1"/>
    <x v="0"/>
    <s v="MGF"/>
    <m/>
    <m/>
    <s v="Jojeff Tagnong"/>
  </r>
  <r>
    <n v="1590"/>
    <s v="F2"/>
    <x v="64"/>
    <s v="G000001162"/>
    <s v="GNL MBS Hub Manila - Proc T&amp;E and VMD"/>
    <m/>
    <s v="Rename"/>
    <x v="1"/>
    <x v="0"/>
    <s v="MGF"/>
    <m/>
    <m/>
    <s v="Jojeff Tagnong"/>
  </r>
  <r>
    <n v="1591"/>
    <s v="F2"/>
    <x v="64"/>
    <s v="G000001163"/>
    <s v="GNM MBS Hub Manila - Proc P2P"/>
    <m/>
    <s v="Rename"/>
    <x v="1"/>
    <x v="0"/>
    <s v="MGF"/>
    <m/>
    <m/>
    <s v="Jojeff Tagnong"/>
  </r>
  <r>
    <n v="1592"/>
    <s v="F2"/>
    <x v="64"/>
    <s v="G000000057"/>
    <s v="G1I PO - Procurement Excellence"/>
    <m/>
    <s v="Rename"/>
    <x v="1"/>
    <x v="0"/>
    <s v="MGF"/>
    <m/>
    <m/>
    <s v="Jojeff Tagnong"/>
  </r>
  <r>
    <n v="1593"/>
    <s v="F2"/>
    <x v="64"/>
    <s v="G000000761"/>
    <s v="Finished projects"/>
    <m/>
    <s v="Rename"/>
    <x v="1"/>
    <x v="0"/>
    <s v="MGF"/>
    <m/>
    <m/>
    <s v="Jojeff Tagnong"/>
  </r>
  <r>
    <n v="1594"/>
    <s v="F2"/>
    <x v="64"/>
    <s v="G000000762"/>
    <s v="LTIP time value"/>
    <m/>
    <s v="Rename"/>
    <x v="1"/>
    <x v="0"/>
    <s v="MGF"/>
    <m/>
    <m/>
    <s v="Jojeff Tagnong"/>
  </r>
  <r>
    <n v="1595"/>
    <s v="F2"/>
    <x v="64"/>
    <s v="G000001360"/>
    <s v="G7J DX - Lumina Enablement Office"/>
    <m/>
    <s v="Rename"/>
    <x v="1"/>
    <x v="0"/>
    <s v="MGF"/>
    <m/>
    <m/>
    <s v="Jojeff Tagnong"/>
  </r>
  <r>
    <n v="1596"/>
    <s v="F2"/>
    <x v="64"/>
    <s v="G000001452"/>
    <s v="GEI PS - Databases"/>
    <s v="G000000590"/>
    <s v="Rename/Move"/>
    <x v="1"/>
    <x v="0"/>
    <s v="MGF"/>
    <m/>
    <m/>
    <s v="Jojeff Tagnong"/>
  </r>
  <r>
    <n v="1597"/>
    <s v="F2"/>
    <x v="64"/>
    <s v="G000001285"/>
    <m/>
    <s v="O000000009"/>
    <s v="Remove"/>
    <x v="1"/>
    <x v="0"/>
    <s v="MGF"/>
    <m/>
    <m/>
    <s v="Jojeff Tagnong"/>
  </r>
  <r>
    <n v="1598"/>
    <s v="F2"/>
    <x v="64"/>
    <s v="G000000562"/>
    <m/>
    <s v="O000000009"/>
    <s v="Remove"/>
    <x v="1"/>
    <x v="0"/>
    <s v="MGF"/>
    <m/>
    <m/>
    <s v="Jojeff Tagnong"/>
  </r>
  <r>
    <n v="1599"/>
    <s v="F2"/>
    <x v="65"/>
    <s v="H000005090"/>
    <s v="CN - Rare Tumors/Rare Disease"/>
    <s v="H000001386"/>
    <s v="New"/>
    <x v="1"/>
    <x v="0"/>
    <s v="HC"/>
    <m/>
    <m/>
    <s v="John Poulie Borromeo"/>
  </r>
  <r>
    <n v="1600"/>
    <s v="F2"/>
    <x v="65"/>
    <s v="H000005091"/>
    <s v="CN - RT Field Force"/>
    <s v="H000005090"/>
    <s v="New"/>
    <x v="1"/>
    <x v="0"/>
    <s v="HC"/>
    <m/>
    <m/>
    <s v="John Poulie Borromeo"/>
  </r>
  <r>
    <n v="1601"/>
    <s v="F2"/>
    <x v="65"/>
    <s v="H000005092"/>
    <s v="CN - RT Internal Sales Service"/>
    <s v="H000005090"/>
    <s v="New"/>
    <x v="1"/>
    <x v="0"/>
    <s v="HC"/>
    <m/>
    <m/>
    <s v="John Poulie Borromeo"/>
  </r>
  <r>
    <n v="1602"/>
    <s v="F2"/>
    <x v="65"/>
    <s v="H000005093"/>
    <s v="CN - RT Sales Promotion"/>
    <s v="H000005090"/>
    <s v="New"/>
    <x v="1"/>
    <x v="0"/>
    <s v="HC"/>
    <m/>
    <m/>
    <s v="John Poulie Borromeo"/>
  </r>
  <r>
    <n v="1603"/>
    <s v="F2"/>
    <x v="65"/>
    <s v="H000005094"/>
    <s v="CN - RT ISS Custumer Solution"/>
    <s v="H000005092"/>
    <s v="New"/>
    <x v="1"/>
    <x v="0"/>
    <s v="HC"/>
    <m/>
    <m/>
    <s v="John Poulie Borromeo"/>
  </r>
  <r>
    <n v="1604"/>
    <s v="F2"/>
    <x v="65"/>
    <s v="H000005095"/>
    <s v="CN - RT ISS Biomarker"/>
    <s v="H000005092"/>
    <s v="New"/>
    <x v="1"/>
    <x v="0"/>
    <s v="HC"/>
    <m/>
    <m/>
    <s v="John Poulie Borromeo"/>
  </r>
  <r>
    <n v="1605"/>
    <s v="F2"/>
    <x v="65"/>
    <s v="H000005096"/>
    <s v="CN - RT ISS Marketing"/>
    <s v="H000005092"/>
    <s v="New"/>
    <x v="1"/>
    <x v="0"/>
    <s v="HC"/>
    <m/>
    <m/>
    <s v="John Poulie Borromeo"/>
  </r>
  <r>
    <n v="1606"/>
    <s v="F2"/>
    <x v="65"/>
    <s v="H000005097"/>
    <s v="CN - RT ISS Francise Head"/>
    <s v="H000005092"/>
    <s v="New"/>
    <x v="1"/>
    <x v="0"/>
    <s v="HC"/>
    <m/>
    <m/>
    <s v="John Poulie Borromeo"/>
  </r>
  <r>
    <n v="1607"/>
    <s v="F2"/>
    <x v="65"/>
    <s v="H000005098"/>
    <s v="CN - RT FF Pimi"/>
    <s v="H000005091"/>
    <s v="New"/>
    <x v="1"/>
    <x v="0"/>
    <s v="HC"/>
    <m/>
    <m/>
    <s v="John Poulie Borromeo"/>
  </r>
  <r>
    <n v="1608"/>
    <s v="F2"/>
    <x v="65"/>
    <s v="H000005099"/>
    <s v="CN - RT Sales Promotion Pimi"/>
    <s v="H000005093"/>
    <s v="New"/>
    <x v="1"/>
    <x v="0"/>
    <s v="HC"/>
    <m/>
    <m/>
    <s v="John Poulie Borromeo"/>
  </r>
  <r>
    <n v="1609"/>
    <s v="F2"/>
    <x v="65"/>
    <s v="H000005100"/>
    <s v="CN - RT ISS MKT Pimi"/>
    <s v="H000005096"/>
    <s v="New"/>
    <x v="1"/>
    <x v="0"/>
    <s v="HC"/>
    <m/>
    <m/>
    <s v="John Poulie Borromeo"/>
  </r>
  <r>
    <n v="1610"/>
    <s v="F2"/>
    <x v="65"/>
    <s v="H000005101"/>
    <s v="CN - RT FF Ogsiveo"/>
    <s v="H000005091"/>
    <s v="New"/>
    <x v="1"/>
    <x v="0"/>
    <s v="HC"/>
    <m/>
    <m/>
    <s v="John Poulie Borromeo"/>
  </r>
  <r>
    <n v="1611"/>
    <s v="F2"/>
    <x v="65"/>
    <s v="H000005102"/>
    <s v="CN - RT Sales Promotion Ogsiveo"/>
    <s v="H000005093"/>
    <s v="New"/>
    <x v="1"/>
    <x v="0"/>
    <s v="HC"/>
    <m/>
    <m/>
    <s v="John Poulie Borromeo"/>
  </r>
  <r>
    <n v="1612"/>
    <s v="F2"/>
    <x v="65"/>
    <s v="H000005103"/>
    <s v="CN - RT ISS MKT Ogsiveo"/>
    <s v="H000005096"/>
    <s v="New"/>
    <x v="1"/>
    <x v="0"/>
    <s v="HC"/>
    <m/>
    <m/>
    <s v="John Poulie Borromeo"/>
  </r>
  <r>
    <n v="1613"/>
    <s v="F2"/>
    <x v="65"/>
    <s v="H000005104"/>
    <s v="CN - RT FF Gomekli/Ezmekly"/>
    <s v="H000005091"/>
    <s v="New"/>
    <x v="1"/>
    <x v="0"/>
    <s v="HC"/>
    <m/>
    <m/>
    <s v="John Poulie Borromeo"/>
  </r>
  <r>
    <n v="1614"/>
    <s v="F2"/>
    <x v="65"/>
    <s v="H000005105"/>
    <s v="CN - RT Sales Promotion Gomekli/Ezmekly"/>
    <s v="H000005093"/>
    <s v="New"/>
    <x v="1"/>
    <x v="0"/>
    <s v="HC"/>
    <m/>
    <m/>
    <s v="John Poulie Borromeo"/>
  </r>
  <r>
    <n v="1615"/>
    <s v="F2"/>
    <x v="65"/>
    <s v="H000005106"/>
    <s v="CN - RT ISS MKT Gomekli/Ezmekly"/>
    <s v="H000005096"/>
    <s v="New"/>
    <x v="1"/>
    <x v="0"/>
    <s v="HC"/>
    <m/>
    <m/>
    <s v="John Poulie Borromeo"/>
  </r>
  <r>
    <n v="1616"/>
    <s v="F2"/>
    <x v="65"/>
    <s v="H000005107"/>
    <s v="CN - RT ISS MKT Pimi"/>
    <s v="H000005096"/>
    <s v="New"/>
    <x v="1"/>
    <x v="0"/>
    <s v="HC"/>
    <m/>
    <m/>
    <s v="John Poulie Borromeo"/>
  </r>
  <r>
    <n v="1617"/>
    <s v="F2"/>
    <x v="65"/>
    <s v="H000005108"/>
    <s v="CN - RT Sales Promotion Pimi"/>
    <s v="H000005093"/>
    <s v="New"/>
    <x v="1"/>
    <x v="0"/>
    <s v="HC"/>
    <m/>
    <m/>
    <s v="John Poulie Borrome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58">
        <item m="1" x="93"/>
        <item m="1" x="135"/>
        <item m="1" x="152"/>
        <item m="1" x="146"/>
        <item m="1" x="131"/>
        <item m="1" x="89"/>
        <item m="1" x="97"/>
        <item m="1" x="122"/>
        <item m="1" x="119"/>
        <item m="1" x="69"/>
        <item m="1" x="153"/>
        <item m="1" x="111"/>
        <item m="1" x="92"/>
        <item m="1" x="100"/>
        <item m="1" x="104"/>
        <item m="1" x="74"/>
        <item m="1" x="106"/>
        <item m="1" x="75"/>
        <item m="1" x="141"/>
        <item m="1" x="87"/>
        <item m="1" x="136"/>
        <item m="1" x="150"/>
        <item m="1" x="78"/>
        <item m="1" x="144"/>
        <item m="1" x="115"/>
        <item m="1" x="102"/>
        <item m="1" x="90"/>
        <item m="1" x="98"/>
        <item m="1" x="137"/>
        <item m="1" x="129"/>
        <item m="1" x="85"/>
        <item m="1" x="113"/>
        <item m="1" x="120"/>
        <item m="1" x="133"/>
        <item m="1" x="71"/>
        <item m="1" x="130"/>
        <item m="1" x="118"/>
        <item m="1" x="77"/>
        <item m="1" x="148"/>
        <item m="1" x="91"/>
        <item m="1" x="151"/>
        <item m="1" x="142"/>
        <item m="1" x="88"/>
        <item m="1" x="70"/>
        <item m="1" x="68"/>
        <item m="1" x="140"/>
        <item m="1" x="114"/>
        <item m="1" x="101"/>
        <item m="1" x="139"/>
        <item m="1" x="110"/>
        <item m="1" x="73"/>
        <item m="1" x="147"/>
        <item m="1" x="112"/>
        <item m="1" x="72"/>
        <item m="1" x="123"/>
        <item m="1" x="107"/>
        <item m="1" x="82"/>
        <item m="1" x="108"/>
        <item m="1" x="132"/>
        <item m="1" x="83"/>
        <item m="1" x="156"/>
        <item m="1" x="103"/>
        <item m="1" x="79"/>
        <item m="1" x="84"/>
        <item m="1" x="81"/>
        <item m="1" x="128"/>
        <item m="1" x="109"/>
        <item m="1" x="121"/>
        <item m="1" x="94"/>
        <item m="1" x="127"/>
        <item m="1" x="117"/>
        <item m="1" x="99"/>
        <item m="1" x="95"/>
        <item m="1" x="138"/>
        <item m="1" x="143"/>
        <item m="1" x="124"/>
        <item m="1" x="116"/>
        <item m="1" x="80"/>
        <item m="1" x="67"/>
        <item m="1" x="155"/>
        <item m="1" x="134"/>
        <item m="1" x="76"/>
        <item m="1" x="154"/>
        <item m="1" x="126"/>
        <item m="1" x="149"/>
        <item m="1" x="145"/>
        <item m="1" x="105"/>
        <item m="1" x="86"/>
        <item m="1" x="96"/>
        <item m="1" x="12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55"/>
    </i>
    <i r="1">
      <x v="1"/>
    </i>
    <i>
      <x v="156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506" totalsRowShown="0">
  <autoFilter ref="A1:M2506" xr:uid="{00000000-000C-0000-FFFF-FFFF00000000}">
    <filterColumn colId="3">
      <colorFilter dxfId="0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66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65">
      <calculatedColumnFormula>IFERROR(VLOOKUP(Table2[[#This Row], [Ticket]],Okey!A:B,2,0),"")</calculatedColumnFormula>
    </tableColumn>
    <tableColumn id="9" xr3:uid="{00000000-0010-0000-0000-000009000000}" name="STATUS Check" dataDxfId="64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63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B6" sqref="B6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9815</v>
      </c>
      <c r="B4" s="44">
        <v>41</v>
      </c>
    </row>
    <row r="5" spans="1:2">
      <c r="A5" s="67" t="s">
        <v>8546</v>
      </c>
      <c r="B5" s="44">
        <v>41</v>
      </c>
    </row>
    <row r="6" spans="1:2">
      <c r="A6" s="32" t="s">
        <v>9828</v>
      </c>
      <c r="B6" s="44">
        <v>19</v>
      </c>
    </row>
    <row r="7" spans="1:2">
      <c r="A7" s="67" t="s">
        <v>8546</v>
      </c>
      <c r="B7" s="44">
        <v>19</v>
      </c>
    </row>
    <row r="8" spans="1:2">
      <c r="A8" s="32" t="s">
        <v>10</v>
      </c>
      <c r="B8" s="44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52"/>
  <sheetViews>
    <sheetView topLeftCell="A303" workbookViewId="0">
      <selection activeCell="B352" sqref="B352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  <row r="348" spans="1:2">
      <c r="A348" s="46" t="s">
        <v>9776</v>
      </c>
      <c r="B348" s="36" t="s">
        <v>86</v>
      </c>
    </row>
    <row r="349" spans="1:2">
      <c r="A349" s="46" t="s">
        <v>9777</v>
      </c>
      <c r="B349" s="36" t="s">
        <v>86</v>
      </c>
    </row>
    <row r="350" spans="1:2">
      <c r="A350" s="46" t="s">
        <v>9780</v>
      </c>
      <c r="B350" s="36" t="s">
        <v>86</v>
      </c>
    </row>
    <row r="351" spans="1:2">
      <c r="A351" s="5" t="s">
        <v>9815</v>
      </c>
      <c r="B351" s="36" t="s">
        <v>86</v>
      </c>
    </row>
    <row r="352" spans="1:2">
      <c r="A352" s="5" t="s">
        <v>9828</v>
      </c>
      <c r="B352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506"/>
  <sheetViews>
    <sheetView tabSelected="1" topLeftCell="A1636" zoomScaleNormal="100" workbookViewId="0">
      <selection activeCell="F2288" sqref="F2288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56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9749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9750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9751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9752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9753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9754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9755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9756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9757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9758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9759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9760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9761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9762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9763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9764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9765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9766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9767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9768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9769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9770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 hidden="1">
      <c r="A1551" s="42">
        <f t="shared" si="24"/>
        <v>1550</v>
      </c>
      <c r="B1551" s="36" t="s">
        <v>8</v>
      </c>
      <c r="C1551" s="9" t="s">
        <v>9776</v>
      </c>
      <c r="D1551" s="9" t="s">
        <v>9771</v>
      </c>
      <c r="E1551" s="9" t="s">
        <v>9772</v>
      </c>
      <c r="F1551" s="9" t="s">
        <v>5286</v>
      </c>
      <c r="G1551" s="36" t="s">
        <v>14</v>
      </c>
      <c r="H1551" s="36" t="str">
        <f>IFERROR(VLOOKUP(Table2[[#This Row], [Ticket]],Okey!A:B,2,0),"")</f>
        <v>ok</v>
      </c>
      <c r="I1551" s="36" t="s">
        <v>8546</v>
      </c>
      <c r="J1551" s="36" t="s">
        <v>19</v>
      </c>
      <c r="K1551" s="36"/>
      <c r="L1551" s="36"/>
      <c r="M1551" s="9" t="s">
        <v>4782</v>
      </c>
    </row>
    <row r="1552" spans="1:13" hidden="1">
      <c r="A1552" s="42">
        <f t="shared" si="24"/>
        <v>1551</v>
      </c>
      <c r="B1552" s="36" t="s">
        <v>8</v>
      </c>
      <c r="C1552" s="36" t="s">
        <v>9776</v>
      </c>
      <c r="D1552" s="36" t="s">
        <v>9781</v>
      </c>
      <c r="E1552" s="9" t="s">
        <v>9773</v>
      </c>
      <c r="F1552" s="9" t="s">
        <v>9774</v>
      </c>
      <c r="G1552" s="36" t="s">
        <v>14</v>
      </c>
      <c r="H1552" s="36" t="str">
        <f>IFERROR(VLOOKUP(Table2[[#This Row], [Ticket]],Okey!A:B,2,0),"")</f>
        <v>ok</v>
      </c>
      <c r="I1552" s="36" t="s">
        <v>8546</v>
      </c>
      <c r="J1552" s="36" t="s">
        <v>19</v>
      </c>
      <c r="K1552" s="36"/>
      <c r="L1552" s="36"/>
      <c r="M1552" s="36" t="s">
        <v>4782</v>
      </c>
    </row>
    <row r="1553" spans="1:13" hidden="1">
      <c r="A1553" s="42">
        <f t="shared" si="24"/>
        <v>1552</v>
      </c>
      <c r="B1553" s="36" t="s">
        <v>8</v>
      </c>
      <c r="C1553" s="36" t="s">
        <v>9776</v>
      </c>
      <c r="D1553" s="36" t="s">
        <v>9782</v>
      </c>
      <c r="E1553" s="9" t="s">
        <v>9775</v>
      </c>
      <c r="F1553" s="9" t="s">
        <v>9774</v>
      </c>
      <c r="G1553" s="36" t="s">
        <v>14</v>
      </c>
      <c r="H1553" s="36" t="str">
        <f>IFERROR(VLOOKUP(Table2[[#This Row], [Ticket]],Okey!A:B,2,0),"")</f>
        <v>ok</v>
      </c>
      <c r="I1553" s="36" t="s">
        <v>8546</v>
      </c>
      <c r="J1553" s="36" t="s">
        <v>19</v>
      </c>
      <c r="K1553" s="36"/>
      <c r="L1553" s="36"/>
      <c r="M1553" s="36" t="s">
        <v>4782</v>
      </c>
    </row>
    <row r="1554" spans="1:13" hidden="1">
      <c r="A1554" s="42">
        <f t="shared" si="24"/>
        <v>1553</v>
      </c>
      <c r="B1554" s="36" t="s">
        <v>8</v>
      </c>
      <c r="C1554" s="9" t="s">
        <v>9777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>ok</v>
      </c>
      <c r="I1554" s="36" t="s">
        <v>8546</v>
      </c>
      <c r="J1554" s="9" t="s">
        <v>17</v>
      </c>
      <c r="L1554" s="36"/>
      <c r="M1554" s="9" t="s">
        <v>9011</v>
      </c>
    </row>
    <row r="1555" spans="1:13" hidden="1">
      <c r="A1555" s="42">
        <f t="shared" si="24"/>
        <v>1554</v>
      </c>
      <c r="B1555" s="36" t="s">
        <v>8</v>
      </c>
      <c r="C1555" s="36" t="s">
        <v>9777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>ok</v>
      </c>
      <c r="I1555" s="36" t="s">
        <v>8546</v>
      </c>
      <c r="J1555" s="36" t="s">
        <v>17</v>
      </c>
      <c r="L1555" s="36"/>
      <c r="M1555" s="36" t="s">
        <v>9011</v>
      </c>
    </row>
    <row r="1556" spans="1:13" hidden="1">
      <c r="A1556" s="42">
        <f t="shared" si="24"/>
        <v>1555</v>
      </c>
      <c r="B1556" s="36" t="s">
        <v>8</v>
      </c>
      <c r="C1556" s="9" t="s">
        <v>9780</v>
      </c>
      <c r="D1556" s="9" t="s">
        <v>9778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>ok</v>
      </c>
      <c r="I1556" s="36" t="s">
        <v>8546</v>
      </c>
      <c r="J1556" s="36" t="s">
        <v>19</v>
      </c>
      <c r="L1556" s="36"/>
      <c r="M1556" s="9" t="s">
        <v>9605</v>
      </c>
    </row>
    <row r="1557" spans="1:13">
      <c r="A1557" s="42">
        <f t="shared" ref="A1557:A1621" si="25">1+A1556</f>
        <v>1556</v>
      </c>
      <c r="B1557" s="36" t="s">
        <v>8</v>
      </c>
      <c r="C1557" s="36" t="s">
        <v>9780</v>
      </c>
      <c r="D1557" s="9" t="s">
        <v>9664</v>
      </c>
      <c r="E1557" s="9" t="s">
        <v>9779</v>
      </c>
      <c r="G1557" s="9" t="s">
        <v>15</v>
      </c>
      <c r="H1557" s="36" t="str">
        <f>IFERROR(VLOOKUP(Table2[[#This Row], [Ticket]],Okey!A:B,2,0),"")</f>
        <v>ok</v>
      </c>
      <c r="I1557" s="36" t="s">
        <v>8546</v>
      </c>
      <c r="J1557" s="36" t="s">
        <v>19</v>
      </c>
      <c r="L1557" s="36"/>
      <c r="M1557" s="36" t="s">
        <v>9605</v>
      </c>
    </row>
    <row r="1558" spans="1:13">
      <c r="A1558" s="42">
        <f t="shared" si="25"/>
        <v>1557</v>
      </c>
      <c r="B1558" s="36" t="s">
        <v>8</v>
      </c>
      <c r="C1558" s="36" t="s">
        <v>9780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>ok</v>
      </c>
      <c r="I1558" s="36" t="s">
        <v>8546</v>
      </c>
      <c r="J1558" s="36" t="s">
        <v>19</v>
      </c>
      <c r="L1558" s="36"/>
      <c r="M1558" s="36" t="s">
        <v>9605</v>
      </c>
    </row>
    <row r="1559" spans="1:13" hidden="1">
      <c r="A1559" s="42">
        <f t="shared" si="25"/>
        <v>1558</v>
      </c>
      <c r="B1559" s="36" t="s">
        <v>8</v>
      </c>
      <c r="C1559" s="9" t="s">
        <v>9815</v>
      </c>
      <c r="D1559" s="9" t="s">
        <v>9847</v>
      </c>
      <c r="E1559" s="9" t="s">
        <v>9783</v>
      </c>
      <c r="F1559" s="9" t="s">
        <v>4837</v>
      </c>
      <c r="G1559" s="36" t="s">
        <v>14</v>
      </c>
      <c r="H1559" s="36" t="str">
        <f>IFERROR(VLOOKUP(Table2[[#This Row], [Ticket]],Okey!A:B,2,0),"")</f>
        <v>ok</v>
      </c>
      <c r="I1559" s="36" t="s">
        <v>8546</v>
      </c>
      <c r="J1559" s="9" t="s">
        <v>17</v>
      </c>
      <c r="L1559" s="36"/>
      <c r="M1559" s="9" t="s">
        <v>4778</v>
      </c>
    </row>
    <row r="1560" spans="1:13" hidden="1">
      <c r="A1560" s="42">
        <f t="shared" si="25"/>
        <v>1559</v>
      </c>
      <c r="B1560" s="36" t="s">
        <v>8</v>
      </c>
      <c r="C1560" s="36" t="s">
        <v>9815</v>
      </c>
      <c r="D1560" s="9" t="s">
        <v>9848</v>
      </c>
      <c r="E1560" s="9" t="s">
        <v>9784</v>
      </c>
      <c r="F1560" s="9" t="s">
        <v>9879</v>
      </c>
      <c r="G1560" s="36" t="s">
        <v>14</v>
      </c>
      <c r="H1560" s="36" t="str">
        <f>IFERROR(VLOOKUP(Table2[[#This Row], [Ticket]],Okey!A:B,2,0),"")</f>
        <v>ok</v>
      </c>
      <c r="I1560" s="36" t="s">
        <v>8546</v>
      </c>
      <c r="J1560" s="36" t="s">
        <v>17</v>
      </c>
      <c r="K1560" s="36"/>
      <c r="L1560" s="36"/>
      <c r="M1560" s="36" t="s">
        <v>4778</v>
      </c>
    </row>
    <row r="1561" spans="1:13" hidden="1">
      <c r="A1561" s="42">
        <f t="shared" si="25"/>
        <v>1560</v>
      </c>
      <c r="B1561" s="36" t="s">
        <v>8</v>
      </c>
      <c r="C1561" s="36" t="s">
        <v>9815</v>
      </c>
      <c r="D1561" s="9" t="s">
        <v>9849</v>
      </c>
      <c r="E1561" s="9" t="s">
        <v>9785</v>
      </c>
      <c r="F1561" s="9" t="s">
        <v>9848</v>
      </c>
      <c r="G1561" s="36" t="s">
        <v>14</v>
      </c>
      <c r="H1561" s="36" t="str">
        <f>IFERROR(VLOOKUP(Table2[[#This Row], [Ticket]],Okey!A:B,2,0),"")</f>
        <v>ok</v>
      </c>
      <c r="I1561" s="36" t="s">
        <v>8546</v>
      </c>
      <c r="J1561" s="36" t="s">
        <v>17</v>
      </c>
      <c r="K1561" s="36"/>
      <c r="L1561" s="36"/>
      <c r="M1561" s="36" t="s">
        <v>4778</v>
      </c>
    </row>
    <row r="1562" spans="1:13" hidden="1">
      <c r="A1562" s="42">
        <f t="shared" si="25"/>
        <v>1561</v>
      </c>
      <c r="B1562" s="36" t="s">
        <v>8</v>
      </c>
      <c r="C1562" s="36" t="s">
        <v>9815</v>
      </c>
      <c r="D1562" s="9" t="s">
        <v>9850</v>
      </c>
      <c r="E1562" s="9" t="s">
        <v>9786</v>
      </c>
      <c r="F1562" s="9" t="s">
        <v>9848</v>
      </c>
      <c r="G1562" s="36" t="s">
        <v>14</v>
      </c>
      <c r="H1562" s="36" t="str">
        <f>IFERROR(VLOOKUP(Table2[[#This Row], [Ticket]],Okey!A:B,2,0),"")</f>
        <v>ok</v>
      </c>
      <c r="I1562" s="36" t="s">
        <v>8546</v>
      </c>
      <c r="J1562" s="36" t="s">
        <v>17</v>
      </c>
      <c r="K1562" s="36"/>
      <c r="L1562" s="36"/>
      <c r="M1562" s="36" t="s">
        <v>4778</v>
      </c>
    </row>
    <row r="1563" spans="1:13" hidden="1">
      <c r="A1563" s="42">
        <f t="shared" si="25"/>
        <v>1562</v>
      </c>
      <c r="B1563" s="36" t="s">
        <v>8</v>
      </c>
      <c r="C1563" s="36" t="s">
        <v>9815</v>
      </c>
      <c r="D1563" s="9" t="s">
        <v>9851</v>
      </c>
      <c r="E1563" s="9" t="s">
        <v>9787</v>
      </c>
      <c r="F1563" s="9" t="s">
        <v>9849</v>
      </c>
      <c r="G1563" s="36" t="s">
        <v>14</v>
      </c>
      <c r="H1563" s="36" t="str">
        <f>IFERROR(VLOOKUP(Table2[[#This Row], [Ticket]],Okey!A:B,2,0),"")</f>
        <v>ok</v>
      </c>
      <c r="I1563" s="36" t="s">
        <v>8546</v>
      </c>
      <c r="J1563" s="36" t="s">
        <v>17</v>
      </c>
      <c r="K1563" s="36"/>
      <c r="L1563" s="36"/>
      <c r="M1563" s="36" t="s">
        <v>4778</v>
      </c>
    </row>
    <row r="1564" spans="1:13" hidden="1">
      <c r="A1564" s="42">
        <f t="shared" si="25"/>
        <v>1563</v>
      </c>
      <c r="B1564" s="36" t="s">
        <v>8</v>
      </c>
      <c r="C1564" s="36" t="s">
        <v>9815</v>
      </c>
      <c r="D1564" s="9" t="s">
        <v>9852</v>
      </c>
      <c r="E1564" s="9" t="s">
        <v>9788</v>
      </c>
      <c r="F1564" s="9" t="s">
        <v>9850</v>
      </c>
      <c r="G1564" s="36" t="s">
        <v>14</v>
      </c>
      <c r="H1564" s="36" t="str">
        <f>IFERROR(VLOOKUP(Table2[[#This Row], [Ticket]],Okey!A:B,2,0),"")</f>
        <v>ok</v>
      </c>
      <c r="I1564" s="36" t="s">
        <v>8546</v>
      </c>
      <c r="J1564" s="36" t="s">
        <v>17</v>
      </c>
      <c r="K1564" s="36"/>
      <c r="L1564" s="36"/>
      <c r="M1564" s="36" t="s">
        <v>4778</v>
      </c>
    </row>
    <row r="1565" spans="1:13" hidden="1">
      <c r="A1565" s="42">
        <f t="shared" si="25"/>
        <v>1564</v>
      </c>
      <c r="B1565" s="36" t="s">
        <v>8</v>
      </c>
      <c r="C1565" s="36" t="s">
        <v>9815</v>
      </c>
      <c r="D1565" s="9" t="s">
        <v>9853</v>
      </c>
      <c r="E1565" s="9" t="s">
        <v>9789</v>
      </c>
      <c r="F1565" s="9" t="s">
        <v>9850</v>
      </c>
      <c r="G1565" s="36" t="s">
        <v>14</v>
      </c>
      <c r="H1565" s="36" t="str">
        <f>IFERROR(VLOOKUP(Table2[[#This Row], [Ticket]],Okey!A:B,2,0),"")</f>
        <v>ok</v>
      </c>
      <c r="I1565" s="36" t="s">
        <v>8546</v>
      </c>
      <c r="J1565" s="36" t="s">
        <v>17</v>
      </c>
      <c r="K1565" s="36"/>
      <c r="L1565" s="36"/>
      <c r="M1565" s="36" t="s">
        <v>4778</v>
      </c>
    </row>
    <row r="1566" spans="1:13" hidden="1">
      <c r="A1566" s="42">
        <f t="shared" si="25"/>
        <v>1565</v>
      </c>
      <c r="B1566" s="36" t="s">
        <v>8</v>
      </c>
      <c r="C1566" s="36" t="s">
        <v>9815</v>
      </c>
      <c r="D1566" s="9" t="s">
        <v>9854</v>
      </c>
      <c r="E1566" s="9" t="s">
        <v>9790</v>
      </c>
      <c r="F1566" s="9" t="s">
        <v>9879</v>
      </c>
      <c r="G1566" s="36" t="s">
        <v>14</v>
      </c>
      <c r="H1566" s="36" t="str">
        <f>IFERROR(VLOOKUP(Table2[[#This Row], [Ticket]],Okey!A:B,2,0),"")</f>
        <v>ok</v>
      </c>
      <c r="I1566" s="36" t="s">
        <v>8546</v>
      </c>
      <c r="J1566" s="36" t="s">
        <v>17</v>
      </c>
      <c r="K1566" s="36"/>
      <c r="L1566" s="36"/>
      <c r="M1566" s="36" t="s">
        <v>4778</v>
      </c>
    </row>
    <row r="1567" spans="1:13" hidden="1">
      <c r="A1567" s="42">
        <f t="shared" si="25"/>
        <v>1566</v>
      </c>
      <c r="B1567" s="36" t="s">
        <v>8</v>
      </c>
      <c r="C1567" s="36" t="s">
        <v>9815</v>
      </c>
      <c r="D1567" s="9" t="s">
        <v>9855</v>
      </c>
      <c r="E1567" s="9" t="s">
        <v>9791</v>
      </c>
      <c r="F1567" s="9" t="s">
        <v>3679</v>
      </c>
      <c r="G1567" s="36" t="s">
        <v>14</v>
      </c>
      <c r="H1567" s="36" t="str">
        <f>IFERROR(VLOOKUP(Table2[[#This Row], [Ticket]],Okey!A:B,2,0),"")</f>
        <v>ok</v>
      </c>
      <c r="I1567" s="36" t="s">
        <v>8546</v>
      </c>
      <c r="J1567" s="36" t="s">
        <v>17</v>
      </c>
      <c r="K1567" s="36"/>
      <c r="L1567" s="36"/>
      <c r="M1567" s="36" t="s">
        <v>4778</v>
      </c>
    </row>
    <row r="1568" spans="1:13" hidden="1">
      <c r="A1568" s="42">
        <f t="shared" si="25"/>
        <v>1567</v>
      </c>
      <c r="B1568" s="36" t="s">
        <v>8</v>
      </c>
      <c r="C1568" s="36" t="s">
        <v>9815</v>
      </c>
      <c r="D1568" s="9" t="s">
        <v>9856</v>
      </c>
      <c r="E1568" s="9" t="s">
        <v>9792</v>
      </c>
      <c r="F1568" s="9" t="s">
        <v>9855</v>
      </c>
      <c r="G1568" s="36" t="s">
        <v>14</v>
      </c>
      <c r="H1568" s="36" t="str">
        <f>IFERROR(VLOOKUP(Table2[[#This Row], [Ticket]],Okey!A:B,2,0),"")</f>
        <v>ok</v>
      </c>
      <c r="I1568" s="36" t="s">
        <v>8546</v>
      </c>
      <c r="J1568" s="36" t="s">
        <v>17</v>
      </c>
      <c r="K1568" s="36"/>
      <c r="L1568" s="36"/>
      <c r="M1568" s="36" t="s">
        <v>4778</v>
      </c>
    </row>
    <row r="1569" spans="1:13" hidden="1">
      <c r="A1569" s="42">
        <f t="shared" si="25"/>
        <v>1568</v>
      </c>
      <c r="B1569" s="36" t="s">
        <v>8</v>
      </c>
      <c r="C1569" s="36" t="s">
        <v>9815</v>
      </c>
      <c r="D1569" s="9" t="s">
        <v>9857</v>
      </c>
      <c r="E1569" s="9" t="s">
        <v>9793</v>
      </c>
      <c r="F1569" s="9" t="s">
        <v>9855</v>
      </c>
      <c r="G1569" s="36" t="s">
        <v>14</v>
      </c>
      <c r="H1569" s="36" t="str">
        <f>IFERROR(VLOOKUP(Table2[[#This Row], [Ticket]],Okey!A:B,2,0),"")</f>
        <v>ok</v>
      </c>
      <c r="I1569" s="36" t="s">
        <v>8546</v>
      </c>
      <c r="J1569" s="36" t="s">
        <v>17</v>
      </c>
      <c r="K1569" s="36"/>
      <c r="L1569" s="36"/>
      <c r="M1569" s="36" t="s">
        <v>4778</v>
      </c>
    </row>
    <row r="1570" spans="1:13" hidden="1">
      <c r="A1570" s="42">
        <f t="shared" si="25"/>
        <v>1569</v>
      </c>
      <c r="B1570" s="36" t="s">
        <v>8</v>
      </c>
      <c r="C1570" s="36" t="s">
        <v>9815</v>
      </c>
      <c r="D1570" s="9" t="s">
        <v>9858</v>
      </c>
      <c r="E1570" s="9" t="s">
        <v>9794</v>
      </c>
      <c r="F1570" s="9" t="s">
        <v>9856</v>
      </c>
      <c r="G1570" s="36" t="s">
        <v>14</v>
      </c>
      <c r="H1570" s="36" t="str">
        <f>IFERROR(VLOOKUP(Table2[[#This Row], [Ticket]],Okey!A:B,2,0),"")</f>
        <v>ok</v>
      </c>
      <c r="I1570" s="36" t="s">
        <v>8546</v>
      </c>
      <c r="J1570" s="36" t="s">
        <v>17</v>
      </c>
      <c r="K1570" s="36"/>
      <c r="L1570" s="36"/>
      <c r="M1570" s="36" t="s">
        <v>4778</v>
      </c>
    </row>
    <row r="1571" spans="1:13" hidden="1">
      <c r="A1571" s="42">
        <f t="shared" si="25"/>
        <v>1570</v>
      </c>
      <c r="B1571" s="36" t="s">
        <v>8</v>
      </c>
      <c r="C1571" s="36" t="s">
        <v>9815</v>
      </c>
      <c r="D1571" s="9" t="s">
        <v>9859</v>
      </c>
      <c r="E1571" s="9" t="s">
        <v>9795</v>
      </c>
      <c r="F1571" s="9" t="s">
        <v>9857</v>
      </c>
      <c r="G1571" s="36" t="s">
        <v>14</v>
      </c>
      <c r="H1571" s="36" t="str">
        <f>IFERROR(VLOOKUP(Table2[[#This Row], [Ticket]],Okey!A:B,2,0),"")</f>
        <v>ok</v>
      </c>
      <c r="I1571" s="36" t="s">
        <v>8546</v>
      </c>
      <c r="J1571" s="36" t="s">
        <v>17</v>
      </c>
      <c r="K1571" s="36"/>
      <c r="L1571" s="36"/>
      <c r="M1571" s="36" t="s">
        <v>4778</v>
      </c>
    </row>
    <row r="1572" spans="1:13" hidden="1">
      <c r="A1572" s="42">
        <f t="shared" si="25"/>
        <v>1571</v>
      </c>
      <c r="B1572" s="36" t="s">
        <v>8</v>
      </c>
      <c r="C1572" s="36" t="s">
        <v>9815</v>
      </c>
      <c r="D1572" s="9" t="s">
        <v>9860</v>
      </c>
      <c r="E1572" s="9" t="s">
        <v>9796</v>
      </c>
      <c r="F1572" s="9" t="s">
        <v>9857</v>
      </c>
      <c r="G1572" s="36" t="s">
        <v>14</v>
      </c>
      <c r="H1572" s="36" t="str">
        <f>IFERROR(VLOOKUP(Table2[[#This Row], [Ticket]],Okey!A:B,2,0),"")</f>
        <v>ok</v>
      </c>
      <c r="I1572" s="36" t="s">
        <v>8546</v>
      </c>
      <c r="J1572" s="36" t="s">
        <v>17</v>
      </c>
      <c r="K1572" s="36"/>
      <c r="L1572" s="36"/>
      <c r="M1572" s="36" t="s">
        <v>4778</v>
      </c>
    </row>
    <row r="1573" spans="1:13" hidden="1">
      <c r="A1573" s="42">
        <f t="shared" si="25"/>
        <v>1572</v>
      </c>
      <c r="B1573" s="36" t="s">
        <v>8</v>
      </c>
      <c r="C1573" s="36" t="s">
        <v>9815</v>
      </c>
      <c r="D1573" s="9" t="s">
        <v>9861</v>
      </c>
      <c r="E1573" s="9" t="s">
        <v>9797</v>
      </c>
      <c r="F1573" s="9" t="s">
        <v>3679</v>
      </c>
      <c r="G1573" s="36" t="s">
        <v>14</v>
      </c>
      <c r="H1573" s="36" t="str">
        <f>IFERROR(VLOOKUP(Table2[[#This Row], [Ticket]],Okey!A:B,2,0),"")</f>
        <v>ok</v>
      </c>
      <c r="I1573" s="36" t="s">
        <v>8546</v>
      </c>
      <c r="J1573" s="36" t="s">
        <v>17</v>
      </c>
      <c r="K1573" s="36"/>
      <c r="L1573" s="36"/>
      <c r="M1573" s="36" t="s">
        <v>4778</v>
      </c>
    </row>
    <row r="1574" spans="1:13" hidden="1">
      <c r="A1574" s="42">
        <f t="shared" si="25"/>
        <v>1573</v>
      </c>
      <c r="B1574" s="36" t="s">
        <v>8</v>
      </c>
      <c r="C1574" s="36" t="s">
        <v>9815</v>
      </c>
      <c r="D1574" s="9" t="s">
        <v>9862</v>
      </c>
      <c r="E1574" s="9" t="s">
        <v>9798</v>
      </c>
      <c r="F1574" s="9" t="s">
        <v>9861</v>
      </c>
      <c r="G1574" s="36" t="s">
        <v>14</v>
      </c>
      <c r="H1574" s="36" t="str">
        <f>IFERROR(VLOOKUP(Table2[[#This Row], [Ticket]],Okey!A:B,2,0),"")</f>
        <v>ok</v>
      </c>
      <c r="I1574" s="36" t="s">
        <v>8546</v>
      </c>
      <c r="J1574" s="36" t="s">
        <v>17</v>
      </c>
      <c r="K1574" s="36"/>
      <c r="L1574" s="36"/>
      <c r="M1574" s="36" t="s">
        <v>4778</v>
      </c>
    </row>
    <row r="1575" spans="1:13" hidden="1">
      <c r="A1575" s="42">
        <f t="shared" si="25"/>
        <v>1574</v>
      </c>
      <c r="B1575" s="36" t="s">
        <v>8</v>
      </c>
      <c r="C1575" s="36" t="s">
        <v>9815</v>
      </c>
      <c r="D1575" s="9" t="s">
        <v>9863</v>
      </c>
      <c r="E1575" s="9" t="s">
        <v>9799</v>
      </c>
      <c r="F1575" s="9" t="s">
        <v>9861</v>
      </c>
      <c r="G1575" s="36" t="s">
        <v>14</v>
      </c>
      <c r="H1575" s="36" t="str">
        <f>IFERROR(VLOOKUP(Table2[[#This Row], [Ticket]],Okey!A:B,2,0),"")</f>
        <v>ok</v>
      </c>
      <c r="I1575" s="36" t="s">
        <v>8546</v>
      </c>
      <c r="J1575" s="36" t="s">
        <v>17</v>
      </c>
      <c r="K1575" s="36"/>
      <c r="L1575" s="36"/>
      <c r="M1575" s="36" t="s">
        <v>4778</v>
      </c>
    </row>
    <row r="1576" spans="1:13" hidden="1">
      <c r="A1576" s="42">
        <f t="shared" si="25"/>
        <v>1575</v>
      </c>
      <c r="B1576" s="36" t="s">
        <v>8</v>
      </c>
      <c r="C1576" s="36" t="s">
        <v>9815</v>
      </c>
      <c r="D1576" s="9" t="s">
        <v>9864</v>
      </c>
      <c r="E1576" s="9" t="s">
        <v>9800</v>
      </c>
      <c r="F1576" s="9" t="s">
        <v>9862</v>
      </c>
      <c r="G1576" s="36" t="s">
        <v>14</v>
      </c>
      <c r="H1576" s="36" t="str">
        <f>IFERROR(VLOOKUP(Table2[[#This Row], [Ticket]],Okey!A:B,2,0),"")</f>
        <v>ok</v>
      </c>
      <c r="I1576" s="36" t="s">
        <v>8546</v>
      </c>
      <c r="J1576" s="36" t="s">
        <v>17</v>
      </c>
      <c r="K1576" s="36"/>
      <c r="L1576" s="36"/>
      <c r="M1576" s="36" t="s">
        <v>4778</v>
      </c>
    </row>
    <row r="1577" spans="1:13" hidden="1">
      <c r="A1577" s="42">
        <f t="shared" si="25"/>
        <v>1576</v>
      </c>
      <c r="B1577" s="36" t="s">
        <v>8</v>
      </c>
      <c r="C1577" s="36" t="s">
        <v>9815</v>
      </c>
      <c r="D1577" s="9" t="s">
        <v>9865</v>
      </c>
      <c r="E1577" s="9" t="s">
        <v>9801</v>
      </c>
      <c r="F1577" s="9" t="s">
        <v>9863</v>
      </c>
      <c r="G1577" s="36" t="s">
        <v>14</v>
      </c>
      <c r="H1577" s="36" t="str">
        <f>IFERROR(VLOOKUP(Table2[[#This Row], [Ticket]],Okey!A:B,2,0),"")</f>
        <v>ok</v>
      </c>
      <c r="I1577" s="36" t="s">
        <v>8546</v>
      </c>
      <c r="J1577" s="36" t="s">
        <v>17</v>
      </c>
      <c r="K1577" s="36"/>
      <c r="L1577" s="36"/>
      <c r="M1577" s="36" t="s">
        <v>4778</v>
      </c>
    </row>
    <row r="1578" spans="1:13" hidden="1">
      <c r="A1578" s="42">
        <f t="shared" si="25"/>
        <v>1577</v>
      </c>
      <c r="B1578" s="36" t="s">
        <v>8</v>
      </c>
      <c r="C1578" s="36" t="s">
        <v>9815</v>
      </c>
      <c r="D1578" s="9" t="s">
        <v>9866</v>
      </c>
      <c r="E1578" s="9" t="s">
        <v>9802</v>
      </c>
      <c r="F1578" s="9" t="s">
        <v>9863</v>
      </c>
      <c r="G1578" s="36" t="s">
        <v>14</v>
      </c>
      <c r="H1578" s="36" t="str">
        <f>IFERROR(VLOOKUP(Table2[[#This Row], [Ticket]],Okey!A:B,2,0),"")</f>
        <v>ok</v>
      </c>
      <c r="I1578" s="36" t="s">
        <v>8546</v>
      </c>
      <c r="J1578" s="36" t="s">
        <v>17</v>
      </c>
      <c r="K1578" s="36"/>
      <c r="L1578" s="36"/>
      <c r="M1578" s="36" t="s">
        <v>4778</v>
      </c>
    </row>
    <row r="1579" spans="1:13" hidden="1">
      <c r="A1579" s="42">
        <f t="shared" si="25"/>
        <v>1578</v>
      </c>
      <c r="B1579" s="36" t="s">
        <v>8</v>
      </c>
      <c r="C1579" s="36" t="s">
        <v>9815</v>
      </c>
      <c r="D1579" s="9" t="s">
        <v>9867</v>
      </c>
      <c r="E1579" s="9" t="s">
        <v>9803</v>
      </c>
      <c r="F1579" s="9" t="s">
        <v>3679</v>
      </c>
      <c r="G1579" s="36" t="s">
        <v>14</v>
      </c>
      <c r="H1579" s="36" t="str">
        <f>IFERROR(VLOOKUP(Table2[[#This Row], [Ticket]],Okey!A:B,2,0),"")</f>
        <v>ok</v>
      </c>
      <c r="I1579" s="36" t="s">
        <v>8546</v>
      </c>
      <c r="J1579" s="36" t="s">
        <v>17</v>
      </c>
      <c r="K1579" s="36"/>
      <c r="L1579" s="36"/>
      <c r="M1579" s="36" t="s">
        <v>4778</v>
      </c>
    </row>
    <row r="1580" spans="1:13" hidden="1">
      <c r="A1580" s="42">
        <f t="shared" si="25"/>
        <v>1579</v>
      </c>
      <c r="B1580" s="36" t="s">
        <v>8</v>
      </c>
      <c r="C1580" s="36" t="s">
        <v>9815</v>
      </c>
      <c r="D1580" s="9" t="s">
        <v>9868</v>
      </c>
      <c r="E1580" s="9" t="s">
        <v>9804</v>
      </c>
      <c r="F1580" s="9" t="s">
        <v>9867</v>
      </c>
      <c r="G1580" s="36" t="s">
        <v>14</v>
      </c>
      <c r="H1580" s="36" t="str">
        <f>IFERROR(VLOOKUP(Table2[[#This Row], [Ticket]],Okey!A:B,2,0),"")</f>
        <v>ok</v>
      </c>
      <c r="I1580" s="36" t="s">
        <v>8546</v>
      </c>
      <c r="J1580" s="36" t="s">
        <v>17</v>
      </c>
      <c r="K1580" s="36"/>
      <c r="L1580" s="36"/>
      <c r="M1580" s="36" t="s">
        <v>4778</v>
      </c>
    </row>
    <row r="1581" spans="1:13" hidden="1">
      <c r="A1581" s="42">
        <f t="shared" si="25"/>
        <v>1580</v>
      </c>
      <c r="B1581" s="36" t="s">
        <v>8</v>
      </c>
      <c r="C1581" s="36" t="s">
        <v>9815</v>
      </c>
      <c r="D1581" s="9" t="s">
        <v>9869</v>
      </c>
      <c r="E1581" s="9" t="s">
        <v>9805</v>
      </c>
      <c r="F1581" s="9" t="s">
        <v>9867</v>
      </c>
      <c r="G1581" s="36" t="s">
        <v>14</v>
      </c>
      <c r="H1581" s="36" t="str">
        <f>IFERROR(VLOOKUP(Table2[[#This Row], [Ticket]],Okey!A:B,2,0),"")</f>
        <v>ok</v>
      </c>
      <c r="I1581" s="36" t="s">
        <v>8546</v>
      </c>
      <c r="J1581" s="36" t="s">
        <v>17</v>
      </c>
      <c r="K1581" s="36"/>
      <c r="L1581" s="36"/>
      <c r="M1581" s="36" t="s">
        <v>4778</v>
      </c>
    </row>
    <row r="1582" spans="1:13" hidden="1">
      <c r="A1582" s="42">
        <f t="shared" si="25"/>
        <v>1581</v>
      </c>
      <c r="B1582" s="36" t="s">
        <v>8</v>
      </c>
      <c r="C1582" s="36" t="s">
        <v>9815</v>
      </c>
      <c r="D1582" s="9" t="s">
        <v>9870</v>
      </c>
      <c r="E1582" s="9" t="s">
        <v>9806</v>
      </c>
      <c r="F1582" s="9" t="s">
        <v>9868</v>
      </c>
      <c r="G1582" s="36" t="s">
        <v>14</v>
      </c>
      <c r="H1582" s="36" t="str">
        <f>IFERROR(VLOOKUP(Table2[[#This Row], [Ticket]],Okey!A:B,2,0),"")</f>
        <v>ok</v>
      </c>
      <c r="I1582" s="36" t="s">
        <v>8546</v>
      </c>
      <c r="J1582" s="36" t="s">
        <v>17</v>
      </c>
      <c r="K1582" s="36"/>
      <c r="L1582" s="36"/>
      <c r="M1582" s="36" t="s">
        <v>4778</v>
      </c>
    </row>
    <row r="1583" spans="1:13" hidden="1">
      <c r="A1583" s="42">
        <f t="shared" si="25"/>
        <v>1582</v>
      </c>
      <c r="B1583" s="36" t="s">
        <v>8</v>
      </c>
      <c r="C1583" s="36" t="s">
        <v>9815</v>
      </c>
      <c r="D1583" s="9" t="s">
        <v>9871</v>
      </c>
      <c r="E1583" s="9" t="s">
        <v>9807</v>
      </c>
      <c r="F1583" s="9" t="s">
        <v>9869</v>
      </c>
      <c r="G1583" s="36" t="s">
        <v>14</v>
      </c>
      <c r="H1583" s="36" t="str">
        <f>IFERROR(VLOOKUP(Table2[[#This Row], [Ticket]],Okey!A:B,2,0),"")</f>
        <v>ok</v>
      </c>
      <c r="I1583" s="36" t="s">
        <v>8546</v>
      </c>
      <c r="J1583" s="36" t="s">
        <v>17</v>
      </c>
      <c r="K1583" s="36"/>
      <c r="L1583" s="36"/>
      <c r="M1583" s="36" t="s">
        <v>4778</v>
      </c>
    </row>
    <row r="1584" spans="1:13" hidden="1">
      <c r="A1584" s="42">
        <f t="shared" si="25"/>
        <v>1583</v>
      </c>
      <c r="B1584" s="36" t="s">
        <v>8</v>
      </c>
      <c r="C1584" s="36" t="s">
        <v>9815</v>
      </c>
      <c r="D1584" s="9" t="s">
        <v>9872</v>
      </c>
      <c r="E1584" s="9" t="s">
        <v>9808</v>
      </c>
      <c r="F1584" s="9" t="s">
        <v>9869</v>
      </c>
      <c r="G1584" s="36" t="s">
        <v>14</v>
      </c>
      <c r="H1584" s="36" t="str">
        <f>IFERROR(VLOOKUP(Table2[[#This Row], [Ticket]],Okey!A:B,2,0),"")</f>
        <v>ok</v>
      </c>
      <c r="I1584" s="36" t="s">
        <v>8546</v>
      </c>
      <c r="J1584" s="36" t="s">
        <v>17</v>
      </c>
      <c r="K1584" s="36"/>
      <c r="L1584" s="36"/>
      <c r="M1584" s="36" t="s">
        <v>4778</v>
      </c>
    </row>
    <row r="1585" spans="1:13" hidden="1">
      <c r="A1585" s="42">
        <f t="shared" si="25"/>
        <v>1584</v>
      </c>
      <c r="B1585" s="36" t="s">
        <v>8</v>
      </c>
      <c r="C1585" s="36" t="s">
        <v>9815</v>
      </c>
      <c r="D1585" s="9" t="s">
        <v>9873</v>
      </c>
      <c r="E1585" s="9" t="s">
        <v>9809</v>
      </c>
      <c r="F1585" s="9" t="s">
        <v>3679</v>
      </c>
      <c r="G1585" s="36" t="s">
        <v>14</v>
      </c>
      <c r="H1585" s="36" t="str">
        <f>IFERROR(VLOOKUP(Table2[[#This Row], [Ticket]],Okey!A:B,2,0),"")</f>
        <v>ok</v>
      </c>
      <c r="I1585" s="36" t="s">
        <v>8546</v>
      </c>
      <c r="J1585" s="36" t="s">
        <v>17</v>
      </c>
      <c r="K1585" s="36"/>
      <c r="L1585" s="36"/>
      <c r="M1585" s="36" t="s">
        <v>4778</v>
      </c>
    </row>
    <row r="1586" spans="1:13" hidden="1">
      <c r="A1586" s="42">
        <f t="shared" si="25"/>
        <v>1585</v>
      </c>
      <c r="B1586" s="36" t="s">
        <v>8</v>
      </c>
      <c r="C1586" s="36" t="s">
        <v>9815</v>
      </c>
      <c r="D1586" s="9" t="s">
        <v>9874</v>
      </c>
      <c r="E1586" s="9" t="s">
        <v>9810</v>
      </c>
      <c r="F1586" s="9" t="s">
        <v>9873</v>
      </c>
      <c r="G1586" s="36" t="s">
        <v>14</v>
      </c>
      <c r="H1586" s="36" t="str">
        <f>IFERROR(VLOOKUP(Table2[[#This Row], [Ticket]],Okey!A:B,2,0),"")</f>
        <v>ok</v>
      </c>
      <c r="I1586" s="36" t="s">
        <v>8546</v>
      </c>
      <c r="J1586" s="36" t="s">
        <v>17</v>
      </c>
      <c r="K1586" s="36"/>
      <c r="L1586" s="36"/>
      <c r="M1586" s="36" t="s">
        <v>4778</v>
      </c>
    </row>
    <row r="1587" spans="1:13" hidden="1">
      <c r="A1587" s="42">
        <f t="shared" si="25"/>
        <v>1586</v>
      </c>
      <c r="B1587" s="36" t="s">
        <v>8</v>
      </c>
      <c r="C1587" s="36" t="s">
        <v>9815</v>
      </c>
      <c r="D1587" s="9" t="s">
        <v>9875</v>
      </c>
      <c r="E1587" s="9" t="s">
        <v>9811</v>
      </c>
      <c r="F1587" s="9" t="s">
        <v>9873</v>
      </c>
      <c r="G1587" s="36" t="s">
        <v>14</v>
      </c>
      <c r="H1587" s="36" t="str">
        <f>IFERROR(VLOOKUP(Table2[[#This Row], [Ticket]],Okey!A:B,2,0),"")</f>
        <v>ok</v>
      </c>
      <c r="I1587" s="36" t="s">
        <v>8546</v>
      </c>
      <c r="J1587" s="36" t="s">
        <v>17</v>
      </c>
      <c r="K1587" s="36"/>
      <c r="L1587" s="36"/>
      <c r="M1587" s="36" t="s">
        <v>4778</v>
      </c>
    </row>
    <row r="1588" spans="1:13" hidden="1">
      <c r="A1588" s="42">
        <f t="shared" si="25"/>
        <v>1587</v>
      </c>
      <c r="B1588" s="36" t="s">
        <v>8</v>
      </c>
      <c r="C1588" s="36" t="s">
        <v>9815</v>
      </c>
      <c r="D1588" s="9" t="s">
        <v>9876</v>
      </c>
      <c r="E1588" s="9" t="s">
        <v>9812</v>
      </c>
      <c r="F1588" s="9" t="s">
        <v>9874</v>
      </c>
      <c r="G1588" s="36" t="s">
        <v>14</v>
      </c>
      <c r="H1588" s="36" t="str">
        <f>IFERROR(VLOOKUP(Table2[[#This Row], [Ticket]],Okey!A:B,2,0),"")</f>
        <v>ok</v>
      </c>
      <c r="I1588" s="36" t="s">
        <v>8546</v>
      </c>
      <c r="J1588" s="36" t="s">
        <v>17</v>
      </c>
      <c r="K1588" s="36"/>
      <c r="L1588" s="36"/>
      <c r="M1588" s="36" t="s">
        <v>4778</v>
      </c>
    </row>
    <row r="1589" spans="1:13" hidden="1">
      <c r="A1589" s="42">
        <f t="shared" si="25"/>
        <v>1588</v>
      </c>
      <c r="B1589" s="36" t="s">
        <v>8</v>
      </c>
      <c r="C1589" s="36" t="s">
        <v>9815</v>
      </c>
      <c r="D1589" s="9" t="s">
        <v>9877</v>
      </c>
      <c r="E1589" s="9" t="s">
        <v>9813</v>
      </c>
      <c r="F1589" s="9" t="s">
        <v>9875</v>
      </c>
      <c r="G1589" s="36" t="s">
        <v>14</v>
      </c>
      <c r="H1589" s="36" t="str">
        <f>IFERROR(VLOOKUP(Table2[[#This Row], [Ticket]],Okey!A:B,2,0),"")</f>
        <v>ok</v>
      </c>
      <c r="I1589" s="36" t="s">
        <v>8546</v>
      </c>
      <c r="J1589" s="36" t="s">
        <v>17</v>
      </c>
      <c r="K1589" s="36"/>
      <c r="L1589" s="36"/>
      <c r="M1589" s="36" t="s">
        <v>4778</v>
      </c>
    </row>
    <row r="1590" spans="1:13" hidden="1">
      <c r="A1590" s="42">
        <f t="shared" si="25"/>
        <v>1589</v>
      </c>
      <c r="B1590" s="36" t="s">
        <v>8</v>
      </c>
      <c r="C1590" s="36" t="s">
        <v>9815</v>
      </c>
      <c r="D1590" s="9" t="s">
        <v>9878</v>
      </c>
      <c r="E1590" s="9" t="s">
        <v>9814</v>
      </c>
      <c r="F1590" s="9" t="s">
        <v>9875</v>
      </c>
      <c r="G1590" s="36" t="s">
        <v>14</v>
      </c>
      <c r="H1590" s="36" t="str">
        <f>IFERROR(VLOOKUP(Table2[[#This Row], [Ticket]],Okey!A:B,2,0),"")</f>
        <v>ok</v>
      </c>
      <c r="I1590" s="36" t="s">
        <v>8546</v>
      </c>
      <c r="J1590" s="36" t="s">
        <v>17</v>
      </c>
      <c r="K1590" s="36"/>
      <c r="L1590" s="36"/>
      <c r="M1590" s="36" t="s">
        <v>4778</v>
      </c>
    </row>
    <row r="1591" spans="1:13" hidden="1">
      <c r="A1591" s="42">
        <f t="shared" si="25"/>
        <v>1590</v>
      </c>
      <c r="B1591" s="36" t="s">
        <v>8</v>
      </c>
      <c r="C1591" s="36" t="s">
        <v>9815</v>
      </c>
      <c r="D1591" s="9" t="s">
        <v>9816</v>
      </c>
      <c r="E1591" s="9" t="s">
        <v>9817</v>
      </c>
      <c r="G1591" s="9" t="s">
        <v>15</v>
      </c>
      <c r="H1591" s="36" t="str">
        <f>IFERROR(VLOOKUP(Table2[[#This Row], [Ticket]],Okey!A:B,2,0),"")</f>
        <v>ok</v>
      </c>
      <c r="I1591" s="36" t="s">
        <v>8546</v>
      </c>
      <c r="J1591" s="36" t="s">
        <v>17</v>
      </c>
      <c r="L1591" s="36"/>
      <c r="M1591" s="36" t="s">
        <v>4778</v>
      </c>
    </row>
    <row r="1592" spans="1:13" hidden="1">
      <c r="A1592" s="42">
        <f t="shared" si="25"/>
        <v>1591</v>
      </c>
      <c r="B1592" s="36" t="s">
        <v>8</v>
      </c>
      <c r="C1592" s="36" t="s">
        <v>9815</v>
      </c>
      <c r="D1592" s="9" t="s">
        <v>9818</v>
      </c>
      <c r="E1592" s="9" t="s">
        <v>9819</v>
      </c>
      <c r="G1592" s="36" t="s">
        <v>15</v>
      </c>
      <c r="H1592" s="36" t="str">
        <f>IFERROR(VLOOKUP(Table2[[#This Row], [Ticket]],Okey!A:B,2,0),"")</f>
        <v>ok</v>
      </c>
      <c r="I1592" s="36" t="s">
        <v>8546</v>
      </c>
      <c r="J1592" s="36" t="s">
        <v>17</v>
      </c>
      <c r="L1592" s="36"/>
      <c r="M1592" s="36" t="s">
        <v>4778</v>
      </c>
    </row>
    <row r="1593" spans="1:13" hidden="1">
      <c r="A1593" s="42">
        <f t="shared" si="25"/>
        <v>1592</v>
      </c>
      <c r="B1593" s="36" t="s">
        <v>8</v>
      </c>
      <c r="C1593" s="36" t="s">
        <v>9815</v>
      </c>
      <c r="D1593" s="9" t="s">
        <v>9820</v>
      </c>
      <c r="E1593" s="9" t="s">
        <v>9821</v>
      </c>
      <c r="G1593" s="36" t="s">
        <v>15</v>
      </c>
      <c r="H1593" s="36" t="str">
        <f>IFERROR(VLOOKUP(Table2[[#This Row], [Ticket]],Okey!A:B,2,0),"")</f>
        <v>ok</v>
      </c>
      <c r="I1593" s="36" t="s">
        <v>8546</v>
      </c>
      <c r="J1593" s="36" t="s">
        <v>17</v>
      </c>
      <c r="L1593" s="36"/>
      <c r="M1593" s="36" t="s">
        <v>4778</v>
      </c>
    </row>
    <row r="1594" spans="1:13" hidden="1">
      <c r="A1594" s="42">
        <f t="shared" si="25"/>
        <v>1593</v>
      </c>
      <c r="B1594" s="36" t="s">
        <v>8</v>
      </c>
      <c r="C1594" s="36" t="s">
        <v>9815</v>
      </c>
      <c r="D1594" s="9" t="s">
        <v>9822</v>
      </c>
      <c r="E1594" s="9" t="s">
        <v>9823</v>
      </c>
      <c r="G1594" s="36" t="s">
        <v>15</v>
      </c>
      <c r="H1594" s="36" t="str">
        <f>IFERROR(VLOOKUP(Table2[[#This Row], [Ticket]],Okey!A:B,2,0),"")</f>
        <v>ok</v>
      </c>
      <c r="I1594" s="36" t="s">
        <v>8546</v>
      </c>
      <c r="J1594" s="36" t="s">
        <v>17</v>
      </c>
      <c r="L1594" s="36"/>
      <c r="M1594" s="36" t="s">
        <v>4778</v>
      </c>
    </row>
    <row r="1595" spans="1:13" hidden="1">
      <c r="A1595" s="42">
        <f t="shared" si="25"/>
        <v>1594</v>
      </c>
      <c r="B1595" s="36" t="s">
        <v>8</v>
      </c>
      <c r="C1595" s="36" t="s">
        <v>9815</v>
      </c>
      <c r="D1595" s="9" t="s">
        <v>9824</v>
      </c>
      <c r="E1595" s="9" t="s">
        <v>9825</v>
      </c>
      <c r="G1595" s="36" t="s">
        <v>15</v>
      </c>
      <c r="H1595" s="36" t="str">
        <f>IFERROR(VLOOKUP(Table2[[#This Row], [Ticket]],Okey!A:B,2,0),"")</f>
        <v>ok</v>
      </c>
      <c r="I1595" s="36" t="s">
        <v>8546</v>
      </c>
      <c r="J1595" s="36" t="s">
        <v>17</v>
      </c>
      <c r="L1595" s="36"/>
      <c r="M1595" s="36" t="s">
        <v>4778</v>
      </c>
    </row>
    <row r="1596" spans="1:13">
      <c r="A1596" s="42">
        <f t="shared" si="25"/>
        <v>1595</v>
      </c>
      <c r="B1596" s="36" t="s">
        <v>8</v>
      </c>
      <c r="C1596" s="36" t="s">
        <v>9815</v>
      </c>
      <c r="D1596" s="9" t="s">
        <v>4807</v>
      </c>
      <c r="E1596" s="9" t="s">
        <v>9826</v>
      </c>
      <c r="G1596" s="36" t="s">
        <v>15</v>
      </c>
      <c r="H1596" s="36" t="str">
        <f>IFERROR(VLOOKUP(Table2[[#This Row], [Ticket]],Okey!A:B,2,0),"")</f>
        <v>ok</v>
      </c>
      <c r="I1596" s="36" t="s">
        <v>8546</v>
      </c>
      <c r="J1596" s="36" t="s">
        <v>17</v>
      </c>
      <c r="L1596" s="36"/>
      <c r="M1596" s="36" t="s">
        <v>4778</v>
      </c>
    </row>
    <row r="1597" spans="1:13" hidden="1">
      <c r="A1597" s="42">
        <f t="shared" si="25"/>
        <v>1596</v>
      </c>
      <c r="B1597" s="36" t="s">
        <v>8</v>
      </c>
      <c r="C1597" s="36" t="s">
        <v>9815</v>
      </c>
      <c r="D1597" s="9" t="s">
        <v>7635</v>
      </c>
      <c r="E1597" s="9" t="s">
        <v>9827</v>
      </c>
      <c r="F1597" s="9" t="s">
        <v>5693</v>
      </c>
      <c r="G1597" s="9" t="s">
        <v>16</v>
      </c>
      <c r="H1597" s="36" t="str">
        <f>IFERROR(VLOOKUP(Table2[[#This Row], [Ticket]],Okey!A:B,2,0),"")</f>
        <v>ok</v>
      </c>
      <c r="I1597" s="36" t="s">
        <v>8546</v>
      </c>
      <c r="J1597" s="36" t="s">
        <v>17</v>
      </c>
      <c r="K1597" s="36"/>
      <c r="L1597" s="36"/>
      <c r="M1597" s="36" t="s">
        <v>4778</v>
      </c>
    </row>
    <row r="1598" spans="1:13" hidden="1">
      <c r="A1598" s="42">
        <f t="shared" si="25"/>
        <v>1597</v>
      </c>
      <c r="B1598" s="36" t="s">
        <v>8</v>
      </c>
      <c r="C1598" s="36" t="s">
        <v>9815</v>
      </c>
      <c r="D1598" s="9" t="s">
        <v>5473</v>
      </c>
      <c r="F1598" s="9" t="s">
        <v>275</v>
      </c>
      <c r="G1598" s="9" t="s">
        <v>8544</v>
      </c>
      <c r="H1598" s="36" t="str">
        <f>IFERROR(VLOOKUP(Table2[[#This Row], [Ticket]],Okey!A:B,2,0),"")</f>
        <v>ok</v>
      </c>
      <c r="I1598" s="36" t="s">
        <v>8546</v>
      </c>
      <c r="J1598" s="36" t="s">
        <v>17</v>
      </c>
      <c r="K1598" s="36"/>
      <c r="L1598" s="36"/>
      <c r="M1598" s="36" t="s">
        <v>4778</v>
      </c>
    </row>
    <row r="1599" spans="1:13" hidden="1">
      <c r="A1599" s="42">
        <f t="shared" si="25"/>
        <v>1598</v>
      </c>
      <c r="B1599" s="36" t="s">
        <v>8</v>
      </c>
      <c r="C1599" s="36" t="s">
        <v>9815</v>
      </c>
      <c r="D1599" s="9" t="s">
        <v>9899</v>
      </c>
      <c r="F1599" s="9" t="s">
        <v>275</v>
      </c>
      <c r="G1599" s="36" t="s">
        <v>8544</v>
      </c>
      <c r="H1599" s="36" t="str">
        <f>IFERROR(VLOOKUP(Table2[[#This Row], [Ticket]],Okey!A:B,2,0),"")</f>
        <v>ok</v>
      </c>
      <c r="I1599" s="36" t="s">
        <v>8546</v>
      </c>
      <c r="J1599" s="36" t="s">
        <v>17</v>
      </c>
      <c r="K1599" s="36"/>
      <c r="L1599" s="36"/>
      <c r="M1599" s="36" t="s">
        <v>4778</v>
      </c>
    </row>
    <row r="1600" spans="1:13" hidden="1">
      <c r="A1600" s="42">
        <f t="shared" si="25"/>
        <v>1599</v>
      </c>
      <c r="B1600" s="36" t="s">
        <v>8</v>
      </c>
      <c r="C1600" s="9" t="s">
        <v>9828</v>
      </c>
      <c r="D1600" s="9" t="s">
        <v>9880</v>
      </c>
      <c r="E1600" s="9" t="s">
        <v>9829</v>
      </c>
      <c r="F1600" s="9" t="s">
        <v>9830</v>
      </c>
      <c r="G1600" s="9" t="s">
        <v>14</v>
      </c>
      <c r="H1600" s="36" t="str">
        <f>IFERROR(VLOOKUP(Table2[[#This Row], [Ticket]],Okey!A:B,2,0),"")</f>
        <v>ok</v>
      </c>
      <c r="I1600" s="36" t="s">
        <v>8546</v>
      </c>
      <c r="J1600" s="9" t="s">
        <v>19</v>
      </c>
      <c r="K1600" s="36"/>
      <c r="L1600" s="36"/>
      <c r="M1600" s="9" t="s">
        <v>4787</v>
      </c>
    </row>
    <row r="1601" spans="1:13" hidden="1">
      <c r="A1601" s="42">
        <f t="shared" si="25"/>
        <v>1600</v>
      </c>
      <c r="B1601" s="36" t="s">
        <v>8</v>
      </c>
      <c r="C1601" s="36" t="s">
        <v>9828</v>
      </c>
      <c r="D1601" s="9" t="s">
        <v>9881</v>
      </c>
      <c r="E1601" s="9" t="s">
        <v>9831</v>
      </c>
      <c r="F1601" s="9" t="s">
        <v>9880</v>
      </c>
      <c r="G1601" s="36" t="s">
        <v>14</v>
      </c>
      <c r="H1601" s="36" t="str">
        <f>IFERROR(VLOOKUP(Table2[[#This Row], [Ticket]],Okey!A:B,2,0),"")</f>
        <v>ok</v>
      </c>
      <c r="I1601" s="36" t="s">
        <v>8546</v>
      </c>
      <c r="J1601" s="36" t="s">
        <v>19</v>
      </c>
      <c r="K1601" s="36"/>
      <c r="L1601" s="36"/>
      <c r="M1601" s="36" t="s">
        <v>4787</v>
      </c>
    </row>
    <row r="1602" spans="1:13" hidden="1">
      <c r="A1602" s="42">
        <f t="shared" si="25"/>
        <v>1601</v>
      </c>
      <c r="B1602" s="36" t="s">
        <v>8</v>
      </c>
      <c r="C1602" s="36" t="s">
        <v>9828</v>
      </c>
      <c r="D1602" s="9" t="s">
        <v>9882</v>
      </c>
      <c r="E1602" s="9" t="s">
        <v>9832</v>
      </c>
      <c r="F1602" s="9" t="s">
        <v>9880</v>
      </c>
      <c r="G1602" s="36" t="s">
        <v>14</v>
      </c>
      <c r="H1602" s="36" t="str">
        <f>IFERROR(VLOOKUP(Table2[[#This Row], [Ticket]],Okey!A:B,2,0),"")</f>
        <v>ok</v>
      </c>
      <c r="I1602" s="36" t="s">
        <v>8546</v>
      </c>
      <c r="J1602" s="36" t="s">
        <v>19</v>
      </c>
      <c r="K1602" s="36"/>
      <c r="L1602" s="36"/>
      <c r="M1602" s="36" t="s">
        <v>4787</v>
      </c>
    </row>
    <row r="1603" spans="1:13" hidden="1">
      <c r="A1603" s="42">
        <f t="shared" si="25"/>
        <v>1602</v>
      </c>
      <c r="B1603" s="36" t="s">
        <v>8</v>
      </c>
      <c r="C1603" s="36" t="s">
        <v>9828</v>
      </c>
      <c r="D1603" s="9" t="s">
        <v>9883</v>
      </c>
      <c r="E1603" s="9" t="s">
        <v>9833</v>
      </c>
      <c r="F1603" s="9" t="s">
        <v>9880</v>
      </c>
      <c r="G1603" s="36" t="s">
        <v>14</v>
      </c>
      <c r="H1603" s="36" t="str">
        <f>IFERROR(VLOOKUP(Table2[[#This Row], [Ticket]],Okey!A:B,2,0),"")</f>
        <v>ok</v>
      </c>
      <c r="I1603" s="36" t="s">
        <v>8546</v>
      </c>
      <c r="J1603" s="36" t="s">
        <v>19</v>
      </c>
      <c r="K1603" s="36"/>
      <c r="L1603" s="36"/>
      <c r="M1603" s="36" t="s">
        <v>4787</v>
      </c>
    </row>
    <row r="1604" spans="1:13" hidden="1">
      <c r="A1604" s="42">
        <f t="shared" si="25"/>
        <v>1603</v>
      </c>
      <c r="B1604" s="36" t="s">
        <v>8</v>
      </c>
      <c r="C1604" s="36" t="s">
        <v>9828</v>
      </c>
      <c r="D1604" s="9" t="s">
        <v>9884</v>
      </c>
      <c r="E1604" s="9" t="s">
        <v>9834</v>
      </c>
      <c r="F1604" s="9" t="s">
        <v>9882</v>
      </c>
      <c r="G1604" s="36" t="s">
        <v>14</v>
      </c>
      <c r="H1604" s="36" t="str">
        <f>IFERROR(VLOOKUP(Table2[[#This Row], [Ticket]],Okey!A:B,2,0),"")</f>
        <v>ok</v>
      </c>
      <c r="I1604" s="36" t="s">
        <v>8546</v>
      </c>
      <c r="J1604" s="36" t="s">
        <v>19</v>
      </c>
      <c r="K1604" s="36"/>
      <c r="L1604" s="36"/>
      <c r="M1604" s="36" t="s">
        <v>4787</v>
      </c>
    </row>
    <row r="1605" spans="1:13" hidden="1">
      <c r="A1605" s="42">
        <f t="shared" si="25"/>
        <v>1604</v>
      </c>
      <c r="B1605" s="36" t="s">
        <v>8</v>
      </c>
      <c r="C1605" s="36" t="s">
        <v>9828</v>
      </c>
      <c r="D1605" s="9" t="s">
        <v>9885</v>
      </c>
      <c r="E1605" s="9" t="s">
        <v>9835</v>
      </c>
      <c r="F1605" s="9" t="s">
        <v>9882</v>
      </c>
      <c r="G1605" s="36" t="s">
        <v>14</v>
      </c>
      <c r="H1605" s="36" t="str">
        <f>IFERROR(VLOOKUP(Table2[[#This Row], [Ticket]],Okey!A:B,2,0),"")</f>
        <v>ok</v>
      </c>
      <c r="I1605" s="36" t="s">
        <v>8546</v>
      </c>
      <c r="J1605" s="36" t="s">
        <v>19</v>
      </c>
      <c r="K1605" s="36"/>
      <c r="L1605" s="36"/>
      <c r="M1605" s="36" t="s">
        <v>4787</v>
      </c>
    </row>
    <row r="1606" spans="1:13" hidden="1">
      <c r="A1606" s="42">
        <f t="shared" si="25"/>
        <v>1605</v>
      </c>
      <c r="B1606" s="36" t="s">
        <v>8</v>
      </c>
      <c r="C1606" s="36" t="s">
        <v>9828</v>
      </c>
      <c r="D1606" s="9" t="s">
        <v>9886</v>
      </c>
      <c r="E1606" s="9" t="s">
        <v>9836</v>
      </c>
      <c r="F1606" s="9" t="s">
        <v>9882</v>
      </c>
      <c r="G1606" s="36" t="s">
        <v>14</v>
      </c>
      <c r="H1606" s="36" t="str">
        <f>IFERROR(VLOOKUP(Table2[[#This Row], [Ticket]],Okey!A:B,2,0),"")</f>
        <v>ok</v>
      </c>
      <c r="I1606" s="36" t="s">
        <v>8546</v>
      </c>
      <c r="J1606" s="36" t="s">
        <v>19</v>
      </c>
      <c r="K1606" s="36"/>
      <c r="L1606" s="36"/>
      <c r="M1606" s="36" t="s">
        <v>4787</v>
      </c>
    </row>
    <row r="1607" spans="1:13" hidden="1">
      <c r="A1607" s="42">
        <f t="shared" si="25"/>
        <v>1606</v>
      </c>
      <c r="B1607" s="36" t="s">
        <v>8</v>
      </c>
      <c r="C1607" s="36" t="s">
        <v>9828</v>
      </c>
      <c r="D1607" s="9" t="s">
        <v>9887</v>
      </c>
      <c r="E1607" s="9" t="s">
        <v>9837</v>
      </c>
      <c r="F1607" s="9" t="s">
        <v>9882</v>
      </c>
      <c r="G1607" s="36" t="s">
        <v>14</v>
      </c>
      <c r="H1607" s="36" t="str">
        <f>IFERROR(VLOOKUP(Table2[[#This Row], [Ticket]],Okey!A:B,2,0),"")</f>
        <v>ok</v>
      </c>
      <c r="I1607" s="36" t="s">
        <v>8546</v>
      </c>
      <c r="J1607" s="36" t="s">
        <v>19</v>
      </c>
      <c r="K1607" s="36"/>
      <c r="L1607" s="36"/>
      <c r="M1607" s="36" t="s">
        <v>4787</v>
      </c>
    </row>
    <row r="1608" spans="1:13" hidden="1">
      <c r="A1608" s="42">
        <f t="shared" si="25"/>
        <v>1607</v>
      </c>
      <c r="B1608" s="36" t="s">
        <v>8</v>
      </c>
      <c r="C1608" s="36" t="s">
        <v>9828</v>
      </c>
      <c r="D1608" s="9" t="s">
        <v>9888</v>
      </c>
      <c r="E1608" s="9" t="s">
        <v>9838</v>
      </c>
      <c r="F1608" s="9" t="s">
        <v>9881</v>
      </c>
      <c r="G1608" s="36" t="s">
        <v>14</v>
      </c>
      <c r="H1608" s="36" t="str">
        <f>IFERROR(VLOOKUP(Table2[[#This Row], [Ticket]],Okey!A:B,2,0),"")</f>
        <v>ok</v>
      </c>
      <c r="I1608" s="36" t="s">
        <v>8546</v>
      </c>
      <c r="J1608" s="36" t="s">
        <v>19</v>
      </c>
      <c r="K1608" s="36"/>
      <c r="L1608" s="36"/>
      <c r="M1608" s="36" t="s">
        <v>4787</v>
      </c>
    </row>
    <row r="1609" spans="1:13" hidden="1">
      <c r="A1609" s="42">
        <f t="shared" si="25"/>
        <v>1608</v>
      </c>
      <c r="B1609" s="36" t="s">
        <v>8</v>
      </c>
      <c r="C1609" s="36" t="s">
        <v>9828</v>
      </c>
      <c r="D1609" s="9" t="s">
        <v>9889</v>
      </c>
      <c r="E1609" s="9" t="s">
        <v>9839</v>
      </c>
      <c r="F1609" s="9" t="s">
        <v>9883</v>
      </c>
      <c r="G1609" s="36" t="s">
        <v>14</v>
      </c>
      <c r="H1609" s="36" t="str">
        <f>IFERROR(VLOOKUP(Table2[[#This Row], [Ticket]],Okey!A:B,2,0),"")</f>
        <v>ok</v>
      </c>
      <c r="I1609" s="36" t="s">
        <v>8546</v>
      </c>
      <c r="J1609" s="36" t="s">
        <v>19</v>
      </c>
      <c r="K1609" s="36"/>
      <c r="L1609" s="36"/>
      <c r="M1609" s="36" t="s">
        <v>4787</v>
      </c>
    </row>
    <row r="1610" spans="1:13" hidden="1">
      <c r="A1610" s="42">
        <f t="shared" si="25"/>
        <v>1609</v>
      </c>
      <c r="B1610" s="36" t="s">
        <v>8</v>
      </c>
      <c r="C1610" s="36" t="s">
        <v>9828</v>
      </c>
      <c r="D1610" s="9" t="s">
        <v>9890</v>
      </c>
      <c r="E1610" s="9" t="s">
        <v>9840</v>
      </c>
      <c r="F1610" s="9" t="s">
        <v>9886</v>
      </c>
      <c r="G1610" s="36" t="s">
        <v>14</v>
      </c>
      <c r="H1610" s="36" t="str">
        <f>IFERROR(VLOOKUP(Table2[[#This Row], [Ticket]],Okey!A:B,2,0),"")</f>
        <v>ok</v>
      </c>
      <c r="I1610" s="36" t="s">
        <v>8546</v>
      </c>
      <c r="J1610" s="36" t="s">
        <v>19</v>
      </c>
      <c r="K1610" s="36"/>
      <c r="L1610" s="36"/>
      <c r="M1610" s="36" t="s">
        <v>4787</v>
      </c>
    </row>
    <row r="1611" spans="1:13" hidden="1">
      <c r="A1611" s="42">
        <f t="shared" si="25"/>
        <v>1610</v>
      </c>
      <c r="B1611" s="36" t="s">
        <v>8</v>
      </c>
      <c r="C1611" s="36" t="s">
        <v>9828</v>
      </c>
      <c r="D1611" s="9" t="s">
        <v>9891</v>
      </c>
      <c r="E1611" s="9" t="s">
        <v>9841</v>
      </c>
      <c r="F1611" s="9" t="s">
        <v>9881</v>
      </c>
      <c r="G1611" s="36" t="s">
        <v>14</v>
      </c>
      <c r="H1611" s="36" t="str">
        <f>IFERROR(VLOOKUP(Table2[[#This Row], [Ticket]],Okey!A:B,2,0),"")</f>
        <v>ok</v>
      </c>
      <c r="I1611" s="36" t="s">
        <v>8546</v>
      </c>
      <c r="J1611" s="36" t="s">
        <v>19</v>
      </c>
      <c r="K1611" s="36"/>
      <c r="L1611" s="36"/>
      <c r="M1611" s="36" t="s">
        <v>4787</v>
      </c>
    </row>
    <row r="1612" spans="1:13" hidden="1">
      <c r="A1612" s="42">
        <f t="shared" si="25"/>
        <v>1611</v>
      </c>
      <c r="B1612" s="36" t="s">
        <v>8</v>
      </c>
      <c r="C1612" s="36" t="s">
        <v>9828</v>
      </c>
      <c r="D1612" s="9" t="s">
        <v>9892</v>
      </c>
      <c r="E1612" s="9" t="s">
        <v>9842</v>
      </c>
      <c r="F1612" s="9" t="s">
        <v>9883</v>
      </c>
      <c r="G1612" s="36" t="s">
        <v>14</v>
      </c>
      <c r="H1612" s="36" t="str">
        <f>IFERROR(VLOOKUP(Table2[[#This Row], [Ticket]],Okey!A:B,2,0),"")</f>
        <v>ok</v>
      </c>
      <c r="I1612" s="36" t="s">
        <v>8546</v>
      </c>
      <c r="J1612" s="36" t="s">
        <v>19</v>
      </c>
      <c r="K1612" s="36"/>
      <c r="L1612" s="36"/>
      <c r="M1612" s="36" t="s">
        <v>4787</v>
      </c>
    </row>
    <row r="1613" spans="1:13" hidden="1">
      <c r="A1613" s="42">
        <f t="shared" si="25"/>
        <v>1612</v>
      </c>
      <c r="B1613" s="36" t="s">
        <v>8</v>
      </c>
      <c r="C1613" s="36" t="s">
        <v>9828</v>
      </c>
      <c r="D1613" s="9" t="s">
        <v>9893</v>
      </c>
      <c r="E1613" s="9" t="s">
        <v>9843</v>
      </c>
      <c r="F1613" s="9" t="s">
        <v>9886</v>
      </c>
      <c r="G1613" s="36" t="s">
        <v>14</v>
      </c>
      <c r="H1613" s="36" t="str">
        <f>IFERROR(VLOOKUP(Table2[[#This Row], [Ticket]],Okey!A:B,2,0),"")</f>
        <v>ok</v>
      </c>
      <c r="I1613" s="36" t="s">
        <v>8546</v>
      </c>
      <c r="J1613" s="36" t="s">
        <v>19</v>
      </c>
      <c r="K1613" s="36"/>
      <c r="L1613" s="36"/>
      <c r="M1613" s="36" t="s">
        <v>4787</v>
      </c>
    </row>
    <row r="1614" spans="1:13" hidden="1">
      <c r="A1614" s="42">
        <f t="shared" si="25"/>
        <v>1613</v>
      </c>
      <c r="B1614" s="36" t="s">
        <v>8</v>
      </c>
      <c r="C1614" s="36" t="s">
        <v>9828</v>
      </c>
      <c r="D1614" s="9" t="s">
        <v>9894</v>
      </c>
      <c r="E1614" s="9" t="s">
        <v>9844</v>
      </c>
      <c r="F1614" s="9" t="s">
        <v>9881</v>
      </c>
      <c r="G1614" s="36" t="s">
        <v>14</v>
      </c>
      <c r="H1614" s="36" t="str">
        <f>IFERROR(VLOOKUP(Table2[[#This Row], [Ticket]],Okey!A:B,2,0),"")</f>
        <v>ok</v>
      </c>
      <c r="I1614" s="36" t="s">
        <v>8546</v>
      </c>
      <c r="J1614" s="36" t="s">
        <v>19</v>
      </c>
      <c r="K1614" s="36"/>
      <c r="L1614" s="36"/>
      <c r="M1614" s="36" t="s">
        <v>4787</v>
      </c>
    </row>
    <row r="1615" spans="1:13" hidden="1">
      <c r="A1615" s="42">
        <f t="shared" si="25"/>
        <v>1614</v>
      </c>
      <c r="B1615" s="36" t="s">
        <v>8</v>
      </c>
      <c r="C1615" s="36" t="s">
        <v>9828</v>
      </c>
      <c r="D1615" s="9" t="s">
        <v>9895</v>
      </c>
      <c r="E1615" s="9" t="s">
        <v>9845</v>
      </c>
      <c r="F1615" s="9" t="s">
        <v>9883</v>
      </c>
      <c r="G1615" s="36" t="s">
        <v>14</v>
      </c>
      <c r="H1615" s="36" t="str">
        <f>IFERROR(VLOOKUP(Table2[[#This Row], [Ticket]],Okey!A:B,2,0),"")</f>
        <v>ok</v>
      </c>
      <c r="I1615" s="36" t="s">
        <v>8546</v>
      </c>
      <c r="J1615" s="36" t="s">
        <v>19</v>
      </c>
      <c r="K1615" s="36"/>
      <c r="L1615" s="36"/>
      <c r="M1615" s="36" t="s">
        <v>4787</v>
      </c>
    </row>
    <row r="1616" spans="1:13" hidden="1">
      <c r="A1616" s="42">
        <f t="shared" si="25"/>
        <v>1615</v>
      </c>
      <c r="B1616" s="36" t="s">
        <v>8</v>
      </c>
      <c r="C1616" s="36" t="s">
        <v>9828</v>
      </c>
      <c r="D1616" s="9" t="s">
        <v>9896</v>
      </c>
      <c r="E1616" s="9" t="s">
        <v>9846</v>
      </c>
      <c r="F1616" s="9" t="s">
        <v>9886</v>
      </c>
      <c r="G1616" s="36" t="s">
        <v>14</v>
      </c>
      <c r="H1616" s="36" t="str">
        <f>IFERROR(VLOOKUP(Table2[[#This Row], [Ticket]],Okey!A:B,2,0),"")</f>
        <v>ok</v>
      </c>
      <c r="I1616" s="36" t="s">
        <v>8546</v>
      </c>
      <c r="J1616" s="36" t="s">
        <v>19</v>
      </c>
      <c r="K1616" s="36"/>
      <c r="L1616" s="36"/>
      <c r="M1616" s="36" t="s">
        <v>4787</v>
      </c>
    </row>
    <row r="1617" spans="1:13">
      <c r="A1617" s="42">
        <f t="shared" si="25"/>
        <v>1616</v>
      </c>
      <c r="B1617" s="36" t="s">
        <v>8</v>
      </c>
      <c r="C1617" s="36" t="s">
        <v>9828</v>
      </c>
      <c r="D1617" s="9" t="s">
        <v>9897</v>
      </c>
      <c r="E1617" s="9" t="s">
        <v>9840</v>
      </c>
      <c r="F1617" s="9" t="s">
        <v>9886</v>
      </c>
      <c r="G1617" s="36" t="s">
        <v>14</v>
      </c>
      <c r="H1617" s="36" t="str">
        <f>IFERROR(VLOOKUP(Table2[[#This Row], [Ticket]],Okey!A:B,2,0),"")</f>
        <v>ok</v>
      </c>
      <c r="I1617" s="36" t="s">
        <v>8546</v>
      </c>
      <c r="J1617" s="36" t="s">
        <v>19</v>
      </c>
      <c r="K1617" s="36"/>
      <c r="L1617" s="36"/>
      <c r="M1617" s="36" t="s">
        <v>4787</v>
      </c>
    </row>
    <row r="1618" spans="1:13">
      <c r="A1618" s="42">
        <f t="shared" si="25"/>
        <v>1617</v>
      </c>
      <c r="B1618" s="36" t="s">
        <v>8</v>
      </c>
      <c r="C1618" s="36" t="s">
        <v>9828</v>
      </c>
      <c r="D1618" s="9" t="s">
        <v>9898</v>
      </c>
      <c r="E1618" s="9" t="s">
        <v>9839</v>
      </c>
      <c r="F1618" s="9" t="s">
        <v>9883</v>
      </c>
      <c r="G1618" s="36" t="s">
        <v>14</v>
      </c>
      <c r="H1618" s="36" t="str">
        <f>IFERROR(VLOOKUP(Table2[[#This Row], [Ticket]],Okey!A:B,2,0),"")</f>
        <v>ok</v>
      </c>
      <c r="I1618" s="36" t="s">
        <v>8546</v>
      </c>
      <c r="J1618" s="36" t="s">
        <v>19</v>
      </c>
      <c r="K1618" s="36"/>
      <c r="L1618" s="36"/>
      <c r="M1618" s="36" t="s">
        <v>4787</v>
      </c>
    </row>
    <row r="1619" spans="1:13" hidden="1">
      <c r="A1619" s="42">
        <f t="shared" si="25"/>
        <v>1618</v>
      </c>
      <c r="B1619" s="36" t="s">
        <v>8</v>
      </c>
      <c r="C1619" s="9" t="s">
        <v>9902</v>
      </c>
      <c r="D1619" s="9" t="s">
        <v>9903</v>
      </c>
      <c r="E1619" s="9" t="s">
        <v>9900</v>
      </c>
      <c r="F1619" s="9" t="s">
        <v>9035</v>
      </c>
      <c r="G1619" s="36" t="s">
        <v>14</v>
      </c>
      <c r="H1619" s="36" t="str">
        <f>IFERROR(VLOOKUP(Table2[[#This Row], [Ticket]],Okey!A:B,2,0),"")</f>
        <v/>
      </c>
      <c r="I1619" s="36"/>
      <c r="J1619" s="36" t="s">
        <v>19</v>
      </c>
      <c r="K1619" s="9" t="s">
        <v>11488</v>
      </c>
      <c r="L1619" s="36"/>
      <c r="M1619" s="9" t="s">
        <v>9905</v>
      </c>
    </row>
    <row r="1620" spans="1:13" hidden="1">
      <c r="A1620" s="42">
        <f t="shared" si="25"/>
        <v>1619</v>
      </c>
      <c r="B1620" s="36" t="s">
        <v>8</v>
      </c>
      <c r="C1620" s="9" t="s">
        <v>9902</v>
      </c>
      <c r="D1620" s="36" t="s">
        <v>9904</v>
      </c>
      <c r="E1620" s="9" t="s">
        <v>9901</v>
      </c>
      <c r="F1620" s="9" t="s">
        <v>9035</v>
      </c>
      <c r="G1620" s="36" t="s">
        <v>14</v>
      </c>
      <c r="H1620" s="36" t="str">
        <f>IFERROR(VLOOKUP(Table2[[#This Row], [Ticket]],Okey!A:B,2,0),"")</f>
        <v/>
      </c>
      <c r="I1620" s="36"/>
      <c r="J1620" s="36" t="s">
        <v>19</v>
      </c>
      <c r="K1620" s="36" t="s">
        <v>11488</v>
      </c>
      <c r="L1620" s="36"/>
      <c r="M1620" s="9" t="s">
        <v>9905</v>
      </c>
    </row>
    <row r="1621" spans="1:13" hidden="1">
      <c r="A1621" s="42">
        <f t="shared" si="25"/>
        <v>1620</v>
      </c>
      <c r="B1621" s="36" t="s">
        <v>8</v>
      </c>
      <c r="C1621" s="9" t="s">
        <v>9906</v>
      </c>
      <c r="D1621" s="9" t="s">
        <v>5416</v>
      </c>
      <c r="E1621" s="9" t="s">
        <v>9840</v>
      </c>
      <c r="F1621" s="9" t="s">
        <v>9890</v>
      </c>
      <c r="G1621" s="9" t="s">
        <v>13</v>
      </c>
      <c r="H1621" s="36" t="str">
        <f>IFERROR(VLOOKUP(Table2[[#This Row], [Ticket]],Okey!A:B,2,0),"")</f>
        <v/>
      </c>
      <c r="I1621" s="36"/>
      <c r="J1621" s="36" t="s">
        <v>19</v>
      </c>
      <c r="K1621" s="36" t="s">
        <v>11488</v>
      </c>
      <c r="L1621" s="36"/>
      <c r="M1621" s="9" t="s">
        <v>4787</v>
      </c>
    </row>
    <row r="1622" spans="1:13" hidden="1">
      <c r="A1622" s="42">
        <f t="shared" ref="A1622:A1685" si="26">1+A1621</f>
        <v>1621</v>
      </c>
      <c r="B1622" s="36" t="s">
        <v>8</v>
      </c>
      <c r="C1622" s="36" t="s">
        <v>9906</v>
      </c>
      <c r="D1622" s="9" t="s">
        <v>5419</v>
      </c>
      <c r="E1622" s="9" t="s">
        <v>9839</v>
      </c>
      <c r="F1622" s="9" t="s">
        <v>9889</v>
      </c>
      <c r="G1622" s="36" t="s">
        <v>13</v>
      </c>
      <c r="H1622" s="36" t="str">
        <f>IFERROR(VLOOKUP(Table2[[#This Row], [Ticket]],Okey!A:B,2,0),"")</f>
        <v/>
      </c>
      <c r="I1622" s="36"/>
      <c r="J1622" s="36" t="s">
        <v>19</v>
      </c>
      <c r="K1622" s="36" t="s">
        <v>11488</v>
      </c>
      <c r="L1622" s="36"/>
      <c r="M1622" s="36" t="s">
        <v>4787</v>
      </c>
    </row>
    <row r="1623" spans="1:13">
      <c r="A1623" s="42">
        <f t="shared" si="26"/>
        <v>1622</v>
      </c>
      <c r="B1623" s="36" t="s">
        <v>8</v>
      </c>
      <c r="C1623" s="36" t="s">
        <v>9906</v>
      </c>
      <c r="D1623" s="9" t="s">
        <v>9897</v>
      </c>
      <c r="F1623" s="9" t="s">
        <v>275</v>
      </c>
      <c r="G1623" s="9" t="s">
        <v>8544</v>
      </c>
      <c r="H1623" s="36" t="str">
        <f>IFERROR(VLOOKUP(Table2[[#This Row], [Ticket]],Okey!A:B,2,0),"")</f>
        <v/>
      </c>
      <c r="I1623" s="36"/>
      <c r="J1623" s="36" t="s">
        <v>19</v>
      </c>
      <c r="K1623" s="36" t="s">
        <v>11488</v>
      </c>
      <c r="L1623" s="36"/>
      <c r="M1623" s="36" t="s">
        <v>4787</v>
      </c>
    </row>
    <row r="1624" spans="1:13">
      <c r="A1624" s="42">
        <f t="shared" si="26"/>
        <v>1623</v>
      </c>
      <c r="B1624" s="36" t="s">
        <v>8</v>
      </c>
      <c r="C1624" s="36" t="s">
        <v>9906</v>
      </c>
      <c r="D1624" s="9" t="s">
        <v>9898</v>
      </c>
      <c r="F1624" s="36" t="s">
        <v>275</v>
      </c>
      <c r="G1624" s="36" t="s">
        <v>8544</v>
      </c>
      <c r="H1624" s="36" t="str">
        <f>IFERROR(VLOOKUP(Table2[[#This Row], [Ticket]],Okey!A:B,2,0),"")</f>
        <v/>
      </c>
      <c r="I1624" s="36"/>
      <c r="J1624" s="36" t="s">
        <v>19</v>
      </c>
      <c r="K1624" s="36" t="s">
        <v>11488</v>
      </c>
      <c r="L1624" s="36"/>
      <c r="M1624" s="36" t="s">
        <v>4787</v>
      </c>
    </row>
    <row r="1625" spans="1:13" hidden="1">
      <c r="A1625" s="42">
        <f t="shared" si="26"/>
        <v>1624</v>
      </c>
      <c r="B1625" s="36" t="s">
        <v>8</v>
      </c>
      <c r="C1625" s="9" t="s">
        <v>9907</v>
      </c>
      <c r="D1625" s="9" t="s">
        <v>9920</v>
      </c>
      <c r="E1625" s="9" t="s">
        <v>9908</v>
      </c>
      <c r="F1625" s="9" t="s">
        <v>9421</v>
      </c>
      <c r="G1625" s="9" t="s">
        <v>14</v>
      </c>
      <c r="H1625" s="36" t="str">
        <f>IFERROR(VLOOKUP(Table2[[#This Row], [Ticket]],Okey!A:B,2,0),"")</f>
        <v/>
      </c>
      <c r="I1625" s="36"/>
      <c r="J1625" s="36" t="s">
        <v>19</v>
      </c>
      <c r="K1625" s="36" t="s">
        <v>11488</v>
      </c>
      <c r="L1625" s="36"/>
      <c r="M1625" s="36" t="s">
        <v>9034</v>
      </c>
    </row>
    <row r="1626" spans="1:13" hidden="1">
      <c r="A1626" s="42">
        <f t="shared" si="26"/>
        <v>1625</v>
      </c>
      <c r="B1626" s="36" t="s">
        <v>8</v>
      </c>
      <c r="C1626" s="36" t="s">
        <v>9907</v>
      </c>
      <c r="D1626" s="9" t="s">
        <v>9919</v>
      </c>
      <c r="E1626" s="9" t="s">
        <v>9909</v>
      </c>
      <c r="F1626" s="9" t="s">
        <v>9421</v>
      </c>
      <c r="G1626" s="36" t="s">
        <v>14</v>
      </c>
      <c r="H1626" s="36" t="str">
        <f>IFERROR(VLOOKUP(Table2[[#This Row], [Ticket]],Okey!A:B,2,0),"")</f>
        <v/>
      </c>
      <c r="I1626" s="36"/>
      <c r="J1626" s="36" t="s">
        <v>19</v>
      </c>
      <c r="K1626" s="36" t="s">
        <v>11488</v>
      </c>
      <c r="L1626" s="36"/>
      <c r="M1626" s="36" t="s">
        <v>9034</v>
      </c>
    </row>
    <row r="1627" spans="1:13" hidden="1">
      <c r="A1627" s="42">
        <f t="shared" si="26"/>
        <v>1626</v>
      </c>
      <c r="B1627" s="36" t="s">
        <v>8</v>
      </c>
      <c r="C1627" s="36" t="s">
        <v>9907</v>
      </c>
      <c r="D1627" s="9" t="s">
        <v>9918</v>
      </c>
      <c r="E1627" s="9" t="s">
        <v>9910</v>
      </c>
      <c r="F1627" s="9" t="s">
        <v>9421</v>
      </c>
      <c r="G1627" s="36" t="s">
        <v>14</v>
      </c>
      <c r="H1627" s="36" t="str">
        <f>IFERROR(VLOOKUP(Table2[[#This Row], [Ticket]],Okey!A:B,2,0),"")</f>
        <v/>
      </c>
      <c r="I1627" s="36"/>
      <c r="J1627" s="36" t="s">
        <v>19</v>
      </c>
      <c r="K1627" s="36" t="s">
        <v>11488</v>
      </c>
      <c r="L1627" s="36"/>
      <c r="M1627" s="36" t="s">
        <v>9034</v>
      </c>
    </row>
    <row r="1628" spans="1:13">
      <c r="A1628" s="42">
        <f t="shared" si="26"/>
        <v>1627</v>
      </c>
      <c r="B1628" s="36" t="s">
        <v>8</v>
      </c>
      <c r="C1628" s="36" t="s">
        <v>9907</v>
      </c>
      <c r="D1628" s="9" t="s">
        <v>6098</v>
      </c>
      <c r="E1628" s="9" t="s">
        <v>9911</v>
      </c>
      <c r="G1628" s="36" t="s">
        <v>15</v>
      </c>
      <c r="H1628" s="36" t="str">
        <f>IFERROR(VLOOKUP(Table2[[#This Row], [Ticket]],Okey!A:B,2,0),"")</f>
        <v/>
      </c>
      <c r="I1628" s="36"/>
      <c r="J1628" s="36" t="s">
        <v>19</v>
      </c>
      <c r="K1628" s="36" t="s">
        <v>11488</v>
      </c>
      <c r="L1628" s="36"/>
      <c r="M1628" s="36" t="s">
        <v>9034</v>
      </c>
    </row>
    <row r="1629" spans="1:13">
      <c r="A1629" s="42">
        <f t="shared" si="26"/>
        <v>1628</v>
      </c>
      <c r="B1629" s="36" t="s">
        <v>8</v>
      </c>
      <c r="C1629" s="36" t="s">
        <v>9907</v>
      </c>
      <c r="D1629" s="9" t="s">
        <v>9422</v>
      </c>
      <c r="E1629" s="9" t="s">
        <v>9912</v>
      </c>
      <c r="G1629" s="36" t="s">
        <v>15</v>
      </c>
      <c r="H1629" s="36" t="str">
        <f>IFERROR(VLOOKUP(Table2[[#This Row], [Ticket]],Okey!A:B,2,0),"")</f>
        <v/>
      </c>
      <c r="I1629" s="36"/>
      <c r="J1629" s="36" t="s">
        <v>19</v>
      </c>
      <c r="K1629" s="36" t="s">
        <v>11488</v>
      </c>
      <c r="L1629" s="36"/>
      <c r="M1629" s="36" t="s">
        <v>9034</v>
      </c>
    </row>
    <row r="1630" spans="1:13">
      <c r="A1630" s="42">
        <f t="shared" si="26"/>
        <v>1629</v>
      </c>
      <c r="B1630" s="36" t="s">
        <v>8</v>
      </c>
      <c r="C1630" s="36" t="s">
        <v>9907</v>
      </c>
      <c r="D1630" s="9" t="s">
        <v>9423</v>
      </c>
      <c r="F1630" s="36" t="s">
        <v>9920</v>
      </c>
      <c r="G1630" s="9" t="s">
        <v>13</v>
      </c>
      <c r="H1630" s="36" t="str">
        <f>IFERROR(VLOOKUP(Table2[[#This Row], [Ticket]],Okey!A:B,2,0),"")</f>
        <v/>
      </c>
      <c r="I1630" s="36"/>
      <c r="J1630" s="36" t="s">
        <v>19</v>
      </c>
      <c r="K1630" s="36" t="s">
        <v>11488</v>
      </c>
      <c r="L1630" s="36"/>
      <c r="M1630" s="36" t="s">
        <v>9034</v>
      </c>
    </row>
    <row r="1631" spans="1:13">
      <c r="A1631" s="42">
        <f t="shared" si="26"/>
        <v>1630</v>
      </c>
      <c r="B1631" s="36" t="s">
        <v>8</v>
      </c>
      <c r="C1631" s="36" t="s">
        <v>9907</v>
      </c>
      <c r="D1631" s="9" t="s">
        <v>4742</v>
      </c>
      <c r="F1631" s="36" t="s">
        <v>9920</v>
      </c>
      <c r="G1631" s="36" t="s">
        <v>13</v>
      </c>
      <c r="H1631" s="36" t="str">
        <f>IFERROR(VLOOKUP(Table2[[#This Row], [Ticket]],Okey!A:B,2,0),"")</f>
        <v/>
      </c>
      <c r="I1631" s="36"/>
      <c r="J1631" s="36" t="s">
        <v>19</v>
      </c>
      <c r="K1631" s="36" t="s">
        <v>11488</v>
      </c>
      <c r="L1631" s="36"/>
      <c r="M1631" s="36" t="s">
        <v>9034</v>
      </c>
    </row>
    <row r="1632" spans="1:13">
      <c r="A1632" s="42">
        <f t="shared" si="26"/>
        <v>1631</v>
      </c>
      <c r="B1632" s="36" t="s">
        <v>8</v>
      </c>
      <c r="C1632" s="36" t="s">
        <v>9907</v>
      </c>
      <c r="D1632" s="9" t="s">
        <v>9424</v>
      </c>
      <c r="F1632" s="36" t="s">
        <v>9919</v>
      </c>
      <c r="G1632" s="36" t="s">
        <v>13</v>
      </c>
      <c r="H1632" s="36" t="str">
        <f>IFERROR(VLOOKUP(Table2[[#This Row], [Ticket]],Okey!A:B,2,0),"")</f>
        <v/>
      </c>
      <c r="I1632" s="36"/>
      <c r="J1632" s="36" t="s">
        <v>19</v>
      </c>
      <c r="K1632" s="36" t="s">
        <v>11488</v>
      </c>
      <c r="L1632" s="36"/>
      <c r="M1632" s="36" t="s">
        <v>9034</v>
      </c>
    </row>
    <row r="1633" spans="1:13" hidden="1">
      <c r="A1633" s="42">
        <f t="shared" si="26"/>
        <v>1632</v>
      </c>
      <c r="B1633" s="36" t="s">
        <v>8</v>
      </c>
      <c r="C1633" s="36" t="s">
        <v>9907</v>
      </c>
      <c r="D1633" s="9" t="s">
        <v>9913</v>
      </c>
      <c r="F1633" s="36" t="s">
        <v>9919</v>
      </c>
      <c r="G1633" s="36" t="s">
        <v>13</v>
      </c>
      <c r="H1633" s="36" t="str">
        <f>IFERROR(VLOOKUP(Table2[[#This Row], [Ticket]],Okey!A:B,2,0),"")</f>
        <v/>
      </c>
      <c r="I1633" s="36"/>
      <c r="J1633" s="36" t="s">
        <v>19</v>
      </c>
      <c r="K1633" s="36" t="s">
        <v>11488</v>
      </c>
      <c r="L1633" s="36"/>
      <c r="M1633" s="36" t="s">
        <v>9034</v>
      </c>
    </row>
    <row r="1634" spans="1:13" hidden="1">
      <c r="A1634" s="42">
        <f t="shared" si="26"/>
        <v>1633</v>
      </c>
      <c r="B1634" s="36" t="s">
        <v>8</v>
      </c>
      <c r="C1634" s="36" t="s">
        <v>9907</v>
      </c>
      <c r="D1634" s="9" t="s">
        <v>4753</v>
      </c>
      <c r="F1634" s="36" t="s">
        <v>9918</v>
      </c>
      <c r="G1634" s="36" t="s">
        <v>13</v>
      </c>
      <c r="H1634" s="36" t="str">
        <f>IFERROR(VLOOKUP(Table2[[#This Row], [Ticket]],Okey!A:B,2,0),"")</f>
        <v/>
      </c>
      <c r="I1634" s="36"/>
      <c r="J1634" s="36" t="s">
        <v>19</v>
      </c>
      <c r="K1634" s="36" t="s">
        <v>11488</v>
      </c>
      <c r="L1634" s="36"/>
      <c r="M1634" s="36" t="s">
        <v>9034</v>
      </c>
    </row>
    <row r="1635" spans="1:13" hidden="1">
      <c r="A1635" s="42">
        <f t="shared" si="26"/>
        <v>1634</v>
      </c>
      <c r="B1635" s="36" t="s">
        <v>8</v>
      </c>
      <c r="C1635" s="36" t="s">
        <v>9907</v>
      </c>
      <c r="D1635" s="9" t="s">
        <v>9914</v>
      </c>
      <c r="F1635" s="9" t="s">
        <v>9421</v>
      </c>
      <c r="G1635" s="36" t="s">
        <v>13</v>
      </c>
      <c r="H1635" s="36" t="str">
        <f>IFERROR(VLOOKUP(Table2[[#This Row], [Ticket]],Okey!A:B,2,0),"")</f>
        <v/>
      </c>
      <c r="I1635" s="36"/>
      <c r="J1635" s="36" t="s">
        <v>19</v>
      </c>
      <c r="K1635" s="36" t="s">
        <v>11488</v>
      </c>
      <c r="L1635" s="36"/>
      <c r="M1635" s="36" t="s">
        <v>9034</v>
      </c>
    </row>
    <row r="1636" spans="1:13">
      <c r="A1636" s="42">
        <f t="shared" si="26"/>
        <v>1635</v>
      </c>
      <c r="B1636" s="36" t="s">
        <v>8</v>
      </c>
      <c r="C1636" s="36" t="s">
        <v>9907</v>
      </c>
      <c r="D1636" s="9" t="s">
        <v>6652</v>
      </c>
      <c r="F1636" s="9" t="s">
        <v>6118</v>
      </c>
      <c r="G1636" s="36" t="s">
        <v>13</v>
      </c>
      <c r="H1636" s="36" t="str">
        <f>IFERROR(VLOOKUP(Table2[[#This Row], [Ticket]],Okey!A:B,2,0),"")</f>
        <v/>
      </c>
      <c r="I1636" s="36"/>
      <c r="J1636" s="36" t="s">
        <v>19</v>
      </c>
      <c r="K1636" s="36" t="s">
        <v>11488</v>
      </c>
      <c r="L1636" s="36"/>
      <c r="M1636" s="9" t="s">
        <v>9034</v>
      </c>
    </row>
    <row r="1637" spans="1:13">
      <c r="A1637" s="42">
        <f t="shared" si="26"/>
        <v>1636</v>
      </c>
      <c r="B1637" s="36" t="s">
        <v>8</v>
      </c>
      <c r="C1637" s="9" t="s">
        <v>9915</v>
      </c>
      <c r="D1637" s="101" t="s">
        <v>9659</v>
      </c>
      <c r="E1637" s="106" t="s">
        <v>9916</v>
      </c>
      <c r="F1637" s="107" t="s">
        <v>9618</v>
      </c>
      <c r="G1637" s="9" t="s">
        <v>16</v>
      </c>
      <c r="H1637" s="36" t="str">
        <f>IFERROR(VLOOKUP(Table2[[#This Row], [Ticket]],Okey!A:B,2,0),"")</f>
        <v/>
      </c>
      <c r="I1637" s="36"/>
      <c r="J1637" s="36" t="s">
        <v>19</v>
      </c>
      <c r="K1637" s="36" t="s">
        <v>11488</v>
      </c>
      <c r="L1637" s="36"/>
      <c r="M1637" s="9" t="s">
        <v>4782</v>
      </c>
    </row>
    <row r="1638" spans="1:13">
      <c r="A1638" s="42">
        <f t="shared" si="26"/>
        <v>1637</v>
      </c>
      <c r="B1638" s="36" t="s">
        <v>8</v>
      </c>
      <c r="C1638" s="36" t="s">
        <v>9915</v>
      </c>
      <c r="D1638" s="101" t="s">
        <v>9660</v>
      </c>
      <c r="E1638" s="106" t="s">
        <v>9917</v>
      </c>
      <c r="F1638" s="107" t="s">
        <v>9618</v>
      </c>
      <c r="G1638" s="36" t="s">
        <v>16</v>
      </c>
      <c r="H1638" s="36" t="str">
        <f>IFERROR(VLOOKUP(Table2[[#This Row], [Ticket]],Okey!A:B,2,0),"")</f>
        <v/>
      </c>
      <c r="I1638" s="36"/>
      <c r="J1638" s="36" t="s">
        <v>19</v>
      </c>
      <c r="K1638" s="36" t="s">
        <v>11488</v>
      </c>
      <c r="L1638" s="36"/>
      <c r="M1638" s="9" t="s">
        <v>4782</v>
      </c>
    </row>
    <row r="1639" spans="1:13" hidden="1">
      <c r="A1639" s="42">
        <f t="shared" si="26"/>
        <v>1638</v>
      </c>
      <c r="B1639" s="36" t="s">
        <v>8</v>
      </c>
      <c r="C1639" s="9" t="s">
        <v>9935</v>
      </c>
      <c r="D1639" s="36" t="s">
        <v>9995</v>
      </c>
      <c r="E1639" s="9" t="s">
        <v>9936</v>
      </c>
      <c r="F1639" s="9" t="s">
        <v>4367</v>
      </c>
      <c r="G1639" s="9" t="s">
        <v>14</v>
      </c>
      <c r="H1639" s="36" t="str">
        <f>IFERROR(VLOOKUP(Table2[[#This Row], [Ticket]],Okey!A:B,2,0),"")</f>
        <v/>
      </c>
      <c r="I1639" s="36"/>
      <c r="J1639" s="36" t="s">
        <v>20</v>
      </c>
      <c r="K1639" s="36" t="s">
        <v>11489</v>
      </c>
      <c r="L1639" s="36"/>
      <c r="M1639" s="9" t="s">
        <v>6110</v>
      </c>
    </row>
    <row r="1640" spans="1:13" hidden="1">
      <c r="A1640" s="42">
        <f t="shared" si="26"/>
        <v>1639</v>
      </c>
      <c r="B1640" s="36" t="s">
        <v>8</v>
      </c>
      <c r="C1640" s="36" t="s">
        <v>9935</v>
      </c>
      <c r="D1640" s="9" t="s">
        <v>9997</v>
      </c>
      <c r="E1640" s="9" t="s">
        <v>9937</v>
      </c>
      <c r="F1640" s="9" t="s">
        <v>2433</v>
      </c>
      <c r="G1640" s="36" t="s">
        <v>14</v>
      </c>
      <c r="H1640" s="36" t="str">
        <f>IFERROR(VLOOKUP(Table2[[#This Row], [Ticket]],Okey!A:B,2,0),"")</f>
        <v/>
      </c>
      <c r="I1640" s="36"/>
      <c r="J1640" s="36" t="s">
        <v>20</v>
      </c>
      <c r="K1640" s="36" t="s">
        <v>11489</v>
      </c>
      <c r="L1640" s="36"/>
      <c r="M1640" s="36" t="s">
        <v>6110</v>
      </c>
    </row>
    <row r="1641" spans="1:13" hidden="1">
      <c r="A1641" s="42">
        <f t="shared" si="26"/>
        <v>1640</v>
      </c>
      <c r="B1641" s="36" t="s">
        <v>8</v>
      </c>
      <c r="C1641" s="36" t="s">
        <v>9935</v>
      </c>
      <c r="D1641" s="9" t="s">
        <v>9998</v>
      </c>
      <c r="E1641" s="9" t="s">
        <v>9938</v>
      </c>
      <c r="F1641" s="9" t="s">
        <v>2433</v>
      </c>
      <c r="G1641" s="36" t="s">
        <v>14</v>
      </c>
      <c r="H1641" s="36" t="str">
        <f>IFERROR(VLOOKUP(Table2[[#This Row], [Ticket]],Okey!A:B,2,0),"")</f>
        <v/>
      </c>
      <c r="I1641" s="36"/>
      <c r="J1641" s="36" t="s">
        <v>20</v>
      </c>
      <c r="K1641" s="36" t="s">
        <v>11489</v>
      </c>
      <c r="L1641" s="36"/>
      <c r="M1641" s="36" t="s">
        <v>6110</v>
      </c>
    </row>
    <row r="1642" spans="1:13" hidden="1">
      <c r="A1642" s="42">
        <f t="shared" si="26"/>
        <v>1641</v>
      </c>
      <c r="B1642" s="36" t="s">
        <v>8</v>
      </c>
      <c r="C1642" s="36" t="s">
        <v>9935</v>
      </c>
      <c r="D1642" s="9" t="s">
        <v>9999</v>
      </c>
      <c r="E1642" s="9" t="s">
        <v>9939</v>
      </c>
      <c r="F1642" s="9" t="s">
        <v>2688</v>
      </c>
      <c r="G1642" s="36" t="s">
        <v>14</v>
      </c>
      <c r="H1642" s="36" t="str">
        <f>IFERROR(VLOOKUP(Table2[[#This Row], [Ticket]],Okey!A:B,2,0),"")</f>
        <v/>
      </c>
      <c r="I1642" s="36"/>
      <c r="J1642" s="36" t="s">
        <v>20</v>
      </c>
      <c r="K1642" s="36" t="s">
        <v>11489</v>
      </c>
      <c r="L1642" s="36"/>
      <c r="M1642" s="36" t="s">
        <v>6110</v>
      </c>
    </row>
    <row r="1643" spans="1:13" hidden="1">
      <c r="A1643" s="42">
        <f t="shared" si="26"/>
        <v>1642</v>
      </c>
      <c r="B1643" s="36" t="s">
        <v>8</v>
      </c>
      <c r="C1643" s="36" t="s">
        <v>9935</v>
      </c>
      <c r="D1643" s="9" t="s">
        <v>10000</v>
      </c>
      <c r="E1643" s="9" t="s">
        <v>9940</v>
      </c>
      <c r="F1643" s="9" t="s">
        <v>8771</v>
      </c>
      <c r="G1643" s="36" t="s">
        <v>14</v>
      </c>
      <c r="H1643" s="36" t="str">
        <f>IFERROR(VLOOKUP(Table2[[#This Row], [Ticket]],Okey!A:B,2,0),"")</f>
        <v/>
      </c>
      <c r="I1643" s="36"/>
      <c r="J1643" s="36" t="s">
        <v>20</v>
      </c>
      <c r="K1643" s="36" t="s">
        <v>11489</v>
      </c>
      <c r="L1643" s="36"/>
      <c r="M1643" s="36" t="s">
        <v>6110</v>
      </c>
    </row>
    <row r="1644" spans="1:13" hidden="1">
      <c r="A1644" s="42">
        <f t="shared" si="26"/>
        <v>1643</v>
      </c>
      <c r="B1644" s="36" t="s">
        <v>8</v>
      </c>
      <c r="C1644" s="36" t="s">
        <v>9935</v>
      </c>
      <c r="D1644" s="9" t="s">
        <v>10001</v>
      </c>
      <c r="E1644" s="9" t="s">
        <v>9941</v>
      </c>
      <c r="F1644" s="9" t="s">
        <v>8772</v>
      </c>
      <c r="G1644" s="36" t="s">
        <v>14</v>
      </c>
      <c r="H1644" s="36" t="str">
        <f>IFERROR(VLOOKUP(Table2[[#This Row], [Ticket]],Okey!A:B,2,0),"")</f>
        <v/>
      </c>
      <c r="I1644" s="36"/>
      <c r="J1644" s="36" t="s">
        <v>20</v>
      </c>
      <c r="K1644" s="36" t="s">
        <v>11489</v>
      </c>
      <c r="L1644" s="36"/>
      <c r="M1644" s="36" t="s">
        <v>6110</v>
      </c>
    </row>
    <row r="1645" spans="1:13" hidden="1">
      <c r="A1645" s="42">
        <f t="shared" si="26"/>
        <v>1644</v>
      </c>
      <c r="B1645" s="36" t="s">
        <v>8</v>
      </c>
      <c r="C1645" s="36" t="s">
        <v>9935</v>
      </c>
      <c r="D1645" s="9" t="s">
        <v>10002</v>
      </c>
      <c r="E1645" s="9" t="s">
        <v>9942</v>
      </c>
      <c r="F1645" s="9" t="s">
        <v>2433</v>
      </c>
      <c r="G1645" s="36" t="s">
        <v>14</v>
      </c>
      <c r="H1645" s="36" t="str">
        <f>IFERROR(VLOOKUP(Table2[[#This Row], [Ticket]],Okey!A:B,2,0),"")</f>
        <v/>
      </c>
      <c r="I1645" s="36"/>
      <c r="J1645" s="36" t="s">
        <v>20</v>
      </c>
      <c r="K1645" s="36" t="s">
        <v>11489</v>
      </c>
      <c r="L1645" s="36"/>
      <c r="M1645" s="36" t="s">
        <v>6110</v>
      </c>
    </row>
    <row r="1646" spans="1:13" hidden="1">
      <c r="A1646" s="42">
        <f t="shared" si="26"/>
        <v>1645</v>
      </c>
      <c r="B1646" s="36" t="s">
        <v>8</v>
      </c>
      <c r="C1646" s="36" t="s">
        <v>9935</v>
      </c>
      <c r="D1646" s="9" t="s">
        <v>10003</v>
      </c>
      <c r="E1646" s="9" t="s">
        <v>9943</v>
      </c>
      <c r="F1646" s="9" t="s">
        <v>8049</v>
      </c>
      <c r="G1646" s="36" t="s">
        <v>14</v>
      </c>
      <c r="H1646" s="36" t="str">
        <f>IFERROR(VLOOKUP(Table2[[#This Row], [Ticket]],Okey!A:B,2,0),"")</f>
        <v/>
      </c>
      <c r="I1646" s="36"/>
      <c r="J1646" s="36" t="s">
        <v>20</v>
      </c>
      <c r="K1646" s="36" t="s">
        <v>11489</v>
      </c>
      <c r="L1646" s="36"/>
      <c r="M1646" s="36" t="s">
        <v>6110</v>
      </c>
    </row>
    <row r="1647" spans="1:13" hidden="1">
      <c r="A1647" s="42">
        <f t="shared" si="26"/>
        <v>1646</v>
      </c>
      <c r="B1647" s="36" t="s">
        <v>8</v>
      </c>
      <c r="C1647" s="36" t="s">
        <v>9935</v>
      </c>
      <c r="D1647" s="9" t="s">
        <v>10004</v>
      </c>
      <c r="E1647" s="9" t="s">
        <v>9944</v>
      </c>
      <c r="F1647" s="9" t="s">
        <v>2234</v>
      </c>
      <c r="G1647" s="36" t="s">
        <v>14</v>
      </c>
      <c r="H1647" s="36" t="str">
        <f>IFERROR(VLOOKUP(Table2[[#This Row], [Ticket]],Okey!A:B,2,0),"")</f>
        <v/>
      </c>
      <c r="I1647" s="36"/>
      <c r="J1647" s="36" t="s">
        <v>20</v>
      </c>
      <c r="K1647" s="36" t="s">
        <v>11489</v>
      </c>
      <c r="L1647" s="36"/>
      <c r="M1647" s="36" t="s">
        <v>6110</v>
      </c>
    </row>
    <row r="1648" spans="1:13" hidden="1">
      <c r="A1648" s="42">
        <f t="shared" si="26"/>
        <v>1647</v>
      </c>
      <c r="B1648" s="36" t="s">
        <v>8</v>
      </c>
      <c r="C1648" s="36" t="s">
        <v>9935</v>
      </c>
      <c r="D1648" s="9" t="s">
        <v>10005</v>
      </c>
      <c r="E1648" s="9" t="s">
        <v>9945</v>
      </c>
      <c r="F1648" s="9" t="s">
        <v>4210</v>
      </c>
      <c r="G1648" s="36" t="s">
        <v>14</v>
      </c>
      <c r="H1648" s="36" t="str">
        <f>IFERROR(VLOOKUP(Table2[[#This Row], [Ticket]],Okey!A:B,2,0),"")</f>
        <v/>
      </c>
      <c r="I1648" s="36"/>
      <c r="J1648" s="36" t="s">
        <v>20</v>
      </c>
      <c r="K1648" s="36" t="s">
        <v>11489</v>
      </c>
      <c r="L1648" s="36"/>
      <c r="M1648" s="36" t="s">
        <v>6110</v>
      </c>
    </row>
    <row r="1649" spans="1:13" hidden="1">
      <c r="A1649" s="42">
        <f t="shared" si="26"/>
        <v>1648</v>
      </c>
      <c r="B1649" s="36" t="s">
        <v>8</v>
      </c>
      <c r="C1649" s="36" t="s">
        <v>9935</v>
      </c>
      <c r="D1649" s="9" t="s">
        <v>10006</v>
      </c>
      <c r="E1649" s="9" t="s">
        <v>9946</v>
      </c>
      <c r="F1649" s="9" t="s">
        <v>4210</v>
      </c>
      <c r="G1649" s="36" t="s">
        <v>14</v>
      </c>
      <c r="H1649" s="36" t="str">
        <f>IFERROR(VLOOKUP(Table2[[#This Row], [Ticket]],Okey!A:B,2,0),"")</f>
        <v/>
      </c>
      <c r="I1649" s="36"/>
      <c r="J1649" s="36" t="s">
        <v>20</v>
      </c>
      <c r="K1649" s="36" t="s">
        <v>11489</v>
      </c>
      <c r="L1649" s="36"/>
      <c r="M1649" s="36" t="s">
        <v>6110</v>
      </c>
    </row>
    <row r="1650" spans="1:13" hidden="1">
      <c r="A1650" s="42">
        <f t="shared" si="26"/>
        <v>1649</v>
      </c>
      <c r="B1650" s="36" t="s">
        <v>8</v>
      </c>
      <c r="C1650" s="36" t="s">
        <v>9935</v>
      </c>
      <c r="D1650" s="9" t="s">
        <v>10007</v>
      </c>
      <c r="E1650" s="9" t="s">
        <v>9947</v>
      </c>
      <c r="F1650" s="9" t="s">
        <v>4210</v>
      </c>
      <c r="G1650" s="36" t="s">
        <v>14</v>
      </c>
      <c r="H1650" s="36" t="str">
        <f>IFERROR(VLOOKUP(Table2[[#This Row], [Ticket]],Okey!A:B,2,0),"")</f>
        <v/>
      </c>
      <c r="I1650" s="36"/>
      <c r="J1650" s="36" t="s">
        <v>20</v>
      </c>
      <c r="K1650" s="36" t="s">
        <v>11489</v>
      </c>
      <c r="L1650" s="36"/>
      <c r="M1650" s="36" t="s">
        <v>6110</v>
      </c>
    </row>
    <row r="1651" spans="1:13" hidden="1">
      <c r="A1651" s="42">
        <f t="shared" si="26"/>
        <v>1650</v>
      </c>
      <c r="B1651" s="36" t="s">
        <v>8</v>
      </c>
      <c r="C1651" s="36" t="s">
        <v>9935</v>
      </c>
      <c r="D1651" s="9" t="s">
        <v>10008</v>
      </c>
      <c r="E1651" s="9" t="s">
        <v>9948</v>
      </c>
      <c r="F1651" s="9" t="s">
        <v>4210</v>
      </c>
      <c r="G1651" s="36" t="s">
        <v>14</v>
      </c>
      <c r="H1651" s="36" t="str">
        <f>IFERROR(VLOOKUP(Table2[[#This Row], [Ticket]],Okey!A:B,2,0),"")</f>
        <v/>
      </c>
      <c r="I1651" s="36"/>
      <c r="J1651" s="36" t="s">
        <v>20</v>
      </c>
      <c r="K1651" s="36" t="s">
        <v>11489</v>
      </c>
      <c r="L1651" s="36"/>
      <c r="M1651" s="36" t="s">
        <v>6110</v>
      </c>
    </row>
    <row r="1652" spans="1:13" hidden="1">
      <c r="A1652" s="42">
        <f t="shared" si="26"/>
        <v>1651</v>
      </c>
      <c r="B1652" s="36" t="s">
        <v>8</v>
      </c>
      <c r="C1652" s="36" t="s">
        <v>9935</v>
      </c>
      <c r="D1652" s="9" t="s">
        <v>10009</v>
      </c>
      <c r="E1652" s="9" t="s">
        <v>9949</v>
      </c>
      <c r="F1652" s="9" t="s">
        <v>4433</v>
      </c>
      <c r="G1652" s="36" t="s">
        <v>14</v>
      </c>
      <c r="H1652" s="36" t="str">
        <f>IFERROR(VLOOKUP(Table2[[#This Row], [Ticket]],Okey!A:B,2,0),"")</f>
        <v/>
      </c>
      <c r="I1652" s="36"/>
      <c r="J1652" s="36" t="s">
        <v>20</v>
      </c>
      <c r="K1652" s="36" t="s">
        <v>11489</v>
      </c>
      <c r="L1652" s="36"/>
      <c r="M1652" s="36" t="s">
        <v>6110</v>
      </c>
    </row>
    <row r="1653" spans="1:13" hidden="1">
      <c r="A1653" s="42">
        <f t="shared" si="26"/>
        <v>1652</v>
      </c>
      <c r="B1653" s="36" t="s">
        <v>8</v>
      </c>
      <c r="C1653" s="36" t="s">
        <v>9935</v>
      </c>
      <c r="D1653" s="9" t="s">
        <v>10010</v>
      </c>
      <c r="E1653" s="9" t="s">
        <v>9950</v>
      </c>
      <c r="F1653" s="9" t="s">
        <v>4433</v>
      </c>
      <c r="G1653" s="36" t="s">
        <v>14</v>
      </c>
      <c r="H1653" s="36" t="str">
        <f>IFERROR(VLOOKUP(Table2[[#This Row], [Ticket]],Okey!A:B,2,0),"")</f>
        <v/>
      </c>
      <c r="I1653" s="36"/>
      <c r="J1653" s="36" t="s">
        <v>20</v>
      </c>
      <c r="K1653" s="36" t="s">
        <v>11489</v>
      </c>
      <c r="L1653" s="36"/>
      <c r="M1653" s="36" t="s">
        <v>6110</v>
      </c>
    </row>
    <row r="1654" spans="1:13" hidden="1">
      <c r="A1654" s="42">
        <f t="shared" si="26"/>
        <v>1653</v>
      </c>
      <c r="B1654" s="36" t="s">
        <v>8</v>
      </c>
      <c r="C1654" s="36" t="s">
        <v>9935</v>
      </c>
      <c r="D1654" s="9" t="s">
        <v>10011</v>
      </c>
      <c r="E1654" s="9" t="s">
        <v>9951</v>
      </c>
      <c r="F1654" s="9" t="s">
        <v>4433</v>
      </c>
      <c r="G1654" s="36" t="s">
        <v>14</v>
      </c>
      <c r="H1654" s="36" t="str">
        <f>IFERROR(VLOOKUP(Table2[[#This Row], [Ticket]],Okey!A:B,2,0),"")</f>
        <v/>
      </c>
      <c r="I1654" s="36"/>
      <c r="J1654" s="36" t="s">
        <v>20</v>
      </c>
      <c r="K1654" s="36" t="s">
        <v>11489</v>
      </c>
      <c r="L1654" s="36"/>
      <c r="M1654" s="36" t="s">
        <v>6110</v>
      </c>
    </row>
    <row r="1655" spans="1:13" hidden="1">
      <c r="A1655" s="42">
        <f t="shared" si="26"/>
        <v>1654</v>
      </c>
      <c r="B1655" s="36" t="s">
        <v>8</v>
      </c>
      <c r="C1655" s="36" t="s">
        <v>9935</v>
      </c>
      <c r="D1655" s="9" t="s">
        <v>10012</v>
      </c>
      <c r="E1655" s="9" t="s">
        <v>9952</v>
      </c>
      <c r="F1655" s="9" t="s">
        <v>4433</v>
      </c>
      <c r="G1655" s="36" t="s">
        <v>14</v>
      </c>
      <c r="H1655" s="36" t="str">
        <f>IFERROR(VLOOKUP(Table2[[#This Row], [Ticket]],Okey!A:B,2,0),"")</f>
        <v/>
      </c>
      <c r="I1655" s="36"/>
      <c r="J1655" s="36" t="s">
        <v>20</v>
      </c>
      <c r="K1655" s="36" t="s">
        <v>11489</v>
      </c>
      <c r="L1655" s="36"/>
      <c r="M1655" s="36" t="s">
        <v>6110</v>
      </c>
    </row>
    <row r="1656" spans="1:13" hidden="1">
      <c r="A1656" s="42">
        <f t="shared" si="26"/>
        <v>1655</v>
      </c>
      <c r="B1656" s="36" t="s">
        <v>8</v>
      </c>
      <c r="C1656" s="36" t="s">
        <v>9935</v>
      </c>
      <c r="D1656" s="9" t="s">
        <v>10013</v>
      </c>
      <c r="E1656" s="9" t="s">
        <v>9953</v>
      </c>
      <c r="F1656" s="9" t="s">
        <v>9999</v>
      </c>
      <c r="G1656" s="36" t="s">
        <v>14</v>
      </c>
      <c r="H1656" s="36" t="str">
        <f>IFERROR(VLOOKUP(Table2[[#This Row], [Ticket]],Okey!A:B,2,0),"")</f>
        <v/>
      </c>
      <c r="I1656" s="36"/>
      <c r="J1656" s="36" t="s">
        <v>20</v>
      </c>
      <c r="K1656" s="36" t="s">
        <v>11489</v>
      </c>
      <c r="L1656" s="36"/>
      <c r="M1656" s="36" t="s">
        <v>6110</v>
      </c>
    </row>
    <row r="1657" spans="1:13" hidden="1">
      <c r="A1657" s="42">
        <f t="shared" si="26"/>
        <v>1656</v>
      </c>
      <c r="B1657" s="36" t="s">
        <v>8</v>
      </c>
      <c r="C1657" s="36" t="s">
        <v>9935</v>
      </c>
      <c r="D1657" s="9" t="s">
        <v>10014</v>
      </c>
      <c r="E1657" s="9" t="s">
        <v>9954</v>
      </c>
      <c r="F1657" s="9" t="s">
        <v>9999</v>
      </c>
      <c r="G1657" s="36" t="s">
        <v>14</v>
      </c>
      <c r="H1657" s="36" t="str">
        <f>IFERROR(VLOOKUP(Table2[[#This Row], [Ticket]],Okey!A:B,2,0),"")</f>
        <v/>
      </c>
      <c r="I1657" s="36"/>
      <c r="J1657" s="36" t="s">
        <v>20</v>
      </c>
      <c r="K1657" s="36" t="s">
        <v>11489</v>
      </c>
      <c r="L1657" s="36"/>
      <c r="M1657" s="36" t="s">
        <v>6110</v>
      </c>
    </row>
    <row r="1658" spans="1:13" hidden="1">
      <c r="A1658" s="42">
        <f t="shared" si="26"/>
        <v>1657</v>
      </c>
      <c r="B1658" s="36" t="s">
        <v>8</v>
      </c>
      <c r="C1658" s="36" t="s">
        <v>9935</v>
      </c>
      <c r="D1658" s="9" t="s">
        <v>10015</v>
      </c>
      <c r="E1658" s="9" t="s">
        <v>9955</v>
      </c>
      <c r="F1658" s="9" t="s">
        <v>9999</v>
      </c>
      <c r="G1658" s="36" t="s">
        <v>14</v>
      </c>
      <c r="H1658" s="36" t="str">
        <f>IFERROR(VLOOKUP(Table2[[#This Row], [Ticket]],Okey!A:B,2,0),"")</f>
        <v/>
      </c>
      <c r="I1658" s="36"/>
      <c r="J1658" s="36" t="s">
        <v>20</v>
      </c>
      <c r="K1658" s="36" t="s">
        <v>11489</v>
      </c>
      <c r="L1658" s="36"/>
      <c r="M1658" s="36" t="s">
        <v>6110</v>
      </c>
    </row>
    <row r="1659" spans="1:13" hidden="1">
      <c r="A1659" s="42">
        <f t="shared" si="26"/>
        <v>1658</v>
      </c>
      <c r="B1659" s="36" t="s">
        <v>8</v>
      </c>
      <c r="C1659" s="36" t="s">
        <v>9935</v>
      </c>
      <c r="D1659" s="9" t="s">
        <v>10016</v>
      </c>
      <c r="E1659" s="9" t="s">
        <v>9956</v>
      </c>
      <c r="F1659" s="9" t="s">
        <v>9999</v>
      </c>
      <c r="G1659" s="36" t="s">
        <v>14</v>
      </c>
      <c r="H1659" s="36" t="str">
        <f>IFERROR(VLOOKUP(Table2[[#This Row], [Ticket]],Okey!A:B,2,0),"")</f>
        <v/>
      </c>
      <c r="I1659" s="36"/>
      <c r="J1659" s="36" t="s">
        <v>20</v>
      </c>
      <c r="K1659" s="36" t="s">
        <v>11489</v>
      </c>
      <c r="L1659" s="36"/>
      <c r="M1659" s="36" t="s">
        <v>6110</v>
      </c>
    </row>
    <row r="1660" spans="1:13" hidden="1">
      <c r="A1660" s="42">
        <f t="shared" si="26"/>
        <v>1659</v>
      </c>
      <c r="B1660" s="36" t="s">
        <v>8</v>
      </c>
      <c r="C1660" s="36" t="s">
        <v>9935</v>
      </c>
      <c r="D1660" s="9" t="s">
        <v>10017</v>
      </c>
      <c r="E1660" s="9" t="s">
        <v>9957</v>
      </c>
      <c r="F1660" s="9" t="s">
        <v>9999</v>
      </c>
      <c r="G1660" s="36" t="s">
        <v>14</v>
      </c>
      <c r="H1660" s="36" t="str">
        <f>IFERROR(VLOOKUP(Table2[[#This Row], [Ticket]],Okey!A:B,2,0),"")</f>
        <v/>
      </c>
      <c r="I1660" s="36"/>
      <c r="J1660" s="36" t="s">
        <v>20</v>
      </c>
      <c r="K1660" s="36" t="s">
        <v>11489</v>
      </c>
      <c r="L1660" s="36"/>
      <c r="M1660" s="36" t="s">
        <v>6110</v>
      </c>
    </row>
    <row r="1661" spans="1:13" hidden="1">
      <c r="A1661" s="42">
        <f t="shared" si="26"/>
        <v>1660</v>
      </c>
      <c r="B1661" s="36" t="s">
        <v>8</v>
      </c>
      <c r="C1661" s="36" t="s">
        <v>9935</v>
      </c>
      <c r="D1661" s="9" t="s">
        <v>10018</v>
      </c>
      <c r="E1661" s="9" t="s">
        <v>9958</v>
      </c>
      <c r="F1661" s="9" t="s">
        <v>10000</v>
      </c>
      <c r="G1661" s="36" t="s">
        <v>14</v>
      </c>
      <c r="H1661" s="36" t="str">
        <f>IFERROR(VLOOKUP(Table2[[#This Row], [Ticket]],Okey!A:B,2,0),"")</f>
        <v/>
      </c>
      <c r="I1661" s="36"/>
      <c r="J1661" s="36" t="s">
        <v>20</v>
      </c>
      <c r="K1661" s="36" t="s">
        <v>11489</v>
      </c>
      <c r="L1661" s="36"/>
      <c r="M1661" s="36" t="s">
        <v>6110</v>
      </c>
    </row>
    <row r="1662" spans="1:13" hidden="1">
      <c r="A1662" s="42">
        <f t="shared" si="26"/>
        <v>1661</v>
      </c>
      <c r="B1662" s="36" t="s">
        <v>8</v>
      </c>
      <c r="C1662" s="36" t="s">
        <v>9935</v>
      </c>
      <c r="D1662" s="9" t="s">
        <v>10019</v>
      </c>
      <c r="E1662" s="9" t="s">
        <v>9959</v>
      </c>
      <c r="F1662" s="9" t="s">
        <v>10000</v>
      </c>
      <c r="G1662" s="36" t="s">
        <v>14</v>
      </c>
      <c r="H1662" s="36" t="str">
        <f>IFERROR(VLOOKUP(Table2[[#This Row], [Ticket]],Okey!A:B,2,0),"")</f>
        <v/>
      </c>
      <c r="I1662" s="36"/>
      <c r="J1662" s="36" t="s">
        <v>20</v>
      </c>
      <c r="K1662" s="36" t="s">
        <v>11489</v>
      </c>
      <c r="L1662" s="36"/>
      <c r="M1662" s="36" t="s">
        <v>6110</v>
      </c>
    </row>
    <row r="1663" spans="1:13" hidden="1">
      <c r="A1663" s="42">
        <f t="shared" si="26"/>
        <v>1662</v>
      </c>
      <c r="B1663" s="36" t="s">
        <v>8</v>
      </c>
      <c r="C1663" s="36" t="s">
        <v>9935</v>
      </c>
      <c r="D1663" s="9" t="s">
        <v>10020</v>
      </c>
      <c r="E1663" s="9" t="s">
        <v>9960</v>
      </c>
      <c r="F1663" s="9" t="s">
        <v>10000</v>
      </c>
      <c r="G1663" s="36" t="s">
        <v>14</v>
      </c>
      <c r="H1663" s="36" t="str">
        <f>IFERROR(VLOOKUP(Table2[[#This Row], [Ticket]],Okey!A:B,2,0),"")</f>
        <v/>
      </c>
      <c r="I1663" s="36"/>
      <c r="J1663" s="36" t="s">
        <v>20</v>
      </c>
      <c r="K1663" s="36" t="s">
        <v>11489</v>
      </c>
      <c r="L1663" s="36"/>
      <c r="M1663" s="36" t="s">
        <v>6110</v>
      </c>
    </row>
    <row r="1664" spans="1:13" hidden="1">
      <c r="A1664" s="42">
        <f t="shared" si="26"/>
        <v>1663</v>
      </c>
      <c r="B1664" s="36" t="s">
        <v>8</v>
      </c>
      <c r="C1664" s="36" t="s">
        <v>9935</v>
      </c>
      <c r="D1664" s="9" t="s">
        <v>10021</v>
      </c>
      <c r="E1664" s="9" t="s">
        <v>9961</v>
      </c>
      <c r="F1664" s="9" t="s">
        <v>10000</v>
      </c>
      <c r="G1664" s="36" t="s">
        <v>14</v>
      </c>
      <c r="H1664" s="36" t="str">
        <f>IFERROR(VLOOKUP(Table2[[#This Row], [Ticket]],Okey!A:B,2,0),"")</f>
        <v/>
      </c>
      <c r="I1664" s="36"/>
      <c r="J1664" s="36" t="s">
        <v>20</v>
      </c>
      <c r="K1664" s="36" t="s">
        <v>11489</v>
      </c>
      <c r="L1664" s="36"/>
      <c r="M1664" s="36" t="s">
        <v>6110</v>
      </c>
    </row>
    <row r="1665" spans="1:13" hidden="1">
      <c r="A1665" s="42">
        <f t="shared" si="26"/>
        <v>1664</v>
      </c>
      <c r="B1665" s="36" t="s">
        <v>8</v>
      </c>
      <c r="C1665" s="36" t="s">
        <v>9935</v>
      </c>
      <c r="D1665" s="9" t="s">
        <v>10022</v>
      </c>
      <c r="E1665" s="9" t="s">
        <v>9962</v>
      </c>
      <c r="F1665" s="9" t="s">
        <v>10000</v>
      </c>
      <c r="G1665" s="36" t="s">
        <v>14</v>
      </c>
      <c r="H1665" s="36" t="str">
        <f>IFERROR(VLOOKUP(Table2[[#This Row], [Ticket]],Okey!A:B,2,0),"")</f>
        <v/>
      </c>
      <c r="I1665" s="36"/>
      <c r="J1665" s="36" t="s">
        <v>20</v>
      </c>
      <c r="K1665" s="36" t="s">
        <v>11489</v>
      </c>
      <c r="L1665" s="36"/>
      <c r="M1665" s="36" t="s">
        <v>6110</v>
      </c>
    </row>
    <row r="1666" spans="1:13" hidden="1">
      <c r="A1666" s="42">
        <f t="shared" si="26"/>
        <v>1665</v>
      </c>
      <c r="B1666" s="36" t="s">
        <v>8</v>
      </c>
      <c r="C1666" s="36" t="s">
        <v>9935</v>
      </c>
      <c r="D1666" s="9" t="s">
        <v>10023</v>
      </c>
      <c r="E1666" s="9" t="s">
        <v>9963</v>
      </c>
      <c r="F1666" s="9" t="s">
        <v>10001</v>
      </c>
      <c r="G1666" s="36" t="s">
        <v>14</v>
      </c>
      <c r="H1666" s="36" t="str">
        <f>IFERROR(VLOOKUP(Table2[[#This Row], [Ticket]],Okey!A:B,2,0),"")</f>
        <v/>
      </c>
      <c r="I1666" s="36"/>
      <c r="J1666" s="36" t="s">
        <v>20</v>
      </c>
      <c r="K1666" s="36" t="s">
        <v>11489</v>
      </c>
      <c r="L1666" s="36"/>
      <c r="M1666" s="36" t="s">
        <v>6110</v>
      </c>
    </row>
    <row r="1667" spans="1:13" hidden="1">
      <c r="A1667" s="42">
        <f t="shared" si="26"/>
        <v>1666</v>
      </c>
      <c r="B1667" s="36" t="s">
        <v>8</v>
      </c>
      <c r="C1667" s="36" t="s">
        <v>9935</v>
      </c>
      <c r="D1667" s="9" t="s">
        <v>10024</v>
      </c>
      <c r="E1667" s="9" t="s">
        <v>9964</v>
      </c>
      <c r="F1667" s="9" t="s">
        <v>10001</v>
      </c>
      <c r="G1667" s="36" t="s">
        <v>14</v>
      </c>
      <c r="H1667" s="36" t="str">
        <f>IFERROR(VLOOKUP(Table2[[#This Row], [Ticket]],Okey!A:B,2,0),"")</f>
        <v/>
      </c>
      <c r="I1667" s="36"/>
      <c r="J1667" s="36" t="s">
        <v>20</v>
      </c>
      <c r="K1667" s="36" t="s">
        <v>11489</v>
      </c>
      <c r="L1667" s="36"/>
      <c r="M1667" s="36" t="s">
        <v>6110</v>
      </c>
    </row>
    <row r="1668" spans="1:13" hidden="1">
      <c r="A1668" s="42">
        <f t="shared" si="26"/>
        <v>1667</v>
      </c>
      <c r="B1668" s="36" t="s">
        <v>8</v>
      </c>
      <c r="C1668" s="36" t="s">
        <v>9935</v>
      </c>
      <c r="D1668" s="9" t="s">
        <v>10025</v>
      </c>
      <c r="E1668" s="9" t="s">
        <v>9965</v>
      </c>
      <c r="F1668" s="9" t="s">
        <v>10001</v>
      </c>
      <c r="G1668" s="36" t="s">
        <v>14</v>
      </c>
      <c r="H1668" s="36" t="str">
        <f>IFERROR(VLOOKUP(Table2[[#This Row], [Ticket]],Okey!A:B,2,0),"")</f>
        <v/>
      </c>
      <c r="I1668" s="36"/>
      <c r="J1668" s="36" t="s">
        <v>20</v>
      </c>
      <c r="K1668" s="36" t="s">
        <v>11489</v>
      </c>
      <c r="L1668" s="36"/>
      <c r="M1668" s="36" t="s">
        <v>6110</v>
      </c>
    </row>
    <row r="1669" spans="1:13" hidden="1">
      <c r="A1669" s="42">
        <f t="shared" si="26"/>
        <v>1668</v>
      </c>
      <c r="B1669" s="36" t="s">
        <v>8</v>
      </c>
      <c r="C1669" s="36" t="s">
        <v>9935</v>
      </c>
      <c r="D1669" s="9" t="s">
        <v>10026</v>
      </c>
      <c r="E1669" s="9" t="s">
        <v>9966</v>
      </c>
      <c r="F1669" s="9" t="s">
        <v>10001</v>
      </c>
      <c r="G1669" s="36" t="s">
        <v>14</v>
      </c>
      <c r="H1669" s="36" t="str">
        <f>IFERROR(VLOOKUP(Table2[[#This Row], [Ticket]],Okey!A:B,2,0),"")</f>
        <v/>
      </c>
      <c r="I1669" s="36"/>
      <c r="J1669" s="36" t="s">
        <v>20</v>
      </c>
      <c r="K1669" s="36" t="s">
        <v>11489</v>
      </c>
      <c r="L1669" s="36"/>
      <c r="M1669" s="36" t="s">
        <v>6110</v>
      </c>
    </row>
    <row r="1670" spans="1:13" hidden="1">
      <c r="A1670" s="42">
        <f t="shared" si="26"/>
        <v>1669</v>
      </c>
      <c r="B1670" s="36" t="s">
        <v>8</v>
      </c>
      <c r="C1670" s="36" t="s">
        <v>9935</v>
      </c>
      <c r="D1670" s="9" t="s">
        <v>10027</v>
      </c>
      <c r="E1670" s="9" t="s">
        <v>9967</v>
      </c>
      <c r="F1670" s="9" t="s">
        <v>10001</v>
      </c>
      <c r="G1670" s="36" t="s">
        <v>14</v>
      </c>
      <c r="H1670" s="36" t="str">
        <f>IFERROR(VLOOKUP(Table2[[#This Row], [Ticket]],Okey!A:B,2,0),"")</f>
        <v/>
      </c>
      <c r="I1670" s="36"/>
      <c r="J1670" s="36" t="s">
        <v>20</v>
      </c>
      <c r="K1670" s="36" t="s">
        <v>11489</v>
      </c>
      <c r="L1670" s="36"/>
      <c r="M1670" s="36" t="s">
        <v>6110</v>
      </c>
    </row>
    <row r="1671" spans="1:13" hidden="1">
      <c r="A1671" s="42">
        <f t="shared" si="26"/>
        <v>1670</v>
      </c>
      <c r="B1671" s="36" t="s">
        <v>8</v>
      </c>
      <c r="C1671" s="36" t="s">
        <v>9935</v>
      </c>
      <c r="D1671" s="9" t="s">
        <v>10028</v>
      </c>
      <c r="E1671" s="9" t="s">
        <v>9968</v>
      </c>
      <c r="F1671" s="9" t="s">
        <v>10002</v>
      </c>
      <c r="G1671" s="36" t="s">
        <v>14</v>
      </c>
      <c r="H1671" s="36" t="str">
        <f>IFERROR(VLOOKUP(Table2[[#This Row], [Ticket]],Okey!A:B,2,0),"")</f>
        <v/>
      </c>
      <c r="I1671" s="36"/>
      <c r="J1671" s="36" t="s">
        <v>20</v>
      </c>
      <c r="K1671" s="36" t="s">
        <v>11489</v>
      </c>
      <c r="L1671" s="36"/>
      <c r="M1671" s="36" t="s">
        <v>6110</v>
      </c>
    </row>
    <row r="1672" spans="1:13" hidden="1">
      <c r="A1672" s="42">
        <f t="shared" si="26"/>
        <v>1671</v>
      </c>
      <c r="B1672" s="36" t="s">
        <v>8</v>
      </c>
      <c r="C1672" s="36" t="s">
        <v>9935</v>
      </c>
      <c r="D1672" s="9" t="s">
        <v>10029</v>
      </c>
      <c r="E1672" s="9" t="s">
        <v>9969</v>
      </c>
      <c r="F1672" s="9" t="s">
        <v>10002</v>
      </c>
      <c r="G1672" s="36" t="s">
        <v>14</v>
      </c>
      <c r="H1672" s="36" t="str">
        <f>IFERROR(VLOOKUP(Table2[[#This Row], [Ticket]],Okey!A:B,2,0),"")</f>
        <v/>
      </c>
      <c r="I1672" s="36"/>
      <c r="J1672" s="36" t="s">
        <v>20</v>
      </c>
      <c r="K1672" s="36" t="s">
        <v>11489</v>
      </c>
      <c r="L1672" s="36"/>
      <c r="M1672" s="36" t="s">
        <v>6110</v>
      </c>
    </row>
    <row r="1673" spans="1:13" hidden="1">
      <c r="A1673" s="42">
        <f t="shared" si="26"/>
        <v>1672</v>
      </c>
      <c r="B1673" s="36" t="s">
        <v>8</v>
      </c>
      <c r="C1673" s="36" t="s">
        <v>9935</v>
      </c>
      <c r="D1673" s="9" t="s">
        <v>10030</v>
      </c>
      <c r="E1673" s="9" t="s">
        <v>9970</v>
      </c>
      <c r="F1673" s="9" t="s">
        <v>10002</v>
      </c>
      <c r="G1673" s="36" t="s">
        <v>14</v>
      </c>
      <c r="H1673" s="36" t="str">
        <f>IFERROR(VLOOKUP(Table2[[#This Row], [Ticket]],Okey!A:B,2,0),"")</f>
        <v/>
      </c>
      <c r="I1673" s="36"/>
      <c r="J1673" s="36" t="s">
        <v>20</v>
      </c>
      <c r="K1673" s="36" t="s">
        <v>11489</v>
      </c>
      <c r="L1673" s="36"/>
      <c r="M1673" s="36" t="s">
        <v>6110</v>
      </c>
    </row>
    <row r="1674" spans="1:13" hidden="1">
      <c r="A1674" s="42">
        <f t="shared" si="26"/>
        <v>1673</v>
      </c>
      <c r="B1674" s="36" t="s">
        <v>8</v>
      </c>
      <c r="C1674" s="36" t="s">
        <v>9935</v>
      </c>
      <c r="D1674" s="9" t="s">
        <v>10031</v>
      </c>
      <c r="E1674" s="9" t="s">
        <v>9971</v>
      </c>
      <c r="F1674" s="9" t="s">
        <v>10002</v>
      </c>
      <c r="G1674" s="36" t="s">
        <v>14</v>
      </c>
      <c r="H1674" s="36" t="str">
        <f>IFERROR(VLOOKUP(Table2[[#This Row], [Ticket]],Okey!A:B,2,0),"")</f>
        <v/>
      </c>
      <c r="I1674" s="36"/>
      <c r="J1674" s="36" t="s">
        <v>20</v>
      </c>
      <c r="K1674" s="36" t="s">
        <v>11489</v>
      </c>
      <c r="L1674" s="36"/>
      <c r="M1674" s="36" t="s">
        <v>6110</v>
      </c>
    </row>
    <row r="1675" spans="1:13" hidden="1">
      <c r="A1675" s="42">
        <f t="shared" si="26"/>
        <v>1674</v>
      </c>
      <c r="B1675" s="36" t="s">
        <v>8</v>
      </c>
      <c r="C1675" s="36" t="s">
        <v>9935</v>
      </c>
      <c r="D1675" s="9" t="s">
        <v>10032</v>
      </c>
      <c r="E1675" s="9" t="s">
        <v>9972</v>
      </c>
      <c r="F1675" s="9" t="s">
        <v>10002</v>
      </c>
      <c r="G1675" s="36" t="s">
        <v>14</v>
      </c>
      <c r="H1675" s="36" t="str">
        <f>IFERROR(VLOOKUP(Table2[[#This Row], [Ticket]],Okey!A:B,2,0),"")</f>
        <v/>
      </c>
      <c r="I1675" s="36"/>
      <c r="J1675" s="36" t="s">
        <v>20</v>
      </c>
      <c r="K1675" s="36" t="s">
        <v>11489</v>
      </c>
      <c r="L1675" s="36"/>
      <c r="M1675" s="36" t="s">
        <v>6110</v>
      </c>
    </row>
    <row r="1676" spans="1:13" hidden="1">
      <c r="A1676" s="42">
        <f t="shared" si="26"/>
        <v>1675</v>
      </c>
      <c r="B1676" s="36" t="s">
        <v>8</v>
      </c>
      <c r="C1676" s="36" t="s">
        <v>9935</v>
      </c>
      <c r="D1676" s="9" t="s">
        <v>10033</v>
      </c>
      <c r="E1676" s="9" t="s">
        <v>9973</v>
      </c>
      <c r="F1676" s="9" t="s">
        <v>10003</v>
      </c>
      <c r="G1676" s="36" t="s">
        <v>14</v>
      </c>
      <c r="H1676" s="36" t="str">
        <f>IFERROR(VLOOKUP(Table2[[#This Row], [Ticket]],Okey!A:B,2,0),"")</f>
        <v/>
      </c>
      <c r="I1676" s="36"/>
      <c r="J1676" s="36" t="s">
        <v>20</v>
      </c>
      <c r="K1676" s="36" t="s">
        <v>11489</v>
      </c>
      <c r="L1676" s="36"/>
      <c r="M1676" s="36" t="s">
        <v>6110</v>
      </c>
    </row>
    <row r="1677" spans="1:13" hidden="1">
      <c r="A1677" s="42">
        <f t="shared" si="26"/>
        <v>1676</v>
      </c>
      <c r="B1677" s="36" t="s">
        <v>8</v>
      </c>
      <c r="C1677" s="36" t="s">
        <v>9935</v>
      </c>
      <c r="D1677" s="9" t="s">
        <v>10034</v>
      </c>
      <c r="E1677" s="9" t="s">
        <v>9974</v>
      </c>
      <c r="F1677" s="9" t="s">
        <v>10003</v>
      </c>
      <c r="G1677" s="36" t="s">
        <v>14</v>
      </c>
      <c r="H1677" s="36" t="str">
        <f>IFERROR(VLOOKUP(Table2[[#This Row], [Ticket]],Okey!A:B,2,0),"")</f>
        <v/>
      </c>
      <c r="I1677" s="36"/>
      <c r="J1677" s="36" t="s">
        <v>20</v>
      </c>
      <c r="K1677" s="36" t="s">
        <v>11489</v>
      </c>
      <c r="L1677" s="36"/>
      <c r="M1677" s="36" t="s">
        <v>6110</v>
      </c>
    </row>
    <row r="1678" spans="1:13" hidden="1">
      <c r="A1678" s="42">
        <f t="shared" si="26"/>
        <v>1677</v>
      </c>
      <c r="B1678" s="36" t="s">
        <v>8</v>
      </c>
      <c r="C1678" s="36" t="s">
        <v>9935</v>
      </c>
      <c r="D1678" s="9" t="s">
        <v>10035</v>
      </c>
      <c r="E1678" s="9" t="s">
        <v>9975</v>
      </c>
      <c r="F1678" s="9" t="s">
        <v>10003</v>
      </c>
      <c r="G1678" s="36" t="s">
        <v>14</v>
      </c>
      <c r="H1678" s="36" t="str">
        <f>IFERROR(VLOOKUP(Table2[[#This Row], [Ticket]],Okey!A:B,2,0),"")</f>
        <v/>
      </c>
      <c r="I1678" s="36"/>
      <c r="J1678" s="36" t="s">
        <v>20</v>
      </c>
      <c r="K1678" s="36" t="s">
        <v>11489</v>
      </c>
      <c r="L1678" s="36"/>
      <c r="M1678" s="36" t="s">
        <v>6110</v>
      </c>
    </row>
    <row r="1679" spans="1:13" hidden="1">
      <c r="A1679" s="42">
        <f t="shared" si="26"/>
        <v>1678</v>
      </c>
      <c r="B1679" s="36" t="s">
        <v>8</v>
      </c>
      <c r="C1679" s="36" t="s">
        <v>9935</v>
      </c>
      <c r="D1679" s="9" t="s">
        <v>10036</v>
      </c>
      <c r="E1679" s="9" t="s">
        <v>9976</v>
      </c>
      <c r="F1679" s="9" t="s">
        <v>10003</v>
      </c>
      <c r="G1679" s="36" t="s">
        <v>14</v>
      </c>
      <c r="H1679" s="36" t="str">
        <f>IFERROR(VLOOKUP(Table2[[#This Row], [Ticket]],Okey!A:B,2,0),"")</f>
        <v/>
      </c>
      <c r="I1679" s="36"/>
      <c r="J1679" s="36" t="s">
        <v>20</v>
      </c>
      <c r="K1679" s="36" t="s">
        <v>11489</v>
      </c>
      <c r="L1679" s="36"/>
      <c r="M1679" s="36" t="s">
        <v>6110</v>
      </c>
    </row>
    <row r="1680" spans="1:13" hidden="1">
      <c r="A1680" s="42">
        <f t="shared" si="26"/>
        <v>1679</v>
      </c>
      <c r="B1680" s="36" t="s">
        <v>8</v>
      </c>
      <c r="C1680" s="36" t="s">
        <v>9935</v>
      </c>
      <c r="D1680" s="9" t="s">
        <v>10037</v>
      </c>
      <c r="E1680" s="9" t="s">
        <v>9977</v>
      </c>
      <c r="F1680" s="9" t="s">
        <v>10003</v>
      </c>
      <c r="G1680" s="36" t="s">
        <v>14</v>
      </c>
      <c r="H1680" s="36" t="str">
        <f>IFERROR(VLOOKUP(Table2[[#This Row], [Ticket]],Okey!A:B,2,0),"")</f>
        <v/>
      </c>
      <c r="I1680" s="36"/>
      <c r="J1680" s="36" t="s">
        <v>20</v>
      </c>
      <c r="K1680" s="36" t="s">
        <v>11489</v>
      </c>
      <c r="L1680" s="36"/>
      <c r="M1680" s="36" t="s">
        <v>6110</v>
      </c>
    </row>
    <row r="1681" spans="1:13" hidden="1">
      <c r="A1681" s="42">
        <f t="shared" si="26"/>
        <v>1680</v>
      </c>
      <c r="B1681" s="36" t="s">
        <v>8</v>
      </c>
      <c r="C1681" s="36" t="s">
        <v>9935</v>
      </c>
      <c r="D1681" s="9" t="s">
        <v>10038</v>
      </c>
      <c r="E1681" s="9" t="s">
        <v>9978</v>
      </c>
      <c r="F1681" s="9" t="s">
        <v>10004</v>
      </c>
      <c r="G1681" s="36" t="s">
        <v>14</v>
      </c>
      <c r="H1681" s="36" t="str">
        <f>IFERROR(VLOOKUP(Table2[[#This Row], [Ticket]],Okey!A:B,2,0),"")</f>
        <v/>
      </c>
      <c r="I1681" s="36"/>
      <c r="J1681" s="36" t="s">
        <v>20</v>
      </c>
      <c r="K1681" s="36" t="s">
        <v>11489</v>
      </c>
      <c r="L1681" s="36"/>
      <c r="M1681" s="36" t="s">
        <v>6110</v>
      </c>
    </row>
    <row r="1682" spans="1:13" hidden="1">
      <c r="A1682" s="42">
        <f t="shared" si="26"/>
        <v>1681</v>
      </c>
      <c r="B1682" s="36" t="s">
        <v>8</v>
      </c>
      <c r="C1682" s="36" t="s">
        <v>9935</v>
      </c>
      <c r="D1682" s="9" t="s">
        <v>10039</v>
      </c>
      <c r="E1682" s="9" t="s">
        <v>9979</v>
      </c>
      <c r="F1682" s="9" t="s">
        <v>10004</v>
      </c>
      <c r="G1682" s="36" t="s">
        <v>14</v>
      </c>
      <c r="H1682" s="36" t="str">
        <f>IFERROR(VLOOKUP(Table2[[#This Row], [Ticket]],Okey!A:B,2,0),"")</f>
        <v/>
      </c>
      <c r="I1682" s="36"/>
      <c r="J1682" s="36" t="s">
        <v>20</v>
      </c>
      <c r="K1682" s="36" t="s">
        <v>11489</v>
      </c>
      <c r="L1682" s="36"/>
      <c r="M1682" s="36" t="s">
        <v>6110</v>
      </c>
    </row>
    <row r="1683" spans="1:13" hidden="1">
      <c r="A1683" s="42">
        <f t="shared" si="26"/>
        <v>1682</v>
      </c>
      <c r="B1683" s="36" t="s">
        <v>8</v>
      </c>
      <c r="C1683" s="36" t="s">
        <v>9935</v>
      </c>
      <c r="D1683" s="9" t="s">
        <v>10040</v>
      </c>
      <c r="E1683" s="9" t="s">
        <v>9980</v>
      </c>
      <c r="F1683" s="9" t="s">
        <v>10004</v>
      </c>
      <c r="G1683" s="36" t="s">
        <v>14</v>
      </c>
      <c r="H1683" s="36" t="str">
        <f>IFERROR(VLOOKUP(Table2[[#This Row], [Ticket]],Okey!A:B,2,0),"")</f>
        <v/>
      </c>
      <c r="I1683" s="36"/>
      <c r="J1683" s="36" t="s">
        <v>20</v>
      </c>
      <c r="K1683" s="36" t="s">
        <v>11489</v>
      </c>
      <c r="L1683" s="36"/>
      <c r="M1683" s="36" t="s">
        <v>6110</v>
      </c>
    </row>
    <row r="1684" spans="1:13" hidden="1">
      <c r="A1684" s="42">
        <f t="shared" si="26"/>
        <v>1683</v>
      </c>
      <c r="B1684" s="36" t="s">
        <v>8</v>
      </c>
      <c r="C1684" s="36" t="s">
        <v>9935</v>
      </c>
      <c r="D1684" s="9" t="s">
        <v>10041</v>
      </c>
      <c r="E1684" s="9" t="s">
        <v>9981</v>
      </c>
      <c r="F1684" s="9" t="s">
        <v>10004</v>
      </c>
      <c r="G1684" s="36" t="s">
        <v>14</v>
      </c>
      <c r="H1684" s="36" t="str">
        <f>IFERROR(VLOOKUP(Table2[[#This Row], [Ticket]],Okey!A:B,2,0),"")</f>
        <v/>
      </c>
      <c r="I1684" s="36"/>
      <c r="J1684" s="36" t="s">
        <v>20</v>
      </c>
      <c r="K1684" s="36" t="s">
        <v>11489</v>
      </c>
      <c r="L1684" s="36"/>
      <c r="M1684" s="36" t="s">
        <v>6110</v>
      </c>
    </row>
    <row r="1685" spans="1:13" hidden="1">
      <c r="A1685" s="42">
        <f t="shared" si="26"/>
        <v>1684</v>
      </c>
      <c r="B1685" s="36" t="s">
        <v>8</v>
      </c>
      <c r="C1685" s="36" t="s">
        <v>9935</v>
      </c>
      <c r="D1685" s="9" t="s">
        <v>10042</v>
      </c>
      <c r="E1685" s="9" t="s">
        <v>9982</v>
      </c>
      <c r="F1685" s="9" t="s">
        <v>10004</v>
      </c>
      <c r="G1685" s="36" t="s">
        <v>14</v>
      </c>
      <c r="H1685" s="36" t="str">
        <f>IFERROR(VLOOKUP(Table2[[#This Row], [Ticket]],Okey!A:B,2,0),"")</f>
        <v/>
      </c>
      <c r="I1685" s="36"/>
      <c r="J1685" s="36" t="s">
        <v>20</v>
      </c>
      <c r="K1685" s="36" t="s">
        <v>11489</v>
      </c>
      <c r="L1685" s="36"/>
      <c r="M1685" s="36" t="s">
        <v>6110</v>
      </c>
    </row>
    <row r="1686" spans="1:13" hidden="1">
      <c r="A1686" s="42">
        <f t="shared" ref="A1686:A1749" si="27">1+A1685</f>
        <v>1685</v>
      </c>
      <c r="B1686" s="36" t="s">
        <v>8</v>
      </c>
      <c r="C1686" s="36" t="s">
        <v>9935</v>
      </c>
      <c r="D1686" s="9" t="s">
        <v>10043</v>
      </c>
      <c r="E1686" s="9" t="s">
        <v>9983</v>
      </c>
      <c r="F1686" s="9" t="s">
        <v>2441</v>
      </c>
      <c r="G1686" s="36" t="s">
        <v>14</v>
      </c>
      <c r="H1686" s="36" t="str">
        <f>IFERROR(VLOOKUP(Table2[[#This Row], [Ticket]],Okey!A:B,2,0),"")</f>
        <v/>
      </c>
      <c r="I1686" s="36"/>
      <c r="J1686" s="36" t="s">
        <v>20</v>
      </c>
      <c r="K1686" s="36" t="s">
        <v>11489</v>
      </c>
      <c r="L1686" s="36"/>
      <c r="M1686" s="36" t="s">
        <v>6110</v>
      </c>
    </row>
    <row r="1687" spans="1:13" hidden="1">
      <c r="A1687" s="42">
        <f t="shared" si="27"/>
        <v>1686</v>
      </c>
      <c r="B1687" s="36" t="s">
        <v>8</v>
      </c>
      <c r="C1687" s="36" t="s">
        <v>9935</v>
      </c>
      <c r="D1687" s="9" t="s">
        <v>10044</v>
      </c>
      <c r="E1687" s="9" t="s">
        <v>9984</v>
      </c>
      <c r="F1687" s="9" t="s">
        <v>2441</v>
      </c>
      <c r="G1687" s="36" t="s">
        <v>14</v>
      </c>
      <c r="H1687" s="36" t="str">
        <f>IFERROR(VLOOKUP(Table2[[#This Row], [Ticket]],Okey!A:B,2,0),"")</f>
        <v/>
      </c>
      <c r="I1687" s="36"/>
      <c r="J1687" s="36" t="s">
        <v>20</v>
      </c>
      <c r="K1687" s="36" t="s">
        <v>11489</v>
      </c>
      <c r="L1687" s="36"/>
      <c r="M1687" s="36" t="s">
        <v>6110</v>
      </c>
    </row>
    <row r="1688" spans="1:13">
      <c r="A1688" s="42">
        <f t="shared" si="27"/>
        <v>1687</v>
      </c>
      <c r="B1688" s="36" t="s">
        <v>8</v>
      </c>
      <c r="C1688" s="36" t="s">
        <v>9935</v>
      </c>
      <c r="D1688" s="9" t="s">
        <v>4210</v>
      </c>
      <c r="E1688" s="9" t="s">
        <v>9986</v>
      </c>
      <c r="G1688" s="9" t="s">
        <v>15</v>
      </c>
      <c r="H1688" s="36" t="str">
        <f>IFERROR(VLOOKUP(Table2[[#This Row], [Ticket]],Okey!A:B,2,0),"")</f>
        <v/>
      </c>
      <c r="I1688" s="36"/>
      <c r="J1688" s="36" t="s">
        <v>20</v>
      </c>
      <c r="K1688" s="36" t="s">
        <v>11489</v>
      </c>
      <c r="L1688" s="36"/>
      <c r="M1688" s="36" t="s">
        <v>6110</v>
      </c>
    </row>
    <row r="1689" spans="1:13" hidden="1">
      <c r="A1689" s="42">
        <f t="shared" si="27"/>
        <v>1688</v>
      </c>
      <c r="B1689" s="36" t="s">
        <v>8</v>
      </c>
      <c r="C1689" s="36" t="s">
        <v>9935</v>
      </c>
      <c r="D1689" s="9" t="s">
        <v>4216</v>
      </c>
      <c r="E1689" s="9" t="s">
        <v>9987</v>
      </c>
      <c r="G1689" s="36" t="s">
        <v>15</v>
      </c>
      <c r="H1689" s="36" t="str">
        <f>IFERROR(VLOOKUP(Table2[[#This Row], [Ticket]],Okey!A:B,2,0),"")</f>
        <v/>
      </c>
      <c r="I1689" s="36"/>
      <c r="J1689" s="36" t="s">
        <v>20</v>
      </c>
      <c r="K1689" s="36" t="s">
        <v>11489</v>
      </c>
      <c r="L1689" s="36"/>
      <c r="M1689" s="36" t="s">
        <v>6110</v>
      </c>
    </row>
    <row r="1690" spans="1:13" hidden="1">
      <c r="A1690" s="42">
        <f t="shared" si="27"/>
        <v>1689</v>
      </c>
      <c r="B1690" s="36" t="s">
        <v>8</v>
      </c>
      <c r="C1690" s="36" t="s">
        <v>9935</v>
      </c>
      <c r="D1690" s="9" t="s">
        <v>4433</v>
      </c>
      <c r="E1690" s="9" t="s">
        <v>9988</v>
      </c>
      <c r="G1690" s="36" t="s">
        <v>15</v>
      </c>
      <c r="H1690" s="36" t="str">
        <f>IFERROR(VLOOKUP(Table2[[#This Row], [Ticket]],Okey!A:B,2,0),"")</f>
        <v/>
      </c>
      <c r="I1690" s="36"/>
      <c r="J1690" s="36" t="s">
        <v>20</v>
      </c>
      <c r="K1690" s="36" t="s">
        <v>11489</v>
      </c>
      <c r="L1690" s="36"/>
      <c r="M1690" s="36" t="s">
        <v>6110</v>
      </c>
    </row>
    <row r="1691" spans="1:13" hidden="1">
      <c r="A1691" s="42">
        <f t="shared" si="27"/>
        <v>1690</v>
      </c>
      <c r="B1691" s="36" t="s">
        <v>8</v>
      </c>
      <c r="C1691" s="36" t="s">
        <v>9935</v>
      </c>
      <c r="D1691" s="9" t="s">
        <v>9985</v>
      </c>
      <c r="E1691" s="9" t="s">
        <v>9989</v>
      </c>
      <c r="G1691" s="36" t="s">
        <v>15</v>
      </c>
      <c r="H1691" s="36" t="str">
        <f>IFERROR(VLOOKUP(Table2[[#This Row], [Ticket]],Okey!A:B,2,0),"")</f>
        <v/>
      </c>
      <c r="I1691" s="36"/>
      <c r="J1691" s="36" t="s">
        <v>20</v>
      </c>
      <c r="K1691" s="36" t="s">
        <v>11489</v>
      </c>
      <c r="L1691" s="36"/>
      <c r="M1691" s="36" t="s">
        <v>6110</v>
      </c>
    </row>
    <row r="1692" spans="1:13" hidden="1">
      <c r="A1692" s="42">
        <f t="shared" si="27"/>
        <v>1691</v>
      </c>
      <c r="B1692" s="36" t="s">
        <v>8</v>
      </c>
      <c r="C1692" s="36" t="s">
        <v>9935</v>
      </c>
      <c r="D1692" s="9" t="s">
        <v>9990</v>
      </c>
      <c r="F1692" s="9" t="s">
        <v>2433</v>
      </c>
      <c r="G1692" s="9" t="s">
        <v>13</v>
      </c>
      <c r="H1692" s="36" t="str">
        <f>IFERROR(VLOOKUP(Table2[[#This Row], [Ticket]],Okey!A:B,2,0),"")</f>
        <v/>
      </c>
      <c r="I1692" s="36"/>
      <c r="J1692" s="36" t="s">
        <v>20</v>
      </c>
      <c r="K1692" s="36" t="s">
        <v>11489</v>
      </c>
      <c r="L1692" s="36"/>
      <c r="M1692" s="36" t="s">
        <v>6110</v>
      </c>
    </row>
    <row r="1693" spans="1:13">
      <c r="A1693" s="42">
        <f t="shared" si="27"/>
        <v>1692</v>
      </c>
      <c r="B1693" s="36" t="s">
        <v>8</v>
      </c>
      <c r="C1693" s="36" t="s">
        <v>9935</v>
      </c>
      <c r="D1693" s="9" t="s">
        <v>2445</v>
      </c>
      <c r="F1693" s="9" t="s">
        <v>275</v>
      </c>
      <c r="G1693" s="9" t="s">
        <v>8544</v>
      </c>
      <c r="H1693" s="36" t="str">
        <f>IFERROR(VLOOKUP(Table2[[#This Row], [Ticket]],Okey!A:B,2,0),"")</f>
        <v/>
      </c>
      <c r="I1693" s="36"/>
      <c r="J1693" s="36" t="s">
        <v>20</v>
      </c>
      <c r="K1693" s="36" t="s">
        <v>11489</v>
      </c>
      <c r="L1693" s="36"/>
      <c r="M1693" s="36" t="s">
        <v>6110</v>
      </c>
    </row>
    <row r="1694" spans="1:13" hidden="1">
      <c r="A1694" s="42">
        <f t="shared" si="27"/>
        <v>1693</v>
      </c>
      <c r="B1694" s="36" t="s">
        <v>8</v>
      </c>
      <c r="C1694" s="36" t="s">
        <v>9935</v>
      </c>
      <c r="D1694" s="9" t="s">
        <v>2693</v>
      </c>
      <c r="F1694" s="36" t="s">
        <v>275</v>
      </c>
      <c r="G1694" s="36" t="s">
        <v>8544</v>
      </c>
      <c r="H1694" s="36" t="str">
        <f>IFERROR(VLOOKUP(Table2[[#This Row], [Ticket]],Okey!A:B,2,0),"")</f>
        <v/>
      </c>
      <c r="I1694" s="36"/>
      <c r="J1694" s="36" t="s">
        <v>20</v>
      </c>
      <c r="K1694" s="36" t="s">
        <v>11489</v>
      </c>
      <c r="L1694" s="36"/>
      <c r="M1694" s="36" t="s">
        <v>6110</v>
      </c>
    </row>
    <row r="1695" spans="1:13" hidden="1">
      <c r="A1695" s="42">
        <f t="shared" si="27"/>
        <v>1694</v>
      </c>
      <c r="B1695" s="36" t="s">
        <v>8</v>
      </c>
      <c r="C1695" s="36" t="s">
        <v>9935</v>
      </c>
      <c r="D1695" s="9" t="s">
        <v>9991</v>
      </c>
      <c r="F1695" s="36" t="s">
        <v>275</v>
      </c>
      <c r="G1695" s="36" t="s">
        <v>8544</v>
      </c>
      <c r="H1695" s="36" t="str">
        <f>IFERROR(VLOOKUP(Table2[[#This Row], [Ticket]],Okey!A:B,2,0),"")</f>
        <v/>
      </c>
      <c r="I1695" s="36"/>
      <c r="J1695" s="36" t="s">
        <v>20</v>
      </c>
      <c r="K1695" s="36" t="s">
        <v>11489</v>
      </c>
      <c r="L1695" s="36"/>
      <c r="M1695" s="36" t="s">
        <v>6110</v>
      </c>
    </row>
    <row r="1696" spans="1:13" hidden="1">
      <c r="A1696" s="42">
        <f t="shared" si="27"/>
        <v>1695</v>
      </c>
      <c r="B1696" s="36" t="s">
        <v>8</v>
      </c>
      <c r="C1696" s="36" t="s">
        <v>9935</v>
      </c>
      <c r="D1696" s="9" t="s">
        <v>9992</v>
      </c>
      <c r="F1696" s="36" t="s">
        <v>275</v>
      </c>
      <c r="G1696" s="36" t="s">
        <v>8544</v>
      </c>
      <c r="H1696" s="36" t="str">
        <f>IFERROR(VLOOKUP(Table2[[#This Row], [Ticket]],Okey!A:B,2,0),"")</f>
        <v/>
      </c>
      <c r="I1696" s="36"/>
      <c r="J1696" s="36" t="s">
        <v>20</v>
      </c>
      <c r="K1696" s="36" t="s">
        <v>11489</v>
      </c>
      <c r="L1696" s="36"/>
      <c r="M1696" s="36" t="s">
        <v>6110</v>
      </c>
    </row>
    <row r="1697" spans="1:13" hidden="1">
      <c r="A1697" s="42">
        <f t="shared" si="27"/>
        <v>1696</v>
      </c>
      <c r="B1697" s="36" t="s">
        <v>8</v>
      </c>
      <c r="C1697" s="36" t="s">
        <v>9935</v>
      </c>
      <c r="D1697" s="9" t="s">
        <v>9993</v>
      </c>
      <c r="F1697" s="36" t="s">
        <v>275</v>
      </c>
      <c r="G1697" s="36" t="s">
        <v>8544</v>
      </c>
      <c r="H1697" s="36" t="str">
        <f>IFERROR(VLOOKUP(Table2[[#This Row], [Ticket]],Okey!A:B,2,0),"")</f>
        <v/>
      </c>
      <c r="I1697" s="36"/>
      <c r="J1697" s="36" t="s">
        <v>20</v>
      </c>
      <c r="K1697" s="36" t="s">
        <v>11489</v>
      </c>
      <c r="L1697" s="36"/>
      <c r="M1697" s="36" t="s">
        <v>6110</v>
      </c>
    </row>
    <row r="1698" spans="1:13" hidden="1">
      <c r="A1698" s="42">
        <f t="shared" si="27"/>
        <v>1697</v>
      </c>
      <c r="B1698" s="36" t="s">
        <v>8</v>
      </c>
      <c r="C1698" s="36" t="s">
        <v>9935</v>
      </c>
      <c r="D1698" s="9" t="s">
        <v>2695</v>
      </c>
      <c r="F1698" s="36" t="s">
        <v>275</v>
      </c>
      <c r="G1698" s="36" t="s">
        <v>8544</v>
      </c>
      <c r="H1698" s="36" t="str">
        <f>IFERROR(VLOOKUP(Table2[[#This Row], [Ticket]],Okey!A:B,2,0),"")</f>
        <v/>
      </c>
      <c r="I1698" s="36"/>
      <c r="J1698" s="36" t="s">
        <v>20</v>
      </c>
      <c r="K1698" s="36" t="s">
        <v>11489</v>
      </c>
      <c r="L1698" s="36"/>
      <c r="M1698" s="36" t="s">
        <v>6110</v>
      </c>
    </row>
    <row r="1699" spans="1:13" hidden="1">
      <c r="A1699" s="42">
        <f t="shared" si="27"/>
        <v>1698</v>
      </c>
      <c r="B1699" s="36" t="s">
        <v>8</v>
      </c>
      <c r="C1699" s="36" t="s">
        <v>9935</v>
      </c>
      <c r="D1699" s="9" t="s">
        <v>2697</v>
      </c>
      <c r="F1699" s="36" t="s">
        <v>275</v>
      </c>
      <c r="G1699" s="36" t="s">
        <v>8544</v>
      </c>
      <c r="H1699" s="36" t="str">
        <f>IFERROR(VLOOKUP(Table2[[#This Row], [Ticket]],Okey!A:B,2,0),"")</f>
        <v/>
      </c>
      <c r="I1699" s="36"/>
      <c r="J1699" s="36" t="s">
        <v>20</v>
      </c>
      <c r="K1699" s="36" t="s">
        <v>11489</v>
      </c>
      <c r="L1699" s="36"/>
      <c r="M1699" s="36" t="s">
        <v>6110</v>
      </c>
    </row>
    <row r="1700" spans="1:13" hidden="1">
      <c r="A1700" s="42">
        <f t="shared" si="27"/>
        <v>1699</v>
      </c>
      <c r="B1700" s="36" t="s">
        <v>8</v>
      </c>
      <c r="C1700" s="36" t="s">
        <v>9935</v>
      </c>
      <c r="D1700" s="9" t="s">
        <v>2466</v>
      </c>
      <c r="F1700" s="36" t="s">
        <v>275</v>
      </c>
      <c r="G1700" s="36" t="s">
        <v>8544</v>
      </c>
      <c r="H1700" s="36" t="str">
        <f>IFERROR(VLOOKUP(Table2[[#This Row], [Ticket]],Okey!A:B,2,0),"")</f>
        <v/>
      </c>
      <c r="I1700" s="36"/>
      <c r="J1700" s="36" t="s">
        <v>20</v>
      </c>
      <c r="K1700" s="36" t="s">
        <v>11489</v>
      </c>
      <c r="L1700" s="36"/>
      <c r="M1700" s="36" t="s">
        <v>6110</v>
      </c>
    </row>
    <row r="1701" spans="1:13" hidden="1">
      <c r="A1701" s="42">
        <f t="shared" si="27"/>
        <v>1700</v>
      </c>
      <c r="B1701" s="36" t="s">
        <v>8</v>
      </c>
      <c r="C1701" s="36" t="s">
        <v>9935</v>
      </c>
      <c r="D1701" s="9" t="s">
        <v>2468</v>
      </c>
      <c r="F1701" s="36" t="s">
        <v>275</v>
      </c>
      <c r="G1701" s="36" t="s">
        <v>8544</v>
      </c>
      <c r="H1701" s="36" t="str">
        <f>IFERROR(VLOOKUP(Table2[[#This Row], [Ticket]],Okey!A:B,2,0),"")</f>
        <v/>
      </c>
      <c r="I1701" s="36"/>
      <c r="J1701" s="36" t="s">
        <v>20</v>
      </c>
      <c r="K1701" s="36" t="s">
        <v>11489</v>
      </c>
      <c r="L1701" s="36"/>
      <c r="M1701" s="36" t="s">
        <v>6110</v>
      </c>
    </row>
    <row r="1702" spans="1:13" hidden="1">
      <c r="A1702" s="42">
        <f t="shared" si="27"/>
        <v>1701</v>
      </c>
      <c r="B1702" s="36" t="s">
        <v>8</v>
      </c>
      <c r="C1702" s="36" t="s">
        <v>9935</v>
      </c>
      <c r="D1702" s="9" t="s">
        <v>2470</v>
      </c>
      <c r="F1702" s="36" t="s">
        <v>275</v>
      </c>
      <c r="G1702" s="36" t="s">
        <v>8544</v>
      </c>
      <c r="H1702" s="36" t="str">
        <f>IFERROR(VLOOKUP(Table2[[#This Row], [Ticket]],Okey!A:B,2,0),"")</f>
        <v/>
      </c>
      <c r="I1702" s="36"/>
      <c r="J1702" s="36" t="s">
        <v>20</v>
      </c>
      <c r="K1702" s="36" t="s">
        <v>11489</v>
      </c>
      <c r="L1702" s="36"/>
      <c r="M1702" s="36" t="s">
        <v>6110</v>
      </c>
    </row>
    <row r="1703" spans="1:13" hidden="1">
      <c r="A1703" s="42">
        <f t="shared" si="27"/>
        <v>1702</v>
      </c>
      <c r="B1703" s="36" t="s">
        <v>8</v>
      </c>
      <c r="C1703" s="36" t="s">
        <v>9935</v>
      </c>
      <c r="D1703" s="9" t="s">
        <v>9994</v>
      </c>
      <c r="F1703" s="36" t="s">
        <v>275</v>
      </c>
      <c r="G1703" s="36" t="s">
        <v>8544</v>
      </c>
      <c r="H1703" s="36" t="str">
        <f>IFERROR(VLOOKUP(Table2[[#This Row], [Ticket]],Okey!A:B,2,0),"")</f>
        <v/>
      </c>
      <c r="I1703" s="36"/>
      <c r="J1703" s="36" t="s">
        <v>20</v>
      </c>
      <c r="K1703" s="36" t="s">
        <v>11489</v>
      </c>
      <c r="L1703" s="36"/>
      <c r="M1703" s="36" t="s">
        <v>6110</v>
      </c>
    </row>
    <row r="1704" spans="1:13" hidden="1">
      <c r="A1704" s="42">
        <f t="shared" si="27"/>
        <v>1703</v>
      </c>
      <c r="B1704" s="36" t="s">
        <v>8</v>
      </c>
      <c r="C1704" s="36" t="s">
        <v>9935</v>
      </c>
      <c r="D1704" s="9" t="s">
        <v>4859</v>
      </c>
      <c r="F1704" s="36" t="s">
        <v>275</v>
      </c>
      <c r="G1704" s="36" t="s">
        <v>8544</v>
      </c>
      <c r="H1704" s="36" t="str">
        <f>IFERROR(VLOOKUP(Table2[[#This Row], [Ticket]],Okey!A:B,2,0),"")</f>
        <v/>
      </c>
      <c r="I1704" s="36"/>
      <c r="J1704" s="36" t="s">
        <v>20</v>
      </c>
      <c r="K1704" s="36" t="s">
        <v>11489</v>
      </c>
      <c r="L1704" s="36"/>
      <c r="M1704" s="36" t="s">
        <v>6110</v>
      </c>
    </row>
    <row r="1705" spans="1:13" hidden="1">
      <c r="A1705" s="42">
        <f t="shared" si="27"/>
        <v>1704</v>
      </c>
      <c r="B1705" s="36" t="s">
        <v>8</v>
      </c>
      <c r="C1705" s="36" t="s">
        <v>9935</v>
      </c>
      <c r="D1705" s="9" t="s">
        <v>4867</v>
      </c>
      <c r="F1705" s="36" t="s">
        <v>275</v>
      </c>
      <c r="G1705" s="36" t="s">
        <v>8544</v>
      </c>
      <c r="H1705" s="36" t="str">
        <f>IFERROR(VLOOKUP(Table2[[#This Row], [Ticket]],Okey!A:B,2,0),"")</f>
        <v/>
      </c>
      <c r="I1705" s="36"/>
      <c r="J1705" s="36" t="s">
        <v>20</v>
      </c>
      <c r="K1705" s="36" t="s">
        <v>11489</v>
      </c>
      <c r="L1705" s="36"/>
      <c r="M1705" s="36" t="s">
        <v>6110</v>
      </c>
    </row>
    <row r="1706" spans="1:13" hidden="1">
      <c r="A1706" s="42">
        <f t="shared" si="27"/>
        <v>1705</v>
      </c>
      <c r="B1706" s="36" t="s">
        <v>8</v>
      </c>
      <c r="C1706" s="36" t="s">
        <v>9935</v>
      </c>
      <c r="D1706" s="9" t="s">
        <v>4897</v>
      </c>
      <c r="F1706" s="36" t="s">
        <v>275</v>
      </c>
      <c r="G1706" s="36" t="s">
        <v>8544</v>
      </c>
      <c r="H1706" s="36" t="str">
        <f>IFERROR(VLOOKUP(Table2[[#This Row], [Ticket]],Okey!A:B,2,0),"")</f>
        <v/>
      </c>
      <c r="I1706" s="36"/>
      <c r="J1706" s="36" t="s">
        <v>20</v>
      </c>
      <c r="K1706" s="36" t="s">
        <v>11489</v>
      </c>
      <c r="L1706" s="36"/>
      <c r="M1706" s="36" t="s">
        <v>6110</v>
      </c>
    </row>
    <row r="1707" spans="1:13" hidden="1">
      <c r="A1707" s="42">
        <f t="shared" si="27"/>
        <v>1706</v>
      </c>
      <c r="B1707" s="36" t="s">
        <v>8</v>
      </c>
      <c r="C1707" s="36" t="s">
        <v>9935</v>
      </c>
      <c r="D1707" s="9" t="s">
        <v>4899</v>
      </c>
      <c r="F1707" s="36" t="s">
        <v>275</v>
      </c>
      <c r="G1707" s="36" t="s">
        <v>8544</v>
      </c>
      <c r="H1707" s="36" t="str">
        <f>IFERROR(VLOOKUP(Table2[[#This Row], [Ticket]],Okey!A:B,2,0),"")</f>
        <v/>
      </c>
      <c r="I1707" s="36"/>
      <c r="J1707" s="36" t="s">
        <v>20</v>
      </c>
      <c r="K1707" s="36" t="s">
        <v>11489</v>
      </c>
      <c r="L1707" s="36"/>
      <c r="M1707" s="36" t="s">
        <v>6110</v>
      </c>
    </row>
    <row r="1708" spans="1:13" hidden="1">
      <c r="A1708" s="42">
        <f t="shared" si="27"/>
        <v>1707</v>
      </c>
      <c r="B1708" s="36" t="s">
        <v>8</v>
      </c>
      <c r="C1708" s="36" t="s">
        <v>9935</v>
      </c>
      <c r="D1708" s="9" t="s">
        <v>4901</v>
      </c>
      <c r="F1708" s="36" t="s">
        <v>275</v>
      </c>
      <c r="G1708" s="36" t="s">
        <v>8544</v>
      </c>
      <c r="H1708" s="36" t="str">
        <f>IFERROR(VLOOKUP(Table2[[#This Row], [Ticket]],Okey!A:B,2,0),"")</f>
        <v/>
      </c>
      <c r="I1708" s="36"/>
      <c r="J1708" s="36" t="s">
        <v>20</v>
      </c>
      <c r="K1708" s="36" t="s">
        <v>11489</v>
      </c>
      <c r="L1708" s="36"/>
      <c r="M1708" s="36" t="s">
        <v>6110</v>
      </c>
    </row>
    <row r="1709" spans="1:13" hidden="1">
      <c r="A1709" s="42">
        <f t="shared" si="27"/>
        <v>1708</v>
      </c>
      <c r="B1709" s="36" t="s">
        <v>8</v>
      </c>
      <c r="C1709" s="36" t="s">
        <v>9935</v>
      </c>
      <c r="D1709" s="9" t="s">
        <v>4933</v>
      </c>
      <c r="F1709" s="36" t="s">
        <v>275</v>
      </c>
      <c r="G1709" s="36" t="s">
        <v>8544</v>
      </c>
      <c r="H1709" s="36" t="str">
        <f>IFERROR(VLOOKUP(Table2[[#This Row], [Ticket]],Okey!A:B,2,0),"")</f>
        <v/>
      </c>
      <c r="I1709" s="36"/>
      <c r="J1709" s="36" t="s">
        <v>20</v>
      </c>
      <c r="K1709" s="36" t="s">
        <v>11489</v>
      </c>
      <c r="L1709" s="36"/>
      <c r="M1709" s="36" t="s">
        <v>6110</v>
      </c>
    </row>
    <row r="1710" spans="1:13" hidden="1">
      <c r="A1710" s="42">
        <f t="shared" si="27"/>
        <v>1709</v>
      </c>
      <c r="B1710" s="36" t="s">
        <v>8</v>
      </c>
      <c r="C1710" s="9" t="s">
        <v>10045</v>
      </c>
      <c r="D1710" s="36" t="s">
        <v>10060</v>
      </c>
      <c r="E1710" s="108" t="s">
        <v>10046</v>
      </c>
      <c r="F1710" s="108" t="s">
        <v>10047</v>
      </c>
      <c r="G1710" s="9" t="s">
        <v>14</v>
      </c>
      <c r="H1710" s="36" t="str">
        <f>IFERROR(VLOOKUP(Table2[[#This Row], [Ticket]],Okey!A:B,2,0),"")</f>
        <v/>
      </c>
      <c r="I1710" s="36"/>
      <c r="J1710" s="9" t="s">
        <v>19</v>
      </c>
      <c r="K1710" s="36" t="s">
        <v>11488</v>
      </c>
      <c r="L1710" s="36"/>
      <c r="M1710" s="9" t="s">
        <v>10048</v>
      </c>
    </row>
    <row r="1711" spans="1:13" hidden="1">
      <c r="A1711" s="42">
        <f t="shared" si="27"/>
        <v>1710</v>
      </c>
      <c r="B1711" s="36" t="s">
        <v>8</v>
      </c>
      <c r="C1711" s="9" t="s">
        <v>10049</v>
      </c>
      <c r="D1711" s="36" t="s">
        <v>10061</v>
      </c>
      <c r="E1711" s="9" t="s">
        <v>10054</v>
      </c>
      <c r="F1711" s="9" t="s">
        <v>10058</v>
      </c>
      <c r="G1711" s="9" t="s">
        <v>14</v>
      </c>
      <c r="H1711" s="36" t="str">
        <f>IFERROR(VLOOKUP(Table2[[#This Row], [Ticket]],Okey!A:B,2,0),"")</f>
        <v/>
      </c>
      <c r="I1711" s="36"/>
      <c r="J1711" s="36" t="s">
        <v>19</v>
      </c>
      <c r="K1711" s="36" t="s">
        <v>11488</v>
      </c>
      <c r="L1711" s="36"/>
    </row>
    <row r="1712" spans="1:13" hidden="1">
      <c r="A1712" s="42">
        <f t="shared" si="27"/>
        <v>1711</v>
      </c>
      <c r="B1712" s="36" t="s">
        <v>8</v>
      </c>
      <c r="C1712" s="36" t="s">
        <v>10049</v>
      </c>
      <c r="D1712" s="36" t="s">
        <v>10062</v>
      </c>
      <c r="E1712" s="9" t="s">
        <v>10055</v>
      </c>
      <c r="F1712" s="36" t="s">
        <v>10061</v>
      </c>
      <c r="G1712" s="36" t="s">
        <v>14</v>
      </c>
      <c r="H1712" s="36" t="str">
        <f>IFERROR(VLOOKUP(Table2[[#This Row], [Ticket]],Okey!A:B,2,0),"")</f>
        <v/>
      </c>
      <c r="I1712" s="36"/>
      <c r="J1712" s="36" t="s">
        <v>19</v>
      </c>
      <c r="K1712" s="36" t="s">
        <v>11488</v>
      </c>
      <c r="L1712" s="36"/>
    </row>
    <row r="1713" spans="1:12" hidden="1">
      <c r="A1713" s="42">
        <f t="shared" si="27"/>
        <v>1712</v>
      </c>
      <c r="B1713" s="36" t="s">
        <v>8</v>
      </c>
      <c r="C1713" s="36" t="s">
        <v>10049</v>
      </c>
      <c r="D1713" s="36" t="s">
        <v>10063</v>
      </c>
      <c r="E1713" s="9" t="s">
        <v>10056</v>
      </c>
      <c r="F1713" s="36" t="s">
        <v>10061</v>
      </c>
      <c r="G1713" s="36" t="s">
        <v>14</v>
      </c>
      <c r="H1713" s="36" t="str">
        <f>IFERROR(VLOOKUP(Table2[[#This Row], [Ticket]],Okey!A:B,2,0),"")</f>
        <v/>
      </c>
      <c r="I1713" s="36"/>
      <c r="J1713" s="36" t="s">
        <v>19</v>
      </c>
      <c r="K1713" s="36" t="s">
        <v>11488</v>
      </c>
      <c r="L1713" s="36"/>
    </row>
    <row r="1714" spans="1:12" hidden="1">
      <c r="A1714" s="42">
        <f t="shared" si="27"/>
        <v>1713</v>
      </c>
      <c r="B1714" s="36" t="s">
        <v>8</v>
      </c>
      <c r="C1714" s="36" t="s">
        <v>10049</v>
      </c>
      <c r="D1714" s="36" t="s">
        <v>10064</v>
      </c>
      <c r="E1714" s="9" t="s">
        <v>10057</v>
      </c>
      <c r="F1714" s="36" t="s">
        <v>10061</v>
      </c>
      <c r="G1714" s="36" t="s">
        <v>14</v>
      </c>
      <c r="H1714" s="36" t="str">
        <f>IFERROR(VLOOKUP(Table2[[#This Row], [Ticket]],Okey!A:B,2,0),"")</f>
        <v/>
      </c>
      <c r="I1714" s="36"/>
      <c r="J1714" s="36" t="s">
        <v>19</v>
      </c>
      <c r="K1714" s="36" t="s">
        <v>11488</v>
      </c>
      <c r="L1714" s="36"/>
    </row>
    <row r="1715" spans="1:12" hidden="1">
      <c r="A1715" s="42">
        <f t="shared" si="27"/>
        <v>1714</v>
      </c>
      <c r="B1715" s="36" t="s">
        <v>8</v>
      </c>
      <c r="C1715" s="9" t="s">
        <v>10059</v>
      </c>
      <c r="D1715" s="9" t="s">
        <v>10452</v>
      </c>
      <c r="E1715" s="9" t="s">
        <v>10219</v>
      </c>
      <c r="F1715" s="9" t="s">
        <v>10220</v>
      </c>
      <c r="G1715" s="36" t="s">
        <v>14</v>
      </c>
      <c r="H1715" s="36" t="str">
        <f>IFERROR(VLOOKUP(Table2[[#This Row], [Ticket]],Okey!A:B,2,0),"")</f>
        <v/>
      </c>
      <c r="I1715" s="36"/>
      <c r="J1715" s="9" t="s">
        <v>19</v>
      </c>
      <c r="K1715" s="36" t="s">
        <v>11488</v>
      </c>
      <c r="L1715" s="36"/>
    </row>
    <row r="1716" spans="1:12" hidden="1">
      <c r="A1716" s="42">
        <f t="shared" si="27"/>
        <v>1715</v>
      </c>
      <c r="B1716" s="36" t="s">
        <v>8</v>
      </c>
      <c r="C1716" s="36" t="s">
        <v>10059</v>
      </c>
      <c r="D1716" s="9" t="s">
        <v>10453</v>
      </c>
      <c r="E1716" s="9" t="s">
        <v>10221</v>
      </c>
      <c r="F1716" s="9" t="s">
        <v>10220</v>
      </c>
      <c r="G1716" s="36" t="s">
        <v>14</v>
      </c>
      <c r="H1716" s="36" t="str">
        <f>IFERROR(VLOOKUP(Table2[[#This Row], [Ticket]],Okey!A:B,2,0),"")</f>
        <v/>
      </c>
      <c r="I1716" s="36"/>
      <c r="J1716" s="36" t="s">
        <v>19</v>
      </c>
      <c r="K1716" s="36" t="s">
        <v>11488</v>
      </c>
      <c r="L1716" s="36"/>
    </row>
    <row r="1717" spans="1:12" hidden="1">
      <c r="A1717" s="42">
        <f t="shared" si="27"/>
        <v>1716</v>
      </c>
      <c r="B1717" s="36" t="s">
        <v>8</v>
      </c>
      <c r="C1717" s="36" t="s">
        <v>10059</v>
      </c>
      <c r="D1717" s="9" t="s">
        <v>10454</v>
      </c>
      <c r="E1717" s="9" t="s">
        <v>10222</v>
      </c>
      <c r="F1717" s="9" t="s">
        <v>10220</v>
      </c>
      <c r="G1717" s="36" t="s">
        <v>14</v>
      </c>
      <c r="H1717" s="36" t="str">
        <f>IFERROR(VLOOKUP(Table2[[#This Row], [Ticket]],Okey!A:B,2,0),"")</f>
        <v/>
      </c>
      <c r="I1717" s="36"/>
      <c r="J1717" s="36" t="s">
        <v>19</v>
      </c>
      <c r="K1717" s="36" t="s">
        <v>11488</v>
      </c>
      <c r="L1717" s="36"/>
    </row>
    <row r="1718" spans="1:12" hidden="1">
      <c r="A1718" s="42">
        <f t="shared" si="27"/>
        <v>1717</v>
      </c>
      <c r="B1718" s="36" t="s">
        <v>8</v>
      </c>
      <c r="C1718" s="36" t="s">
        <v>10059</v>
      </c>
      <c r="D1718" s="9" t="s">
        <v>10455</v>
      </c>
      <c r="E1718" s="9" t="s">
        <v>10223</v>
      </c>
      <c r="F1718" s="9" t="s">
        <v>10220</v>
      </c>
      <c r="G1718" s="36" t="s">
        <v>14</v>
      </c>
      <c r="H1718" s="36" t="str">
        <f>IFERROR(VLOOKUP(Table2[[#This Row], [Ticket]],Okey!A:B,2,0),"")</f>
        <v/>
      </c>
      <c r="I1718" s="36"/>
      <c r="J1718" s="36" t="s">
        <v>19</v>
      </c>
      <c r="K1718" s="36" t="s">
        <v>11488</v>
      </c>
      <c r="L1718" s="36"/>
    </row>
    <row r="1719" spans="1:12" hidden="1">
      <c r="A1719" s="42">
        <f t="shared" si="27"/>
        <v>1718</v>
      </c>
      <c r="B1719" s="36" t="s">
        <v>8</v>
      </c>
      <c r="C1719" s="36" t="s">
        <v>10059</v>
      </c>
      <c r="D1719" s="9" t="s">
        <v>10456</v>
      </c>
      <c r="E1719" s="9" t="s">
        <v>10224</v>
      </c>
      <c r="F1719" s="9" t="s">
        <v>10220</v>
      </c>
      <c r="G1719" s="36" t="s">
        <v>14</v>
      </c>
      <c r="H1719" s="36" t="str">
        <f>IFERROR(VLOOKUP(Table2[[#This Row], [Ticket]],Okey!A:B,2,0),"")</f>
        <v/>
      </c>
      <c r="I1719" s="36"/>
      <c r="J1719" s="36" t="s">
        <v>19</v>
      </c>
      <c r="K1719" s="36" t="s">
        <v>11488</v>
      </c>
      <c r="L1719" s="36"/>
    </row>
    <row r="1720" spans="1:12" hidden="1">
      <c r="A1720" s="42">
        <f t="shared" si="27"/>
        <v>1719</v>
      </c>
      <c r="B1720" s="36" t="s">
        <v>8</v>
      </c>
      <c r="C1720" s="36" t="s">
        <v>10059</v>
      </c>
      <c r="D1720" s="9" t="s">
        <v>10457</v>
      </c>
      <c r="E1720" s="9" t="s">
        <v>10225</v>
      </c>
      <c r="F1720" s="9" t="s">
        <v>10220</v>
      </c>
      <c r="G1720" s="36" t="s">
        <v>14</v>
      </c>
      <c r="H1720" s="36" t="str">
        <f>IFERROR(VLOOKUP(Table2[[#This Row], [Ticket]],Okey!A:B,2,0),"")</f>
        <v/>
      </c>
      <c r="I1720" s="36"/>
      <c r="J1720" s="36" t="s">
        <v>19</v>
      </c>
      <c r="K1720" s="36" t="s">
        <v>11488</v>
      </c>
      <c r="L1720" s="36"/>
    </row>
    <row r="1721" spans="1:12" hidden="1">
      <c r="A1721" s="42">
        <f t="shared" si="27"/>
        <v>1720</v>
      </c>
      <c r="B1721" s="36" t="s">
        <v>8</v>
      </c>
      <c r="C1721" s="36" t="s">
        <v>10059</v>
      </c>
      <c r="D1721" s="9" t="s">
        <v>10458</v>
      </c>
      <c r="E1721" s="9" t="s">
        <v>10226</v>
      </c>
      <c r="F1721" s="9" t="s">
        <v>10220</v>
      </c>
      <c r="G1721" s="36" t="s">
        <v>14</v>
      </c>
      <c r="H1721" s="36" t="str">
        <f>IFERROR(VLOOKUP(Table2[[#This Row], [Ticket]],Okey!A:B,2,0),"")</f>
        <v/>
      </c>
      <c r="I1721" s="36"/>
      <c r="J1721" s="36" t="s">
        <v>19</v>
      </c>
      <c r="K1721" s="36" t="s">
        <v>11488</v>
      </c>
      <c r="L1721" s="36"/>
    </row>
    <row r="1722" spans="1:12" hidden="1">
      <c r="A1722" s="42">
        <f t="shared" si="27"/>
        <v>1721</v>
      </c>
      <c r="B1722" s="36" t="s">
        <v>8</v>
      </c>
      <c r="C1722" s="36" t="s">
        <v>10059</v>
      </c>
      <c r="D1722" s="9" t="s">
        <v>10459</v>
      </c>
      <c r="E1722" s="9" t="s">
        <v>10227</v>
      </c>
      <c r="F1722" s="9" t="s">
        <v>10220</v>
      </c>
      <c r="G1722" s="36" t="s">
        <v>14</v>
      </c>
      <c r="H1722" s="36" t="str">
        <f>IFERROR(VLOOKUP(Table2[[#This Row], [Ticket]],Okey!A:B,2,0),"")</f>
        <v/>
      </c>
      <c r="I1722" s="36"/>
      <c r="J1722" s="36" t="s">
        <v>19</v>
      </c>
      <c r="K1722" s="36" t="s">
        <v>11488</v>
      </c>
      <c r="L1722" s="36"/>
    </row>
    <row r="1723" spans="1:12" hidden="1">
      <c r="A1723" s="42">
        <f t="shared" si="27"/>
        <v>1722</v>
      </c>
      <c r="B1723" s="36" t="s">
        <v>8</v>
      </c>
      <c r="C1723" s="36" t="s">
        <v>10059</v>
      </c>
      <c r="D1723" s="9" t="s">
        <v>10460</v>
      </c>
      <c r="E1723" s="9" t="s">
        <v>10228</v>
      </c>
      <c r="F1723" s="9" t="s">
        <v>10220</v>
      </c>
      <c r="G1723" s="36" t="s">
        <v>14</v>
      </c>
      <c r="H1723" s="36" t="str">
        <f>IFERROR(VLOOKUP(Table2[[#This Row], [Ticket]],Okey!A:B,2,0),"")</f>
        <v/>
      </c>
      <c r="I1723" s="36"/>
      <c r="J1723" s="36" t="s">
        <v>19</v>
      </c>
      <c r="K1723" s="36" t="s">
        <v>11488</v>
      </c>
      <c r="L1723" s="36"/>
    </row>
    <row r="1724" spans="1:12" hidden="1">
      <c r="A1724" s="42">
        <f t="shared" si="27"/>
        <v>1723</v>
      </c>
      <c r="B1724" s="36" t="s">
        <v>8</v>
      </c>
      <c r="C1724" s="36" t="s">
        <v>10059</v>
      </c>
      <c r="D1724" s="9" t="s">
        <v>10461</v>
      </c>
      <c r="E1724" s="9" t="s">
        <v>10229</v>
      </c>
      <c r="F1724" s="9" t="s">
        <v>10220</v>
      </c>
      <c r="G1724" s="36" t="s">
        <v>14</v>
      </c>
      <c r="H1724" s="36" t="str">
        <f>IFERROR(VLOOKUP(Table2[[#This Row], [Ticket]],Okey!A:B,2,0),"")</f>
        <v/>
      </c>
      <c r="I1724" s="36"/>
      <c r="J1724" s="36" t="s">
        <v>19</v>
      </c>
      <c r="K1724" s="36" t="s">
        <v>11488</v>
      </c>
      <c r="L1724" s="36"/>
    </row>
    <row r="1725" spans="1:12" hidden="1">
      <c r="A1725" s="42">
        <f t="shared" si="27"/>
        <v>1724</v>
      </c>
      <c r="B1725" s="36" t="s">
        <v>8</v>
      </c>
      <c r="C1725" s="36" t="s">
        <v>10059</v>
      </c>
      <c r="D1725" s="9" t="s">
        <v>10462</v>
      </c>
      <c r="E1725" s="9" t="s">
        <v>10230</v>
      </c>
      <c r="F1725" s="9" t="s">
        <v>10220</v>
      </c>
      <c r="G1725" s="36" t="s">
        <v>14</v>
      </c>
      <c r="H1725" s="36" t="str">
        <f>IFERROR(VLOOKUP(Table2[[#This Row], [Ticket]],Okey!A:B,2,0),"")</f>
        <v/>
      </c>
      <c r="I1725" s="36"/>
      <c r="J1725" s="36" t="s">
        <v>19</v>
      </c>
      <c r="K1725" s="36" t="s">
        <v>11488</v>
      </c>
      <c r="L1725" s="36"/>
    </row>
    <row r="1726" spans="1:12" hidden="1">
      <c r="A1726" s="42">
        <f t="shared" si="27"/>
        <v>1725</v>
      </c>
      <c r="B1726" s="36" t="s">
        <v>8</v>
      </c>
      <c r="C1726" s="36" t="s">
        <v>10059</v>
      </c>
      <c r="D1726" s="9" t="s">
        <v>10463</v>
      </c>
      <c r="E1726" s="9" t="s">
        <v>10231</v>
      </c>
      <c r="F1726" s="9" t="s">
        <v>10220</v>
      </c>
      <c r="G1726" s="36" t="s">
        <v>14</v>
      </c>
      <c r="H1726" s="36" t="str">
        <f>IFERROR(VLOOKUP(Table2[[#This Row], [Ticket]],Okey!A:B,2,0),"")</f>
        <v/>
      </c>
      <c r="I1726" s="36"/>
      <c r="J1726" s="36" t="s">
        <v>19</v>
      </c>
      <c r="K1726" s="36" t="s">
        <v>11488</v>
      </c>
      <c r="L1726" s="36"/>
    </row>
    <row r="1727" spans="1:12" hidden="1">
      <c r="A1727" s="42">
        <f t="shared" si="27"/>
        <v>1726</v>
      </c>
      <c r="B1727" s="36" t="s">
        <v>8</v>
      </c>
      <c r="C1727" s="36" t="s">
        <v>10059</v>
      </c>
      <c r="D1727" s="9" t="s">
        <v>10464</v>
      </c>
      <c r="E1727" s="9" t="s">
        <v>10232</v>
      </c>
      <c r="F1727" s="9" t="s">
        <v>10220</v>
      </c>
      <c r="G1727" s="36" t="s">
        <v>14</v>
      </c>
      <c r="H1727" s="36" t="str">
        <f>IFERROR(VLOOKUP(Table2[[#This Row], [Ticket]],Okey!A:B,2,0),"")</f>
        <v/>
      </c>
      <c r="I1727" s="36"/>
      <c r="J1727" s="36" t="s">
        <v>19</v>
      </c>
      <c r="K1727" s="36" t="s">
        <v>11488</v>
      </c>
      <c r="L1727" s="36"/>
    </row>
    <row r="1728" spans="1:12" hidden="1">
      <c r="A1728" s="42">
        <f t="shared" si="27"/>
        <v>1727</v>
      </c>
      <c r="B1728" s="36" t="s">
        <v>8</v>
      </c>
      <c r="C1728" s="36" t="s">
        <v>10059</v>
      </c>
      <c r="D1728" s="9" t="s">
        <v>10465</v>
      </c>
      <c r="E1728" s="9" t="s">
        <v>10233</v>
      </c>
      <c r="F1728" s="9" t="s">
        <v>10220</v>
      </c>
      <c r="G1728" s="36" t="s">
        <v>14</v>
      </c>
      <c r="H1728" s="36" t="str">
        <f>IFERROR(VLOOKUP(Table2[[#This Row], [Ticket]],Okey!A:B,2,0),"")</f>
        <v/>
      </c>
      <c r="I1728" s="36"/>
      <c r="J1728" s="36" t="s">
        <v>19</v>
      </c>
      <c r="K1728" s="36" t="s">
        <v>11488</v>
      </c>
      <c r="L1728" s="36"/>
    </row>
    <row r="1729" spans="1:12" hidden="1">
      <c r="A1729" s="42">
        <f t="shared" si="27"/>
        <v>1728</v>
      </c>
      <c r="B1729" s="36" t="s">
        <v>8</v>
      </c>
      <c r="C1729" s="36" t="s">
        <v>10059</v>
      </c>
      <c r="D1729" s="9" t="s">
        <v>10466</v>
      </c>
      <c r="E1729" s="9" t="s">
        <v>10234</v>
      </c>
      <c r="F1729" s="9" t="s">
        <v>10220</v>
      </c>
      <c r="G1729" s="36" t="s">
        <v>14</v>
      </c>
      <c r="H1729" s="36" t="str">
        <f>IFERROR(VLOOKUP(Table2[[#This Row], [Ticket]],Okey!A:B,2,0),"")</f>
        <v/>
      </c>
      <c r="I1729" s="36"/>
      <c r="J1729" s="36" t="s">
        <v>19</v>
      </c>
      <c r="K1729" s="36" t="s">
        <v>11488</v>
      </c>
      <c r="L1729" s="36"/>
    </row>
    <row r="1730" spans="1:12" hidden="1">
      <c r="A1730" s="42">
        <f t="shared" si="27"/>
        <v>1729</v>
      </c>
      <c r="B1730" s="36" t="s">
        <v>8</v>
      </c>
      <c r="C1730" s="36" t="s">
        <v>10059</v>
      </c>
      <c r="D1730" s="9" t="s">
        <v>10467</v>
      </c>
      <c r="E1730" s="9" t="s">
        <v>10235</v>
      </c>
      <c r="F1730" s="9" t="s">
        <v>10220</v>
      </c>
      <c r="G1730" s="36" t="s">
        <v>14</v>
      </c>
      <c r="H1730" s="36" t="str">
        <f>IFERROR(VLOOKUP(Table2[[#This Row], [Ticket]],Okey!A:B,2,0),"")</f>
        <v/>
      </c>
      <c r="I1730" s="36"/>
      <c r="J1730" s="36" t="s">
        <v>19</v>
      </c>
      <c r="K1730" s="36" t="s">
        <v>11488</v>
      </c>
      <c r="L1730" s="36"/>
    </row>
    <row r="1731" spans="1:12" hidden="1">
      <c r="A1731" s="42">
        <f t="shared" si="27"/>
        <v>1730</v>
      </c>
      <c r="B1731" s="36" t="s">
        <v>8</v>
      </c>
      <c r="C1731" s="36" t="s">
        <v>10059</v>
      </c>
      <c r="D1731" s="9" t="s">
        <v>10468</v>
      </c>
      <c r="E1731" s="9" t="s">
        <v>10236</v>
      </c>
      <c r="F1731" s="9" t="s">
        <v>10220</v>
      </c>
      <c r="G1731" s="36" t="s">
        <v>14</v>
      </c>
      <c r="H1731" s="36" t="str">
        <f>IFERROR(VLOOKUP(Table2[[#This Row], [Ticket]],Okey!A:B,2,0),"")</f>
        <v/>
      </c>
      <c r="I1731" s="36"/>
      <c r="J1731" s="36" t="s">
        <v>19</v>
      </c>
      <c r="K1731" s="36" t="s">
        <v>11488</v>
      </c>
      <c r="L1731" s="36"/>
    </row>
    <row r="1732" spans="1:12" hidden="1">
      <c r="A1732" s="42">
        <f t="shared" si="27"/>
        <v>1731</v>
      </c>
      <c r="B1732" s="36" t="s">
        <v>8</v>
      </c>
      <c r="C1732" s="36" t="s">
        <v>10059</v>
      </c>
      <c r="D1732" s="9" t="s">
        <v>10469</v>
      </c>
      <c r="E1732" s="9" t="s">
        <v>10237</v>
      </c>
      <c r="F1732" s="9" t="s">
        <v>10220</v>
      </c>
      <c r="G1732" s="36" t="s">
        <v>14</v>
      </c>
      <c r="H1732" s="36" t="str">
        <f>IFERROR(VLOOKUP(Table2[[#This Row], [Ticket]],Okey!A:B,2,0),"")</f>
        <v/>
      </c>
      <c r="I1732" s="36"/>
      <c r="J1732" s="36" t="s">
        <v>19</v>
      </c>
      <c r="K1732" s="36" t="s">
        <v>11488</v>
      </c>
      <c r="L1732" s="36"/>
    </row>
    <row r="1733" spans="1:12" hidden="1">
      <c r="A1733" s="42">
        <f t="shared" si="27"/>
        <v>1732</v>
      </c>
      <c r="B1733" s="36" t="s">
        <v>8</v>
      </c>
      <c r="C1733" s="36" t="s">
        <v>10059</v>
      </c>
      <c r="D1733" s="9" t="s">
        <v>10470</v>
      </c>
      <c r="E1733" s="9" t="s">
        <v>10238</v>
      </c>
      <c r="F1733" s="9" t="s">
        <v>10220</v>
      </c>
      <c r="G1733" s="36" t="s">
        <v>14</v>
      </c>
      <c r="H1733" s="36" t="str">
        <f>IFERROR(VLOOKUP(Table2[[#This Row], [Ticket]],Okey!A:B,2,0),"")</f>
        <v/>
      </c>
      <c r="I1733" s="36"/>
      <c r="J1733" s="36" t="s">
        <v>19</v>
      </c>
      <c r="K1733" s="36" t="s">
        <v>11488</v>
      </c>
      <c r="L1733" s="36"/>
    </row>
    <row r="1734" spans="1:12" hidden="1">
      <c r="A1734" s="42">
        <f t="shared" si="27"/>
        <v>1733</v>
      </c>
      <c r="B1734" s="36" t="s">
        <v>8</v>
      </c>
      <c r="C1734" s="36" t="s">
        <v>10059</v>
      </c>
      <c r="D1734" s="9" t="s">
        <v>10471</v>
      </c>
      <c r="E1734" s="9" t="s">
        <v>10239</v>
      </c>
      <c r="F1734" s="9" t="s">
        <v>10220</v>
      </c>
      <c r="G1734" s="36" t="s">
        <v>14</v>
      </c>
      <c r="H1734" s="36" t="str">
        <f>IFERROR(VLOOKUP(Table2[[#This Row], [Ticket]],Okey!A:B,2,0),"")</f>
        <v/>
      </c>
      <c r="I1734" s="36"/>
      <c r="J1734" s="36" t="s">
        <v>19</v>
      </c>
      <c r="K1734" s="36" t="s">
        <v>11488</v>
      </c>
      <c r="L1734" s="36"/>
    </row>
    <row r="1735" spans="1:12" hidden="1">
      <c r="A1735" s="42">
        <f t="shared" si="27"/>
        <v>1734</v>
      </c>
      <c r="B1735" s="36" t="s">
        <v>8</v>
      </c>
      <c r="C1735" s="36" t="s">
        <v>10059</v>
      </c>
      <c r="D1735" s="9" t="s">
        <v>10472</v>
      </c>
      <c r="E1735" s="9" t="s">
        <v>10240</v>
      </c>
      <c r="F1735" s="9" t="s">
        <v>10220</v>
      </c>
      <c r="G1735" s="36" t="s">
        <v>14</v>
      </c>
      <c r="H1735" s="36" t="str">
        <f>IFERROR(VLOOKUP(Table2[[#This Row], [Ticket]],Okey!A:B,2,0),"")</f>
        <v/>
      </c>
      <c r="I1735" s="36"/>
      <c r="J1735" s="36" t="s">
        <v>19</v>
      </c>
      <c r="K1735" s="36" t="s">
        <v>11488</v>
      </c>
      <c r="L1735" s="36"/>
    </row>
    <row r="1736" spans="1:12" hidden="1">
      <c r="A1736" s="42">
        <f t="shared" si="27"/>
        <v>1735</v>
      </c>
      <c r="B1736" s="36" t="s">
        <v>8</v>
      </c>
      <c r="C1736" s="36" t="s">
        <v>10059</v>
      </c>
      <c r="D1736" s="9" t="s">
        <v>10473</v>
      </c>
      <c r="E1736" s="9" t="s">
        <v>10241</v>
      </c>
      <c r="F1736" s="9" t="s">
        <v>10220</v>
      </c>
      <c r="G1736" s="36" t="s">
        <v>14</v>
      </c>
      <c r="H1736" s="36" t="str">
        <f>IFERROR(VLOOKUP(Table2[[#This Row], [Ticket]],Okey!A:B,2,0),"")</f>
        <v/>
      </c>
      <c r="I1736" s="36"/>
      <c r="J1736" s="36" t="s">
        <v>19</v>
      </c>
      <c r="K1736" s="36" t="s">
        <v>11488</v>
      </c>
      <c r="L1736" s="36"/>
    </row>
    <row r="1737" spans="1:12" hidden="1">
      <c r="A1737" s="42">
        <f t="shared" si="27"/>
        <v>1736</v>
      </c>
      <c r="B1737" s="36" t="s">
        <v>8</v>
      </c>
      <c r="C1737" s="36" t="s">
        <v>10059</v>
      </c>
      <c r="D1737" s="9" t="s">
        <v>10474</v>
      </c>
      <c r="E1737" s="9" t="s">
        <v>10242</v>
      </c>
      <c r="F1737" s="9" t="s">
        <v>10220</v>
      </c>
      <c r="G1737" s="36" t="s">
        <v>14</v>
      </c>
      <c r="H1737" s="36" t="str">
        <f>IFERROR(VLOOKUP(Table2[[#This Row], [Ticket]],Okey!A:B,2,0),"")</f>
        <v/>
      </c>
      <c r="I1737" s="36"/>
      <c r="J1737" s="36" t="s">
        <v>19</v>
      </c>
      <c r="K1737" s="36" t="s">
        <v>11488</v>
      </c>
      <c r="L1737" s="36"/>
    </row>
    <row r="1738" spans="1:12" hidden="1">
      <c r="A1738" s="42">
        <f t="shared" si="27"/>
        <v>1737</v>
      </c>
      <c r="B1738" s="36" t="s">
        <v>8</v>
      </c>
      <c r="C1738" s="36" t="s">
        <v>10059</v>
      </c>
      <c r="D1738" s="9" t="s">
        <v>10475</v>
      </c>
      <c r="E1738" s="9" t="s">
        <v>10243</v>
      </c>
      <c r="F1738" s="9" t="s">
        <v>10220</v>
      </c>
      <c r="G1738" s="36" t="s">
        <v>14</v>
      </c>
      <c r="H1738" s="36" t="str">
        <f>IFERROR(VLOOKUP(Table2[[#This Row], [Ticket]],Okey!A:B,2,0),"")</f>
        <v/>
      </c>
      <c r="I1738" s="36"/>
      <c r="J1738" s="36" t="s">
        <v>19</v>
      </c>
      <c r="K1738" s="36" t="s">
        <v>11488</v>
      </c>
      <c r="L1738" s="36"/>
    </row>
    <row r="1739" spans="1:12" hidden="1">
      <c r="A1739" s="42">
        <f t="shared" si="27"/>
        <v>1738</v>
      </c>
      <c r="B1739" s="36" t="s">
        <v>8</v>
      </c>
      <c r="C1739" s="36" t="s">
        <v>10059</v>
      </c>
      <c r="D1739" s="9" t="s">
        <v>10476</v>
      </c>
      <c r="E1739" s="9" t="s">
        <v>10244</v>
      </c>
      <c r="F1739" s="9" t="s">
        <v>10220</v>
      </c>
      <c r="G1739" s="36" t="s">
        <v>14</v>
      </c>
      <c r="H1739" s="36" t="str">
        <f>IFERROR(VLOOKUP(Table2[[#This Row], [Ticket]],Okey!A:B,2,0),"")</f>
        <v/>
      </c>
      <c r="I1739" s="36"/>
      <c r="J1739" s="36" t="s">
        <v>19</v>
      </c>
      <c r="K1739" s="36" t="s">
        <v>11488</v>
      </c>
      <c r="L1739" s="36"/>
    </row>
    <row r="1740" spans="1:12" hidden="1">
      <c r="A1740" s="42">
        <f t="shared" si="27"/>
        <v>1739</v>
      </c>
      <c r="B1740" s="36" t="s">
        <v>8</v>
      </c>
      <c r="C1740" s="36" t="s">
        <v>10059</v>
      </c>
      <c r="D1740" s="9" t="s">
        <v>10477</v>
      </c>
      <c r="E1740" s="9" t="s">
        <v>10245</v>
      </c>
      <c r="F1740" s="9" t="s">
        <v>10220</v>
      </c>
      <c r="G1740" s="36" t="s">
        <v>14</v>
      </c>
      <c r="H1740" s="36" t="str">
        <f>IFERROR(VLOOKUP(Table2[[#This Row], [Ticket]],Okey!A:B,2,0),"")</f>
        <v/>
      </c>
      <c r="I1740" s="36"/>
      <c r="J1740" s="36" t="s">
        <v>19</v>
      </c>
      <c r="K1740" s="36" t="s">
        <v>11488</v>
      </c>
      <c r="L1740" s="36"/>
    </row>
    <row r="1741" spans="1:12" hidden="1">
      <c r="A1741" s="42">
        <f t="shared" si="27"/>
        <v>1740</v>
      </c>
      <c r="B1741" s="36" t="s">
        <v>8</v>
      </c>
      <c r="C1741" s="36" t="s">
        <v>10059</v>
      </c>
      <c r="D1741" s="9" t="s">
        <v>10478</v>
      </c>
      <c r="E1741" s="9" t="s">
        <v>10246</v>
      </c>
      <c r="F1741" s="9" t="s">
        <v>10220</v>
      </c>
      <c r="G1741" s="36" t="s">
        <v>14</v>
      </c>
      <c r="H1741" s="36" t="str">
        <f>IFERROR(VLOOKUP(Table2[[#This Row], [Ticket]],Okey!A:B,2,0),"")</f>
        <v/>
      </c>
      <c r="I1741" s="36"/>
      <c r="J1741" s="36" t="s">
        <v>19</v>
      </c>
      <c r="K1741" s="36" t="s">
        <v>11488</v>
      </c>
      <c r="L1741" s="36"/>
    </row>
    <row r="1742" spans="1:12" hidden="1">
      <c r="A1742" s="42">
        <f t="shared" si="27"/>
        <v>1741</v>
      </c>
      <c r="B1742" s="36" t="s">
        <v>8</v>
      </c>
      <c r="C1742" s="36" t="s">
        <v>10059</v>
      </c>
      <c r="D1742" s="9" t="s">
        <v>10479</v>
      </c>
      <c r="E1742" s="9" t="s">
        <v>10247</v>
      </c>
      <c r="F1742" s="9" t="s">
        <v>10220</v>
      </c>
      <c r="G1742" s="36" t="s">
        <v>14</v>
      </c>
      <c r="H1742" s="36" t="str">
        <f>IFERROR(VLOOKUP(Table2[[#This Row], [Ticket]],Okey!A:B,2,0),"")</f>
        <v/>
      </c>
      <c r="I1742" s="36"/>
      <c r="J1742" s="36" t="s">
        <v>19</v>
      </c>
      <c r="K1742" s="36" t="s">
        <v>11488</v>
      </c>
      <c r="L1742" s="36"/>
    </row>
    <row r="1743" spans="1:12" hidden="1">
      <c r="A1743" s="42">
        <f t="shared" si="27"/>
        <v>1742</v>
      </c>
      <c r="B1743" s="36" t="s">
        <v>8</v>
      </c>
      <c r="C1743" s="36" t="s">
        <v>10059</v>
      </c>
      <c r="D1743" s="9" t="s">
        <v>10480</v>
      </c>
      <c r="E1743" s="9" t="s">
        <v>10248</v>
      </c>
      <c r="F1743" s="9" t="s">
        <v>10220</v>
      </c>
      <c r="G1743" s="36" t="s">
        <v>14</v>
      </c>
      <c r="H1743" s="36" t="str">
        <f>IFERROR(VLOOKUP(Table2[[#This Row], [Ticket]],Okey!A:B,2,0),"")</f>
        <v/>
      </c>
      <c r="I1743" s="36"/>
      <c r="J1743" s="36" t="s">
        <v>19</v>
      </c>
      <c r="K1743" s="36" t="s">
        <v>11488</v>
      </c>
      <c r="L1743" s="36"/>
    </row>
    <row r="1744" spans="1:12" hidden="1">
      <c r="A1744" s="42">
        <f t="shared" si="27"/>
        <v>1743</v>
      </c>
      <c r="B1744" s="36" t="s">
        <v>8</v>
      </c>
      <c r="C1744" s="36" t="s">
        <v>10059</v>
      </c>
      <c r="D1744" s="9" t="s">
        <v>10481</v>
      </c>
      <c r="E1744" s="9" t="s">
        <v>10249</v>
      </c>
      <c r="F1744" s="9" t="s">
        <v>10220</v>
      </c>
      <c r="G1744" s="36" t="s">
        <v>14</v>
      </c>
      <c r="H1744" s="36" t="str">
        <f>IFERROR(VLOOKUP(Table2[[#This Row], [Ticket]],Okey!A:B,2,0),"")</f>
        <v/>
      </c>
      <c r="I1744" s="36"/>
      <c r="J1744" s="36" t="s">
        <v>19</v>
      </c>
      <c r="K1744" s="36" t="s">
        <v>11488</v>
      </c>
      <c r="L1744" s="36"/>
    </row>
    <row r="1745" spans="1:12" hidden="1">
      <c r="A1745" s="42">
        <f t="shared" si="27"/>
        <v>1744</v>
      </c>
      <c r="B1745" s="36" t="s">
        <v>8</v>
      </c>
      <c r="C1745" s="36" t="s">
        <v>10059</v>
      </c>
      <c r="D1745" s="9" t="s">
        <v>10482</v>
      </c>
      <c r="E1745" s="9" t="s">
        <v>10250</v>
      </c>
      <c r="F1745" s="9" t="s">
        <v>10220</v>
      </c>
      <c r="G1745" s="36" t="s">
        <v>14</v>
      </c>
      <c r="H1745" s="36" t="str">
        <f>IFERROR(VLOOKUP(Table2[[#This Row], [Ticket]],Okey!A:B,2,0),"")</f>
        <v/>
      </c>
      <c r="I1745" s="36"/>
      <c r="J1745" s="36" t="s">
        <v>19</v>
      </c>
      <c r="K1745" s="36" t="s">
        <v>11488</v>
      </c>
      <c r="L1745" s="36"/>
    </row>
    <row r="1746" spans="1:12" hidden="1">
      <c r="A1746" s="42">
        <f t="shared" si="27"/>
        <v>1745</v>
      </c>
      <c r="B1746" s="36" t="s">
        <v>8</v>
      </c>
      <c r="C1746" s="36" t="s">
        <v>10059</v>
      </c>
      <c r="D1746" s="9" t="s">
        <v>10483</v>
      </c>
      <c r="E1746" s="9" t="s">
        <v>10251</v>
      </c>
      <c r="F1746" s="9" t="s">
        <v>10220</v>
      </c>
      <c r="G1746" s="36" t="s">
        <v>14</v>
      </c>
      <c r="H1746" s="36" t="str">
        <f>IFERROR(VLOOKUP(Table2[[#This Row], [Ticket]],Okey!A:B,2,0),"")</f>
        <v/>
      </c>
      <c r="I1746" s="36"/>
      <c r="J1746" s="36" t="s">
        <v>19</v>
      </c>
      <c r="K1746" s="36" t="s">
        <v>11488</v>
      </c>
      <c r="L1746" s="36"/>
    </row>
    <row r="1747" spans="1:12" hidden="1">
      <c r="A1747" s="42">
        <f t="shared" si="27"/>
        <v>1746</v>
      </c>
      <c r="B1747" s="36" t="s">
        <v>8</v>
      </c>
      <c r="C1747" s="36" t="s">
        <v>10059</v>
      </c>
      <c r="D1747" s="9" t="s">
        <v>10484</v>
      </c>
      <c r="E1747" s="9" t="s">
        <v>10252</v>
      </c>
      <c r="F1747" s="9" t="s">
        <v>10220</v>
      </c>
      <c r="G1747" s="36" t="s">
        <v>14</v>
      </c>
      <c r="H1747" s="36" t="str">
        <f>IFERROR(VLOOKUP(Table2[[#This Row], [Ticket]],Okey!A:B,2,0),"")</f>
        <v/>
      </c>
      <c r="I1747" s="36"/>
      <c r="J1747" s="36" t="s">
        <v>19</v>
      </c>
      <c r="K1747" s="36" t="s">
        <v>11488</v>
      </c>
      <c r="L1747" s="36"/>
    </row>
    <row r="1748" spans="1:12" hidden="1">
      <c r="A1748" s="42">
        <f t="shared" si="27"/>
        <v>1747</v>
      </c>
      <c r="B1748" s="36" t="s">
        <v>8</v>
      </c>
      <c r="C1748" s="36" t="s">
        <v>10059</v>
      </c>
      <c r="D1748" s="9" t="s">
        <v>10485</v>
      </c>
      <c r="E1748" s="9" t="s">
        <v>10253</v>
      </c>
      <c r="F1748" s="9" t="s">
        <v>10220</v>
      </c>
      <c r="G1748" s="36" t="s">
        <v>14</v>
      </c>
      <c r="H1748" s="36" t="str">
        <f>IFERROR(VLOOKUP(Table2[[#This Row], [Ticket]],Okey!A:B,2,0),"")</f>
        <v/>
      </c>
      <c r="I1748" s="36"/>
      <c r="J1748" s="36" t="s">
        <v>19</v>
      </c>
      <c r="K1748" s="36" t="s">
        <v>11488</v>
      </c>
      <c r="L1748" s="36"/>
    </row>
    <row r="1749" spans="1:12" hidden="1">
      <c r="A1749" s="42">
        <f t="shared" si="27"/>
        <v>1748</v>
      </c>
      <c r="B1749" s="36" t="s">
        <v>8</v>
      </c>
      <c r="C1749" s="36" t="s">
        <v>10059</v>
      </c>
      <c r="D1749" s="9" t="s">
        <v>10486</v>
      </c>
      <c r="E1749" s="9" t="s">
        <v>10254</v>
      </c>
      <c r="F1749" s="9" t="s">
        <v>10220</v>
      </c>
      <c r="G1749" s="36" t="s">
        <v>14</v>
      </c>
      <c r="H1749" s="36" t="str">
        <f>IFERROR(VLOOKUP(Table2[[#This Row], [Ticket]],Okey!A:B,2,0),"")</f>
        <v/>
      </c>
      <c r="I1749" s="36"/>
      <c r="J1749" s="36" t="s">
        <v>19</v>
      </c>
      <c r="K1749" s="36" t="s">
        <v>11488</v>
      </c>
      <c r="L1749" s="36"/>
    </row>
    <row r="1750" spans="1:12" hidden="1">
      <c r="A1750" s="42">
        <f t="shared" ref="A1750:A1813" si="28">1+A1749</f>
        <v>1749</v>
      </c>
      <c r="B1750" s="36" t="s">
        <v>8</v>
      </c>
      <c r="C1750" s="36" t="s">
        <v>10059</v>
      </c>
      <c r="D1750" s="9" t="s">
        <v>10487</v>
      </c>
      <c r="E1750" s="9" t="s">
        <v>10255</v>
      </c>
      <c r="F1750" s="9" t="s">
        <v>10220</v>
      </c>
      <c r="G1750" s="36" t="s">
        <v>14</v>
      </c>
      <c r="H1750" s="36" t="str">
        <f>IFERROR(VLOOKUP(Table2[[#This Row], [Ticket]],Okey!A:B,2,0),"")</f>
        <v/>
      </c>
      <c r="I1750" s="36"/>
      <c r="J1750" s="36" t="s">
        <v>19</v>
      </c>
      <c r="K1750" s="36" t="s">
        <v>11488</v>
      </c>
      <c r="L1750" s="36"/>
    </row>
    <row r="1751" spans="1:12" hidden="1">
      <c r="A1751" s="42">
        <f t="shared" si="28"/>
        <v>1750</v>
      </c>
      <c r="B1751" s="36" t="s">
        <v>8</v>
      </c>
      <c r="C1751" s="36" t="s">
        <v>10059</v>
      </c>
      <c r="D1751" s="9" t="s">
        <v>10488</v>
      </c>
      <c r="E1751" s="9" t="s">
        <v>10256</v>
      </c>
      <c r="F1751" s="9" t="s">
        <v>10220</v>
      </c>
      <c r="G1751" s="36" t="s">
        <v>14</v>
      </c>
      <c r="H1751" s="36" t="str">
        <f>IFERROR(VLOOKUP(Table2[[#This Row], [Ticket]],Okey!A:B,2,0),"")</f>
        <v/>
      </c>
      <c r="I1751" s="36"/>
      <c r="J1751" s="36" t="s">
        <v>19</v>
      </c>
      <c r="K1751" s="36" t="s">
        <v>11488</v>
      </c>
      <c r="L1751" s="36"/>
    </row>
    <row r="1752" spans="1:12" hidden="1">
      <c r="A1752" s="42">
        <f t="shared" si="28"/>
        <v>1751</v>
      </c>
      <c r="B1752" s="36" t="s">
        <v>8</v>
      </c>
      <c r="C1752" s="36" t="s">
        <v>10059</v>
      </c>
      <c r="D1752" s="9" t="s">
        <v>10489</v>
      </c>
      <c r="E1752" s="9" t="s">
        <v>10257</v>
      </c>
      <c r="F1752" s="9" t="s">
        <v>10220</v>
      </c>
      <c r="G1752" s="36" t="s">
        <v>14</v>
      </c>
      <c r="H1752" s="36" t="str">
        <f>IFERROR(VLOOKUP(Table2[[#This Row], [Ticket]],Okey!A:B,2,0),"")</f>
        <v/>
      </c>
      <c r="I1752" s="36"/>
      <c r="J1752" s="36" t="s">
        <v>19</v>
      </c>
      <c r="K1752" s="36" t="s">
        <v>11488</v>
      </c>
      <c r="L1752" s="36"/>
    </row>
    <row r="1753" spans="1:12" hidden="1">
      <c r="A1753" s="42">
        <f t="shared" si="28"/>
        <v>1752</v>
      </c>
      <c r="B1753" s="36" t="s">
        <v>8</v>
      </c>
      <c r="C1753" s="36" t="s">
        <v>10059</v>
      </c>
      <c r="D1753" s="9" t="s">
        <v>10490</v>
      </c>
      <c r="E1753" s="9" t="s">
        <v>10258</v>
      </c>
      <c r="F1753" s="9" t="s">
        <v>10220</v>
      </c>
      <c r="G1753" s="36" t="s">
        <v>14</v>
      </c>
      <c r="H1753" s="36" t="str">
        <f>IFERROR(VLOOKUP(Table2[[#This Row], [Ticket]],Okey!A:B,2,0),"")</f>
        <v/>
      </c>
      <c r="I1753" s="36"/>
      <c r="J1753" s="36" t="s">
        <v>19</v>
      </c>
      <c r="K1753" s="36" t="s">
        <v>11488</v>
      </c>
      <c r="L1753" s="36"/>
    </row>
    <row r="1754" spans="1:12" hidden="1">
      <c r="A1754" s="42">
        <f t="shared" si="28"/>
        <v>1753</v>
      </c>
      <c r="B1754" s="36" t="s">
        <v>8</v>
      </c>
      <c r="C1754" s="36" t="s">
        <v>10059</v>
      </c>
      <c r="D1754" s="9" t="s">
        <v>10491</v>
      </c>
      <c r="E1754" s="9" t="s">
        <v>10259</v>
      </c>
      <c r="F1754" s="9" t="s">
        <v>10220</v>
      </c>
      <c r="G1754" s="36" t="s">
        <v>14</v>
      </c>
      <c r="H1754" s="36" t="str">
        <f>IFERROR(VLOOKUP(Table2[[#This Row], [Ticket]],Okey!A:B,2,0),"")</f>
        <v/>
      </c>
      <c r="I1754" s="36"/>
      <c r="J1754" s="36" t="s">
        <v>19</v>
      </c>
      <c r="K1754" s="36" t="s">
        <v>11488</v>
      </c>
      <c r="L1754" s="36"/>
    </row>
    <row r="1755" spans="1:12" hidden="1">
      <c r="A1755" s="42">
        <f t="shared" si="28"/>
        <v>1754</v>
      </c>
      <c r="B1755" s="36" t="s">
        <v>8</v>
      </c>
      <c r="C1755" s="36" t="s">
        <v>10059</v>
      </c>
      <c r="D1755" s="9" t="s">
        <v>10492</v>
      </c>
      <c r="E1755" s="9" t="s">
        <v>10260</v>
      </c>
      <c r="F1755" s="9" t="s">
        <v>10220</v>
      </c>
      <c r="G1755" s="36" t="s">
        <v>14</v>
      </c>
      <c r="H1755" s="36" t="str">
        <f>IFERROR(VLOOKUP(Table2[[#This Row], [Ticket]],Okey!A:B,2,0),"")</f>
        <v/>
      </c>
      <c r="I1755" s="36"/>
      <c r="J1755" s="36" t="s">
        <v>19</v>
      </c>
      <c r="K1755" s="36" t="s">
        <v>11488</v>
      </c>
      <c r="L1755" s="36"/>
    </row>
    <row r="1756" spans="1:12" hidden="1">
      <c r="A1756" s="42">
        <f t="shared" si="28"/>
        <v>1755</v>
      </c>
      <c r="B1756" s="36" t="s">
        <v>8</v>
      </c>
      <c r="C1756" s="36" t="s">
        <v>10059</v>
      </c>
      <c r="D1756" s="9" t="s">
        <v>10493</v>
      </c>
      <c r="E1756" s="9" t="s">
        <v>10261</v>
      </c>
      <c r="F1756" s="9" t="s">
        <v>10220</v>
      </c>
      <c r="G1756" s="36" t="s">
        <v>14</v>
      </c>
      <c r="H1756" s="36" t="str">
        <f>IFERROR(VLOOKUP(Table2[[#This Row], [Ticket]],Okey!A:B,2,0),"")</f>
        <v/>
      </c>
      <c r="I1756" s="36"/>
      <c r="J1756" s="36" t="s">
        <v>19</v>
      </c>
      <c r="K1756" s="36" t="s">
        <v>11488</v>
      </c>
      <c r="L1756" s="36"/>
    </row>
    <row r="1757" spans="1:12" hidden="1">
      <c r="A1757" s="42">
        <f t="shared" si="28"/>
        <v>1756</v>
      </c>
      <c r="B1757" s="36" t="s">
        <v>8</v>
      </c>
      <c r="C1757" s="36" t="s">
        <v>10059</v>
      </c>
      <c r="D1757" s="9" t="s">
        <v>10494</v>
      </c>
      <c r="E1757" s="9" t="s">
        <v>10262</v>
      </c>
      <c r="F1757" s="9" t="s">
        <v>10220</v>
      </c>
      <c r="G1757" s="36" t="s">
        <v>14</v>
      </c>
      <c r="H1757" s="36" t="str">
        <f>IFERROR(VLOOKUP(Table2[[#This Row], [Ticket]],Okey!A:B,2,0),"")</f>
        <v/>
      </c>
      <c r="I1757" s="36"/>
      <c r="J1757" s="36" t="s">
        <v>19</v>
      </c>
      <c r="K1757" s="36" t="s">
        <v>11488</v>
      </c>
      <c r="L1757" s="36"/>
    </row>
    <row r="1758" spans="1:12" hidden="1">
      <c r="A1758" s="42">
        <f t="shared" si="28"/>
        <v>1757</v>
      </c>
      <c r="B1758" s="36" t="s">
        <v>8</v>
      </c>
      <c r="C1758" s="36" t="s">
        <v>10059</v>
      </c>
      <c r="D1758" s="9" t="s">
        <v>10495</v>
      </c>
      <c r="E1758" s="9" t="s">
        <v>10263</v>
      </c>
      <c r="F1758" s="9" t="s">
        <v>10220</v>
      </c>
      <c r="G1758" s="36" t="s">
        <v>14</v>
      </c>
      <c r="H1758" s="36" t="str">
        <f>IFERROR(VLOOKUP(Table2[[#This Row], [Ticket]],Okey!A:B,2,0),"")</f>
        <v/>
      </c>
      <c r="I1758" s="36"/>
      <c r="J1758" s="36" t="s">
        <v>19</v>
      </c>
      <c r="K1758" s="36" t="s">
        <v>11488</v>
      </c>
      <c r="L1758" s="36"/>
    </row>
    <row r="1759" spans="1:12" hidden="1">
      <c r="A1759" s="42">
        <f t="shared" si="28"/>
        <v>1758</v>
      </c>
      <c r="B1759" s="36" t="s">
        <v>8</v>
      </c>
      <c r="C1759" s="36" t="s">
        <v>10059</v>
      </c>
      <c r="D1759" s="9" t="s">
        <v>10496</v>
      </c>
      <c r="E1759" s="9" t="s">
        <v>10264</v>
      </c>
      <c r="F1759" s="9" t="s">
        <v>10220</v>
      </c>
      <c r="G1759" s="36" t="s">
        <v>14</v>
      </c>
      <c r="H1759" s="36" t="str">
        <f>IFERROR(VLOOKUP(Table2[[#This Row], [Ticket]],Okey!A:B,2,0),"")</f>
        <v/>
      </c>
      <c r="I1759" s="36"/>
      <c r="J1759" s="36" t="s">
        <v>19</v>
      </c>
      <c r="K1759" s="36" t="s">
        <v>11488</v>
      </c>
      <c r="L1759" s="36"/>
    </row>
    <row r="1760" spans="1:12" hidden="1">
      <c r="A1760" s="42">
        <f t="shared" si="28"/>
        <v>1759</v>
      </c>
      <c r="B1760" s="36" t="s">
        <v>8</v>
      </c>
      <c r="C1760" s="36" t="s">
        <v>10059</v>
      </c>
      <c r="D1760" s="9" t="s">
        <v>10497</v>
      </c>
      <c r="E1760" s="9" t="s">
        <v>10265</v>
      </c>
      <c r="F1760" s="9" t="s">
        <v>10220</v>
      </c>
      <c r="G1760" s="36" t="s">
        <v>14</v>
      </c>
      <c r="H1760" s="36" t="str">
        <f>IFERROR(VLOOKUP(Table2[[#This Row], [Ticket]],Okey!A:B,2,0),"")</f>
        <v/>
      </c>
      <c r="I1760" s="36"/>
      <c r="J1760" s="36" t="s">
        <v>19</v>
      </c>
      <c r="K1760" s="36" t="s">
        <v>11488</v>
      </c>
      <c r="L1760" s="36"/>
    </row>
    <row r="1761" spans="1:12" hidden="1">
      <c r="A1761" s="42">
        <f t="shared" si="28"/>
        <v>1760</v>
      </c>
      <c r="B1761" s="36" t="s">
        <v>8</v>
      </c>
      <c r="C1761" s="36" t="s">
        <v>10059</v>
      </c>
      <c r="D1761" s="9" t="s">
        <v>10498</v>
      </c>
      <c r="E1761" s="9" t="s">
        <v>10266</v>
      </c>
      <c r="F1761" s="9" t="s">
        <v>10220</v>
      </c>
      <c r="G1761" s="36" t="s">
        <v>14</v>
      </c>
      <c r="H1761" s="36" t="str">
        <f>IFERROR(VLOOKUP(Table2[[#This Row], [Ticket]],Okey!A:B,2,0),"")</f>
        <v/>
      </c>
      <c r="I1761" s="36"/>
      <c r="J1761" s="36" t="s">
        <v>19</v>
      </c>
      <c r="K1761" s="36" t="s">
        <v>11488</v>
      </c>
      <c r="L1761" s="36"/>
    </row>
    <row r="1762" spans="1:12" hidden="1">
      <c r="A1762" s="42">
        <f t="shared" si="28"/>
        <v>1761</v>
      </c>
      <c r="B1762" s="36" t="s">
        <v>8</v>
      </c>
      <c r="C1762" s="36" t="s">
        <v>10059</v>
      </c>
      <c r="D1762" s="9" t="s">
        <v>10499</v>
      </c>
      <c r="E1762" s="9" t="s">
        <v>10267</v>
      </c>
      <c r="F1762" s="9" t="s">
        <v>10220</v>
      </c>
      <c r="G1762" s="36" t="s">
        <v>14</v>
      </c>
      <c r="H1762" s="36" t="str">
        <f>IFERROR(VLOOKUP(Table2[[#This Row], [Ticket]],Okey!A:B,2,0),"")</f>
        <v/>
      </c>
      <c r="I1762" s="36"/>
      <c r="J1762" s="36" t="s">
        <v>19</v>
      </c>
      <c r="K1762" s="36" t="s">
        <v>11488</v>
      </c>
      <c r="L1762" s="36"/>
    </row>
    <row r="1763" spans="1:12" hidden="1">
      <c r="A1763" s="42">
        <f t="shared" si="28"/>
        <v>1762</v>
      </c>
      <c r="B1763" s="36" t="s">
        <v>8</v>
      </c>
      <c r="C1763" s="36" t="s">
        <v>10059</v>
      </c>
      <c r="D1763" s="9" t="s">
        <v>10500</v>
      </c>
      <c r="E1763" s="9" t="s">
        <v>10268</v>
      </c>
      <c r="F1763" s="9" t="s">
        <v>10220</v>
      </c>
      <c r="G1763" s="36" t="s">
        <v>14</v>
      </c>
      <c r="H1763" s="36" t="str">
        <f>IFERROR(VLOOKUP(Table2[[#This Row], [Ticket]],Okey!A:B,2,0),"")</f>
        <v/>
      </c>
      <c r="I1763" s="36"/>
      <c r="J1763" s="36" t="s">
        <v>19</v>
      </c>
      <c r="K1763" s="36" t="s">
        <v>11488</v>
      </c>
      <c r="L1763" s="36"/>
    </row>
    <row r="1764" spans="1:12" hidden="1">
      <c r="A1764" s="42">
        <f t="shared" si="28"/>
        <v>1763</v>
      </c>
      <c r="B1764" s="36" t="s">
        <v>8</v>
      </c>
      <c r="C1764" s="36" t="s">
        <v>10059</v>
      </c>
      <c r="D1764" s="9" t="s">
        <v>10501</v>
      </c>
      <c r="E1764" s="9" t="s">
        <v>10269</v>
      </c>
      <c r="F1764" s="9" t="s">
        <v>10220</v>
      </c>
      <c r="G1764" s="36" t="s">
        <v>14</v>
      </c>
      <c r="H1764" s="36" t="str">
        <f>IFERROR(VLOOKUP(Table2[[#This Row], [Ticket]],Okey!A:B,2,0),"")</f>
        <v/>
      </c>
      <c r="I1764" s="36"/>
      <c r="J1764" s="36" t="s">
        <v>19</v>
      </c>
      <c r="K1764" s="36" t="s">
        <v>11488</v>
      </c>
      <c r="L1764" s="36"/>
    </row>
    <row r="1765" spans="1:12" hidden="1">
      <c r="A1765" s="42">
        <f t="shared" si="28"/>
        <v>1764</v>
      </c>
      <c r="B1765" s="36" t="s">
        <v>8</v>
      </c>
      <c r="C1765" s="36" t="s">
        <v>10059</v>
      </c>
      <c r="D1765" s="9" t="s">
        <v>10502</v>
      </c>
      <c r="E1765" s="9" t="s">
        <v>10270</v>
      </c>
      <c r="F1765" s="9" t="s">
        <v>10220</v>
      </c>
      <c r="G1765" s="36" t="s">
        <v>14</v>
      </c>
      <c r="H1765" s="36" t="str">
        <f>IFERROR(VLOOKUP(Table2[[#This Row], [Ticket]],Okey!A:B,2,0),"")</f>
        <v/>
      </c>
      <c r="I1765" s="36"/>
      <c r="J1765" s="36" t="s">
        <v>19</v>
      </c>
      <c r="K1765" s="36" t="s">
        <v>11488</v>
      </c>
      <c r="L1765" s="36"/>
    </row>
    <row r="1766" spans="1:12" hidden="1">
      <c r="A1766" s="42">
        <f t="shared" si="28"/>
        <v>1765</v>
      </c>
      <c r="B1766" s="36" t="s">
        <v>8</v>
      </c>
      <c r="C1766" s="36" t="s">
        <v>10059</v>
      </c>
      <c r="D1766" s="9" t="s">
        <v>10503</v>
      </c>
      <c r="E1766" s="9" t="s">
        <v>10271</v>
      </c>
      <c r="F1766" s="9" t="s">
        <v>10220</v>
      </c>
      <c r="G1766" s="36" t="s">
        <v>14</v>
      </c>
      <c r="H1766" s="36" t="str">
        <f>IFERROR(VLOOKUP(Table2[[#This Row], [Ticket]],Okey!A:B,2,0),"")</f>
        <v/>
      </c>
      <c r="I1766" s="36"/>
      <c r="J1766" s="36" t="s">
        <v>19</v>
      </c>
      <c r="K1766" s="36" t="s">
        <v>11488</v>
      </c>
      <c r="L1766" s="36"/>
    </row>
    <row r="1767" spans="1:12" hidden="1">
      <c r="A1767" s="42">
        <f t="shared" si="28"/>
        <v>1766</v>
      </c>
      <c r="B1767" s="36" t="s">
        <v>8</v>
      </c>
      <c r="C1767" s="36" t="s">
        <v>10059</v>
      </c>
      <c r="D1767" s="9" t="s">
        <v>10504</v>
      </c>
      <c r="E1767" s="9" t="s">
        <v>10272</v>
      </c>
      <c r="F1767" s="9" t="s">
        <v>10220</v>
      </c>
      <c r="G1767" s="36" t="s">
        <v>14</v>
      </c>
      <c r="H1767" s="36" t="str">
        <f>IFERROR(VLOOKUP(Table2[[#This Row], [Ticket]],Okey!A:B,2,0),"")</f>
        <v/>
      </c>
      <c r="I1767" s="36"/>
      <c r="J1767" s="36" t="s">
        <v>19</v>
      </c>
      <c r="K1767" s="36" t="s">
        <v>11488</v>
      </c>
      <c r="L1767" s="36"/>
    </row>
    <row r="1768" spans="1:12" hidden="1">
      <c r="A1768" s="42">
        <f t="shared" si="28"/>
        <v>1767</v>
      </c>
      <c r="B1768" s="36" t="s">
        <v>8</v>
      </c>
      <c r="C1768" s="36" t="s">
        <v>10059</v>
      </c>
      <c r="D1768" s="9" t="s">
        <v>10505</v>
      </c>
      <c r="E1768" s="9" t="s">
        <v>10273</v>
      </c>
      <c r="F1768" s="9" t="s">
        <v>10220</v>
      </c>
      <c r="G1768" s="36" t="s">
        <v>14</v>
      </c>
      <c r="H1768" s="36" t="str">
        <f>IFERROR(VLOOKUP(Table2[[#This Row], [Ticket]],Okey!A:B,2,0),"")</f>
        <v/>
      </c>
      <c r="I1768" s="36"/>
      <c r="J1768" s="36" t="s">
        <v>19</v>
      </c>
      <c r="K1768" s="36" t="s">
        <v>11488</v>
      </c>
      <c r="L1768" s="36"/>
    </row>
    <row r="1769" spans="1:12" hidden="1">
      <c r="A1769" s="42">
        <f t="shared" si="28"/>
        <v>1768</v>
      </c>
      <c r="B1769" s="36" t="s">
        <v>8</v>
      </c>
      <c r="C1769" s="36" t="s">
        <v>10059</v>
      </c>
      <c r="D1769" s="9" t="s">
        <v>10506</v>
      </c>
      <c r="E1769" s="9" t="s">
        <v>10274</v>
      </c>
      <c r="F1769" s="9" t="s">
        <v>10220</v>
      </c>
      <c r="G1769" s="36" t="s">
        <v>14</v>
      </c>
      <c r="H1769" s="36" t="str">
        <f>IFERROR(VLOOKUP(Table2[[#This Row], [Ticket]],Okey!A:B,2,0),"")</f>
        <v/>
      </c>
      <c r="I1769" s="36"/>
      <c r="J1769" s="36" t="s">
        <v>19</v>
      </c>
      <c r="K1769" s="36" t="s">
        <v>11488</v>
      </c>
      <c r="L1769" s="36"/>
    </row>
    <row r="1770" spans="1:12" hidden="1">
      <c r="A1770" s="42">
        <f t="shared" si="28"/>
        <v>1769</v>
      </c>
      <c r="B1770" s="36" t="s">
        <v>8</v>
      </c>
      <c r="C1770" s="36" t="s">
        <v>10059</v>
      </c>
      <c r="D1770" s="9" t="s">
        <v>10507</v>
      </c>
      <c r="E1770" s="9" t="s">
        <v>10275</v>
      </c>
      <c r="F1770" s="9" t="s">
        <v>10220</v>
      </c>
      <c r="G1770" s="36" t="s">
        <v>14</v>
      </c>
      <c r="H1770" s="36" t="str">
        <f>IFERROR(VLOOKUP(Table2[[#This Row], [Ticket]],Okey!A:B,2,0),"")</f>
        <v/>
      </c>
      <c r="I1770" s="36"/>
      <c r="J1770" s="36" t="s">
        <v>19</v>
      </c>
      <c r="K1770" s="36" t="s">
        <v>11488</v>
      </c>
      <c r="L1770" s="36"/>
    </row>
    <row r="1771" spans="1:12" hidden="1">
      <c r="A1771" s="42">
        <f t="shared" si="28"/>
        <v>1770</v>
      </c>
      <c r="B1771" s="36" t="s">
        <v>8</v>
      </c>
      <c r="C1771" s="36" t="s">
        <v>10059</v>
      </c>
      <c r="D1771" s="9" t="s">
        <v>10508</v>
      </c>
      <c r="E1771" s="9" t="s">
        <v>10276</v>
      </c>
      <c r="F1771" s="9" t="s">
        <v>10220</v>
      </c>
      <c r="G1771" s="36" t="s">
        <v>14</v>
      </c>
      <c r="H1771" s="36" t="str">
        <f>IFERROR(VLOOKUP(Table2[[#This Row], [Ticket]],Okey!A:B,2,0),"")</f>
        <v/>
      </c>
      <c r="I1771" s="36"/>
      <c r="J1771" s="36" t="s">
        <v>19</v>
      </c>
      <c r="K1771" s="36" t="s">
        <v>11488</v>
      </c>
      <c r="L1771" s="36"/>
    </row>
    <row r="1772" spans="1:12" hidden="1">
      <c r="A1772" s="42">
        <f t="shared" si="28"/>
        <v>1771</v>
      </c>
      <c r="B1772" s="36" t="s">
        <v>8</v>
      </c>
      <c r="C1772" s="36" t="s">
        <v>10059</v>
      </c>
      <c r="D1772" s="9" t="s">
        <v>10509</v>
      </c>
      <c r="E1772" s="9" t="s">
        <v>10277</v>
      </c>
      <c r="F1772" s="9" t="s">
        <v>10220</v>
      </c>
      <c r="G1772" s="36" t="s">
        <v>14</v>
      </c>
      <c r="H1772" s="36" t="str">
        <f>IFERROR(VLOOKUP(Table2[[#This Row], [Ticket]],Okey!A:B,2,0),"")</f>
        <v/>
      </c>
      <c r="I1772" s="36"/>
      <c r="J1772" s="36" t="s">
        <v>19</v>
      </c>
      <c r="K1772" s="36" t="s">
        <v>11488</v>
      </c>
      <c r="L1772" s="36"/>
    </row>
    <row r="1773" spans="1:12" hidden="1">
      <c r="A1773" s="42">
        <f t="shared" si="28"/>
        <v>1772</v>
      </c>
      <c r="B1773" s="36" t="s">
        <v>8</v>
      </c>
      <c r="C1773" s="36" t="s">
        <v>10059</v>
      </c>
      <c r="D1773" s="9" t="s">
        <v>10510</v>
      </c>
      <c r="E1773" s="9" t="s">
        <v>10278</v>
      </c>
      <c r="F1773" s="9" t="s">
        <v>10220</v>
      </c>
      <c r="G1773" s="36" t="s">
        <v>14</v>
      </c>
      <c r="H1773" s="36" t="str">
        <f>IFERROR(VLOOKUP(Table2[[#This Row], [Ticket]],Okey!A:B,2,0),"")</f>
        <v/>
      </c>
      <c r="I1773" s="36"/>
      <c r="J1773" s="36" t="s">
        <v>19</v>
      </c>
      <c r="K1773" s="36" t="s">
        <v>11488</v>
      </c>
      <c r="L1773" s="36"/>
    </row>
    <row r="1774" spans="1:12" hidden="1">
      <c r="A1774" s="42">
        <f t="shared" si="28"/>
        <v>1773</v>
      </c>
      <c r="B1774" s="36" t="s">
        <v>8</v>
      </c>
      <c r="C1774" s="36" t="s">
        <v>10059</v>
      </c>
      <c r="D1774" s="9" t="s">
        <v>10511</v>
      </c>
      <c r="E1774" s="9" t="s">
        <v>10279</v>
      </c>
      <c r="F1774" s="9" t="s">
        <v>10220</v>
      </c>
      <c r="G1774" s="36" t="s">
        <v>14</v>
      </c>
      <c r="H1774" s="36" t="str">
        <f>IFERROR(VLOOKUP(Table2[[#This Row], [Ticket]],Okey!A:B,2,0),"")</f>
        <v/>
      </c>
      <c r="I1774" s="36"/>
      <c r="J1774" s="36" t="s">
        <v>19</v>
      </c>
      <c r="K1774" s="36" t="s">
        <v>11488</v>
      </c>
      <c r="L1774" s="36"/>
    </row>
    <row r="1775" spans="1:12" hidden="1">
      <c r="A1775" s="42">
        <f t="shared" si="28"/>
        <v>1774</v>
      </c>
      <c r="B1775" s="36" t="s">
        <v>8</v>
      </c>
      <c r="C1775" s="36" t="s">
        <v>10059</v>
      </c>
      <c r="D1775" s="9" t="s">
        <v>10512</v>
      </c>
      <c r="E1775" s="9" t="s">
        <v>10280</v>
      </c>
      <c r="F1775" s="9" t="s">
        <v>10220</v>
      </c>
      <c r="G1775" s="36" t="s">
        <v>14</v>
      </c>
      <c r="H1775" s="36" t="str">
        <f>IFERROR(VLOOKUP(Table2[[#This Row], [Ticket]],Okey!A:B,2,0),"")</f>
        <v/>
      </c>
      <c r="I1775" s="36"/>
      <c r="J1775" s="36" t="s">
        <v>19</v>
      </c>
      <c r="K1775" s="36" t="s">
        <v>11488</v>
      </c>
      <c r="L1775" s="36"/>
    </row>
    <row r="1776" spans="1:12" hidden="1">
      <c r="A1776" s="42">
        <f t="shared" si="28"/>
        <v>1775</v>
      </c>
      <c r="B1776" s="36" t="s">
        <v>8</v>
      </c>
      <c r="C1776" s="36" t="s">
        <v>10059</v>
      </c>
      <c r="D1776" s="9" t="s">
        <v>10513</v>
      </c>
      <c r="E1776" s="9" t="s">
        <v>10281</v>
      </c>
      <c r="F1776" s="9" t="s">
        <v>10282</v>
      </c>
      <c r="G1776" s="36" t="s">
        <v>14</v>
      </c>
      <c r="H1776" s="36" t="str">
        <f>IFERROR(VLOOKUP(Table2[[#This Row], [Ticket]],Okey!A:B,2,0),"")</f>
        <v/>
      </c>
      <c r="I1776" s="36"/>
      <c r="J1776" s="36" t="s">
        <v>19</v>
      </c>
      <c r="K1776" s="36" t="s">
        <v>11488</v>
      </c>
      <c r="L1776" s="36"/>
    </row>
    <row r="1777" spans="1:12" hidden="1">
      <c r="A1777" s="42">
        <f t="shared" si="28"/>
        <v>1776</v>
      </c>
      <c r="B1777" s="36" t="s">
        <v>8</v>
      </c>
      <c r="C1777" s="36" t="s">
        <v>10059</v>
      </c>
      <c r="D1777" s="9" t="s">
        <v>10514</v>
      </c>
      <c r="E1777" s="9" t="s">
        <v>10283</v>
      </c>
      <c r="F1777" s="9" t="s">
        <v>10282</v>
      </c>
      <c r="G1777" s="36" t="s">
        <v>14</v>
      </c>
      <c r="H1777" s="36" t="str">
        <f>IFERROR(VLOOKUP(Table2[[#This Row], [Ticket]],Okey!A:B,2,0),"")</f>
        <v/>
      </c>
      <c r="I1777" s="36"/>
      <c r="J1777" s="36" t="s">
        <v>19</v>
      </c>
      <c r="K1777" s="36" t="s">
        <v>11488</v>
      </c>
      <c r="L1777" s="36"/>
    </row>
    <row r="1778" spans="1:12" hidden="1">
      <c r="A1778" s="42">
        <f t="shared" si="28"/>
        <v>1777</v>
      </c>
      <c r="B1778" s="36" t="s">
        <v>8</v>
      </c>
      <c r="C1778" s="36" t="s">
        <v>10059</v>
      </c>
      <c r="D1778" s="9" t="s">
        <v>10515</v>
      </c>
      <c r="E1778" s="9" t="s">
        <v>10284</v>
      </c>
      <c r="F1778" s="9" t="s">
        <v>10282</v>
      </c>
      <c r="G1778" s="36" t="s">
        <v>14</v>
      </c>
      <c r="H1778" s="36" t="str">
        <f>IFERROR(VLOOKUP(Table2[[#This Row], [Ticket]],Okey!A:B,2,0),"")</f>
        <v/>
      </c>
      <c r="I1778" s="36"/>
      <c r="J1778" s="36" t="s">
        <v>19</v>
      </c>
      <c r="K1778" s="36" t="s">
        <v>11488</v>
      </c>
      <c r="L1778" s="36"/>
    </row>
    <row r="1779" spans="1:12" hidden="1">
      <c r="A1779" s="42">
        <f t="shared" si="28"/>
        <v>1778</v>
      </c>
      <c r="B1779" s="36" t="s">
        <v>8</v>
      </c>
      <c r="C1779" s="36" t="s">
        <v>10059</v>
      </c>
      <c r="D1779" s="9" t="s">
        <v>10516</v>
      </c>
      <c r="E1779" s="9" t="s">
        <v>10285</v>
      </c>
      <c r="F1779" s="9" t="s">
        <v>10282</v>
      </c>
      <c r="G1779" s="36" t="s">
        <v>14</v>
      </c>
      <c r="H1779" s="36" t="str">
        <f>IFERROR(VLOOKUP(Table2[[#This Row], [Ticket]],Okey!A:B,2,0),"")</f>
        <v/>
      </c>
      <c r="I1779" s="36"/>
      <c r="J1779" s="36" t="s">
        <v>19</v>
      </c>
      <c r="K1779" s="36" t="s">
        <v>11488</v>
      </c>
      <c r="L1779" s="36"/>
    </row>
    <row r="1780" spans="1:12" hidden="1">
      <c r="A1780" s="42">
        <f t="shared" si="28"/>
        <v>1779</v>
      </c>
      <c r="B1780" s="36" t="s">
        <v>8</v>
      </c>
      <c r="C1780" s="36" t="s">
        <v>10059</v>
      </c>
      <c r="D1780" s="9" t="s">
        <v>10517</v>
      </c>
      <c r="E1780" s="9" t="s">
        <v>10286</v>
      </c>
      <c r="F1780" s="9" t="s">
        <v>10282</v>
      </c>
      <c r="G1780" s="36" t="s">
        <v>14</v>
      </c>
      <c r="H1780" s="36" t="str">
        <f>IFERROR(VLOOKUP(Table2[[#This Row], [Ticket]],Okey!A:B,2,0),"")</f>
        <v/>
      </c>
      <c r="I1780" s="36"/>
      <c r="J1780" s="36" t="s">
        <v>19</v>
      </c>
      <c r="K1780" s="36" t="s">
        <v>11488</v>
      </c>
      <c r="L1780" s="36"/>
    </row>
    <row r="1781" spans="1:12" hidden="1">
      <c r="A1781" s="42">
        <f t="shared" si="28"/>
        <v>1780</v>
      </c>
      <c r="B1781" s="36" t="s">
        <v>8</v>
      </c>
      <c r="C1781" s="36" t="s">
        <v>10059</v>
      </c>
      <c r="D1781" s="9" t="s">
        <v>10518</v>
      </c>
      <c r="E1781" s="9" t="s">
        <v>10287</v>
      </c>
      <c r="F1781" s="9" t="s">
        <v>10282</v>
      </c>
      <c r="G1781" s="36" t="s">
        <v>14</v>
      </c>
      <c r="H1781" s="36" t="str">
        <f>IFERROR(VLOOKUP(Table2[[#This Row], [Ticket]],Okey!A:B,2,0),"")</f>
        <v/>
      </c>
      <c r="I1781" s="36"/>
      <c r="J1781" s="36" t="s">
        <v>19</v>
      </c>
      <c r="K1781" s="36" t="s">
        <v>11488</v>
      </c>
      <c r="L1781" s="36"/>
    </row>
    <row r="1782" spans="1:12" hidden="1">
      <c r="A1782" s="42">
        <f t="shared" si="28"/>
        <v>1781</v>
      </c>
      <c r="B1782" s="36" t="s">
        <v>8</v>
      </c>
      <c r="C1782" s="36" t="s">
        <v>10059</v>
      </c>
      <c r="D1782" s="9" t="s">
        <v>10519</v>
      </c>
      <c r="E1782" s="9" t="s">
        <v>10288</v>
      </c>
      <c r="F1782" s="9" t="s">
        <v>10282</v>
      </c>
      <c r="G1782" s="36" t="s">
        <v>14</v>
      </c>
      <c r="H1782" s="36" t="str">
        <f>IFERROR(VLOOKUP(Table2[[#This Row], [Ticket]],Okey!A:B,2,0),"")</f>
        <v/>
      </c>
      <c r="I1782" s="36"/>
      <c r="J1782" s="36" t="s">
        <v>19</v>
      </c>
      <c r="K1782" s="36" t="s">
        <v>11488</v>
      </c>
      <c r="L1782" s="36"/>
    </row>
    <row r="1783" spans="1:12" hidden="1">
      <c r="A1783" s="42">
        <f t="shared" si="28"/>
        <v>1782</v>
      </c>
      <c r="B1783" s="36" t="s">
        <v>8</v>
      </c>
      <c r="C1783" s="36" t="s">
        <v>10059</v>
      </c>
      <c r="D1783" s="9" t="s">
        <v>10520</v>
      </c>
      <c r="E1783" s="9" t="s">
        <v>10289</v>
      </c>
      <c r="F1783" s="9" t="s">
        <v>10282</v>
      </c>
      <c r="G1783" s="36" t="s">
        <v>14</v>
      </c>
      <c r="H1783" s="36" t="str">
        <f>IFERROR(VLOOKUP(Table2[[#This Row], [Ticket]],Okey!A:B,2,0),"")</f>
        <v/>
      </c>
      <c r="I1783" s="36"/>
      <c r="J1783" s="36" t="s">
        <v>19</v>
      </c>
      <c r="K1783" s="36" t="s">
        <v>11488</v>
      </c>
      <c r="L1783" s="36"/>
    </row>
    <row r="1784" spans="1:12" hidden="1">
      <c r="A1784" s="42">
        <f t="shared" si="28"/>
        <v>1783</v>
      </c>
      <c r="B1784" s="36" t="s">
        <v>8</v>
      </c>
      <c r="C1784" s="36" t="s">
        <v>10059</v>
      </c>
      <c r="D1784" s="9" t="s">
        <v>10521</v>
      </c>
      <c r="E1784" s="9" t="s">
        <v>10290</v>
      </c>
      <c r="F1784" s="9" t="s">
        <v>10282</v>
      </c>
      <c r="G1784" s="36" t="s">
        <v>14</v>
      </c>
      <c r="H1784" s="36" t="str">
        <f>IFERROR(VLOOKUP(Table2[[#This Row], [Ticket]],Okey!A:B,2,0),"")</f>
        <v/>
      </c>
      <c r="I1784" s="36"/>
      <c r="J1784" s="36" t="s">
        <v>19</v>
      </c>
      <c r="K1784" s="36" t="s">
        <v>11488</v>
      </c>
      <c r="L1784" s="36"/>
    </row>
    <row r="1785" spans="1:12" hidden="1">
      <c r="A1785" s="42">
        <f t="shared" si="28"/>
        <v>1784</v>
      </c>
      <c r="B1785" s="36" t="s">
        <v>8</v>
      </c>
      <c r="C1785" s="36" t="s">
        <v>10059</v>
      </c>
      <c r="D1785" s="9" t="s">
        <v>10522</v>
      </c>
      <c r="E1785" s="9" t="s">
        <v>10291</v>
      </c>
      <c r="F1785" s="9" t="s">
        <v>10282</v>
      </c>
      <c r="G1785" s="36" t="s">
        <v>14</v>
      </c>
      <c r="H1785" s="36" t="str">
        <f>IFERROR(VLOOKUP(Table2[[#This Row], [Ticket]],Okey!A:B,2,0),"")</f>
        <v/>
      </c>
      <c r="I1785" s="36"/>
      <c r="J1785" s="36" t="s">
        <v>19</v>
      </c>
      <c r="K1785" s="36" t="s">
        <v>11488</v>
      </c>
      <c r="L1785" s="36"/>
    </row>
    <row r="1786" spans="1:12" hidden="1">
      <c r="A1786" s="42">
        <f t="shared" si="28"/>
        <v>1785</v>
      </c>
      <c r="B1786" s="36" t="s">
        <v>8</v>
      </c>
      <c r="C1786" s="36" t="s">
        <v>10059</v>
      </c>
      <c r="D1786" s="9" t="s">
        <v>10523</v>
      </c>
      <c r="E1786" s="9" t="s">
        <v>10292</v>
      </c>
      <c r="F1786" s="9" t="s">
        <v>10282</v>
      </c>
      <c r="G1786" s="36" t="s">
        <v>14</v>
      </c>
      <c r="H1786" s="36" t="str">
        <f>IFERROR(VLOOKUP(Table2[[#This Row], [Ticket]],Okey!A:B,2,0),"")</f>
        <v/>
      </c>
      <c r="I1786" s="36"/>
      <c r="J1786" s="36" t="s">
        <v>19</v>
      </c>
      <c r="K1786" s="36" t="s">
        <v>11488</v>
      </c>
      <c r="L1786" s="36"/>
    </row>
    <row r="1787" spans="1:12" hidden="1">
      <c r="A1787" s="42">
        <f t="shared" si="28"/>
        <v>1786</v>
      </c>
      <c r="B1787" s="36" t="s">
        <v>8</v>
      </c>
      <c r="C1787" s="36" t="s">
        <v>10059</v>
      </c>
      <c r="D1787" s="9" t="s">
        <v>10524</v>
      </c>
      <c r="E1787" s="9" t="s">
        <v>10293</v>
      </c>
      <c r="F1787" s="9" t="s">
        <v>10282</v>
      </c>
      <c r="G1787" s="36" t="s">
        <v>14</v>
      </c>
      <c r="H1787" s="36" t="str">
        <f>IFERROR(VLOOKUP(Table2[[#This Row], [Ticket]],Okey!A:B,2,0),"")</f>
        <v/>
      </c>
      <c r="I1787" s="36"/>
      <c r="J1787" s="36" t="s">
        <v>19</v>
      </c>
      <c r="K1787" s="36" t="s">
        <v>11488</v>
      </c>
      <c r="L1787" s="36"/>
    </row>
    <row r="1788" spans="1:12" hidden="1">
      <c r="A1788" s="42">
        <f t="shared" si="28"/>
        <v>1787</v>
      </c>
      <c r="B1788" s="36" t="s">
        <v>8</v>
      </c>
      <c r="C1788" s="36" t="s">
        <v>10059</v>
      </c>
      <c r="D1788" s="9" t="s">
        <v>10525</v>
      </c>
      <c r="E1788" s="9" t="s">
        <v>10294</v>
      </c>
      <c r="F1788" s="9" t="s">
        <v>10282</v>
      </c>
      <c r="G1788" s="36" t="s">
        <v>14</v>
      </c>
      <c r="H1788" s="36" t="str">
        <f>IFERROR(VLOOKUP(Table2[[#This Row], [Ticket]],Okey!A:B,2,0),"")</f>
        <v/>
      </c>
      <c r="I1788" s="36"/>
      <c r="J1788" s="36" t="s">
        <v>19</v>
      </c>
      <c r="K1788" s="36" t="s">
        <v>11488</v>
      </c>
      <c r="L1788" s="36"/>
    </row>
    <row r="1789" spans="1:12" hidden="1">
      <c r="A1789" s="42">
        <f t="shared" si="28"/>
        <v>1788</v>
      </c>
      <c r="B1789" s="36" t="s">
        <v>8</v>
      </c>
      <c r="C1789" s="36" t="s">
        <v>10059</v>
      </c>
      <c r="D1789" s="9" t="s">
        <v>10526</v>
      </c>
      <c r="E1789" s="9" t="s">
        <v>10295</v>
      </c>
      <c r="F1789" s="9" t="s">
        <v>10282</v>
      </c>
      <c r="G1789" s="36" t="s">
        <v>14</v>
      </c>
      <c r="H1789" s="36" t="str">
        <f>IFERROR(VLOOKUP(Table2[[#This Row], [Ticket]],Okey!A:B,2,0),"")</f>
        <v/>
      </c>
      <c r="I1789" s="36"/>
      <c r="J1789" s="36" t="s">
        <v>19</v>
      </c>
      <c r="K1789" s="36" t="s">
        <v>11488</v>
      </c>
      <c r="L1789" s="36"/>
    </row>
    <row r="1790" spans="1:12" hidden="1">
      <c r="A1790" s="42">
        <f t="shared" si="28"/>
        <v>1789</v>
      </c>
      <c r="B1790" s="36" t="s">
        <v>8</v>
      </c>
      <c r="C1790" s="36" t="s">
        <v>10059</v>
      </c>
      <c r="D1790" s="9" t="s">
        <v>10527</v>
      </c>
      <c r="E1790" s="9" t="s">
        <v>10296</v>
      </c>
      <c r="F1790" s="9" t="s">
        <v>10282</v>
      </c>
      <c r="G1790" s="36" t="s">
        <v>14</v>
      </c>
      <c r="H1790" s="36" t="str">
        <f>IFERROR(VLOOKUP(Table2[[#This Row], [Ticket]],Okey!A:B,2,0),"")</f>
        <v/>
      </c>
      <c r="I1790" s="36"/>
      <c r="J1790" s="36" t="s">
        <v>19</v>
      </c>
      <c r="K1790" s="36" t="s">
        <v>11488</v>
      </c>
      <c r="L1790" s="36"/>
    </row>
    <row r="1791" spans="1:12" hidden="1">
      <c r="A1791" s="42">
        <f t="shared" si="28"/>
        <v>1790</v>
      </c>
      <c r="B1791" s="36" t="s">
        <v>8</v>
      </c>
      <c r="C1791" s="36" t="s">
        <v>10059</v>
      </c>
      <c r="D1791" s="9" t="s">
        <v>10528</v>
      </c>
      <c r="E1791" s="9" t="s">
        <v>10297</v>
      </c>
      <c r="F1791" s="9" t="s">
        <v>10282</v>
      </c>
      <c r="G1791" s="36" t="s">
        <v>14</v>
      </c>
      <c r="H1791" s="36" t="str">
        <f>IFERROR(VLOOKUP(Table2[[#This Row], [Ticket]],Okey!A:B,2,0),"")</f>
        <v/>
      </c>
      <c r="I1791" s="36"/>
      <c r="J1791" s="36" t="s">
        <v>19</v>
      </c>
      <c r="K1791" s="36" t="s">
        <v>11488</v>
      </c>
      <c r="L1791" s="36"/>
    </row>
    <row r="1792" spans="1:12" hidden="1">
      <c r="A1792" s="42">
        <f t="shared" si="28"/>
        <v>1791</v>
      </c>
      <c r="B1792" s="36" t="s">
        <v>8</v>
      </c>
      <c r="C1792" s="36" t="s">
        <v>10059</v>
      </c>
      <c r="D1792" s="9" t="s">
        <v>10529</v>
      </c>
      <c r="E1792" s="9" t="s">
        <v>10298</v>
      </c>
      <c r="F1792" s="9" t="s">
        <v>10282</v>
      </c>
      <c r="G1792" s="36" t="s">
        <v>14</v>
      </c>
      <c r="H1792" s="36" t="str">
        <f>IFERROR(VLOOKUP(Table2[[#This Row], [Ticket]],Okey!A:B,2,0),"")</f>
        <v/>
      </c>
      <c r="I1792" s="36"/>
      <c r="J1792" s="36" t="s">
        <v>19</v>
      </c>
      <c r="K1792" s="36" t="s">
        <v>11488</v>
      </c>
      <c r="L1792" s="36"/>
    </row>
    <row r="1793" spans="1:12" hidden="1">
      <c r="A1793" s="42">
        <f t="shared" si="28"/>
        <v>1792</v>
      </c>
      <c r="B1793" s="36" t="s">
        <v>8</v>
      </c>
      <c r="C1793" s="36" t="s">
        <v>10059</v>
      </c>
      <c r="D1793" s="9" t="s">
        <v>10530</v>
      </c>
      <c r="E1793" s="9" t="s">
        <v>10299</v>
      </c>
      <c r="F1793" s="9" t="s">
        <v>10282</v>
      </c>
      <c r="G1793" s="36" t="s">
        <v>14</v>
      </c>
      <c r="H1793" s="36" t="str">
        <f>IFERROR(VLOOKUP(Table2[[#This Row], [Ticket]],Okey!A:B,2,0),"")</f>
        <v/>
      </c>
      <c r="I1793" s="36"/>
      <c r="J1793" s="36" t="s">
        <v>19</v>
      </c>
      <c r="K1793" s="36" t="s">
        <v>11488</v>
      </c>
      <c r="L1793" s="36"/>
    </row>
    <row r="1794" spans="1:12" hidden="1">
      <c r="A1794" s="42">
        <f t="shared" si="28"/>
        <v>1793</v>
      </c>
      <c r="B1794" s="36" t="s">
        <v>8</v>
      </c>
      <c r="C1794" s="36" t="s">
        <v>10059</v>
      </c>
      <c r="D1794" s="9" t="s">
        <v>10531</v>
      </c>
      <c r="E1794" s="9" t="s">
        <v>10300</v>
      </c>
      <c r="F1794" s="9" t="s">
        <v>10282</v>
      </c>
      <c r="G1794" s="36" t="s">
        <v>14</v>
      </c>
      <c r="H1794" s="36" t="str">
        <f>IFERROR(VLOOKUP(Table2[[#This Row], [Ticket]],Okey!A:B,2,0),"")</f>
        <v/>
      </c>
      <c r="I1794" s="36"/>
      <c r="J1794" s="36" t="s">
        <v>19</v>
      </c>
      <c r="K1794" s="36" t="s">
        <v>11488</v>
      </c>
      <c r="L1794" s="36"/>
    </row>
    <row r="1795" spans="1:12" hidden="1">
      <c r="A1795" s="42">
        <f t="shared" si="28"/>
        <v>1794</v>
      </c>
      <c r="B1795" s="36" t="s">
        <v>8</v>
      </c>
      <c r="C1795" s="36" t="s">
        <v>10059</v>
      </c>
      <c r="D1795" s="9" t="s">
        <v>10532</v>
      </c>
      <c r="E1795" s="9" t="s">
        <v>10301</v>
      </c>
      <c r="F1795" s="9" t="s">
        <v>10282</v>
      </c>
      <c r="G1795" s="36" t="s">
        <v>14</v>
      </c>
      <c r="H1795" s="36" t="str">
        <f>IFERROR(VLOOKUP(Table2[[#This Row], [Ticket]],Okey!A:B,2,0),"")</f>
        <v/>
      </c>
      <c r="I1795" s="36"/>
      <c r="J1795" s="36" t="s">
        <v>19</v>
      </c>
      <c r="K1795" s="36" t="s">
        <v>11488</v>
      </c>
      <c r="L1795" s="36"/>
    </row>
    <row r="1796" spans="1:12" hidden="1">
      <c r="A1796" s="42">
        <f t="shared" si="28"/>
        <v>1795</v>
      </c>
      <c r="B1796" s="36" t="s">
        <v>8</v>
      </c>
      <c r="C1796" s="36" t="s">
        <v>10059</v>
      </c>
      <c r="D1796" s="9" t="s">
        <v>10533</v>
      </c>
      <c r="E1796" s="9" t="s">
        <v>10302</v>
      </c>
      <c r="F1796" s="9" t="s">
        <v>10282</v>
      </c>
      <c r="G1796" s="36" t="s">
        <v>14</v>
      </c>
      <c r="H1796" s="36" t="str">
        <f>IFERROR(VLOOKUP(Table2[[#This Row], [Ticket]],Okey!A:B,2,0),"")</f>
        <v/>
      </c>
      <c r="I1796" s="36"/>
      <c r="J1796" s="36" t="s">
        <v>19</v>
      </c>
      <c r="K1796" s="36" t="s">
        <v>11488</v>
      </c>
      <c r="L1796" s="36"/>
    </row>
    <row r="1797" spans="1:12" hidden="1">
      <c r="A1797" s="42">
        <f t="shared" si="28"/>
        <v>1796</v>
      </c>
      <c r="B1797" s="36" t="s">
        <v>8</v>
      </c>
      <c r="C1797" s="36" t="s">
        <v>10059</v>
      </c>
      <c r="D1797" s="9" t="s">
        <v>10534</v>
      </c>
      <c r="E1797" s="9" t="s">
        <v>10303</v>
      </c>
      <c r="F1797" s="9" t="s">
        <v>10282</v>
      </c>
      <c r="G1797" s="36" t="s">
        <v>14</v>
      </c>
      <c r="H1797" s="36" t="str">
        <f>IFERROR(VLOOKUP(Table2[[#This Row], [Ticket]],Okey!A:B,2,0),"")</f>
        <v/>
      </c>
      <c r="I1797" s="36"/>
      <c r="J1797" s="36" t="s">
        <v>19</v>
      </c>
      <c r="K1797" s="36" t="s">
        <v>11488</v>
      </c>
      <c r="L1797" s="36"/>
    </row>
    <row r="1798" spans="1:12" hidden="1">
      <c r="A1798" s="42">
        <f t="shared" si="28"/>
        <v>1797</v>
      </c>
      <c r="B1798" s="36" t="s">
        <v>8</v>
      </c>
      <c r="C1798" s="36" t="s">
        <v>10059</v>
      </c>
      <c r="D1798" s="9" t="s">
        <v>10535</v>
      </c>
      <c r="E1798" s="9" t="s">
        <v>10304</v>
      </c>
      <c r="F1798" s="9" t="s">
        <v>10282</v>
      </c>
      <c r="G1798" s="36" t="s">
        <v>14</v>
      </c>
      <c r="H1798" s="36" t="str">
        <f>IFERROR(VLOOKUP(Table2[[#This Row], [Ticket]],Okey!A:B,2,0),"")</f>
        <v/>
      </c>
      <c r="I1798" s="36"/>
      <c r="J1798" s="36" t="s">
        <v>19</v>
      </c>
      <c r="K1798" s="36" t="s">
        <v>11488</v>
      </c>
      <c r="L1798" s="36"/>
    </row>
    <row r="1799" spans="1:12" hidden="1">
      <c r="A1799" s="42">
        <f t="shared" si="28"/>
        <v>1798</v>
      </c>
      <c r="B1799" s="36" t="s">
        <v>8</v>
      </c>
      <c r="C1799" s="36" t="s">
        <v>10059</v>
      </c>
      <c r="D1799" s="9" t="s">
        <v>10536</v>
      </c>
      <c r="E1799" s="9" t="s">
        <v>10305</v>
      </c>
      <c r="F1799" s="9" t="s">
        <v>10282</v>
      </c>
      <c r="G1799" s="36" t="s">
        <v>14</v>
      </c>
      <c r="H1799" s="36" t="str">
        <f>IFERROR(VLOOKUP(Table2[[#This Row], [Ticket]],Okey!A:B,2,0),"")</f>
        <v/>
      </c>
      <c r="I1799" s="36"/>
      <c r="J1799" s="36" t="s">
        <v>19</v>
      </c>
      <c r="K1799" s="36" t="s">
        <v>11488</v>
      </c>
      <c r="L1799" s="36"/>
    </row>
    <row r="1800" spans="1:12" hidden="1">
      <c r="A1800" s="42">
        <f t="shared" si="28"/>
        <v>1799</v>
      </c>
      <c r="B1800" s="36" t="s">
        <v>8</v>
      </c>
      <c r="C1800" s="36" t="s">
        <v>10059</v>
      </c>
      <c r="D1800" s="9" t="s">
        <v>10537</v>
      </c>
      <c r="E1800" s="9" t="s">
        <v>10306</v>
      </c>
      <c r="F1800" s="9" t="s">
        <v>10282</v>
      </c>
      <c r="G1800" s="36" t="s">
        <v>14</v>
      </c>
      <c r="H1800" s="36" t="str">
        <f>IFERROR(VLOOKUP(Table2[[#This Row], [Ticket]],Okey!A:B,2,0),"")</f>
        <v/>
      </c>
      <c r="I1800" s="36"/>
      <c r="J1800" s="36" t="s">
        <v>19</v>
      </c>
      <c r="K1800" s="36" t="s">
        <v>11488</v>
      </c>
      <c r="L1800" s="36"/>
    </row>
    <row r="1801" spans="1:12" hidden="1">
      <c r="A1801" s="42">
        <f t="shared" si="28"/>
        <v>1800</v>
      </c>
      <c r="B1801" s="36" t="s">
        <v>8</v>
      </c>
      <c r="C1801" s="36" t="s">
        <v>10059</v>
      </c>
      <c r="D1801" s="9" t="s">
        <v>10538</v>
      </c>
      <c r="E1801" s="9" t="s">
        <v>10307</v>
      </c>
      <c r="F1801" s="9" t="s">
        <v>10282</v>
      </c>
      <c r="G1801" s="36" t="s">
        <v>14</v>
      </c>
      <c r="H1801" s="36" t="str">
        <f>IFERROR(VLOOKUP(Table2[[#This Row], [Ticket]],Okey!A:B,2,0),"")</f>
        <v/>
      </c>
      <c r="I1801" s="36"/>
      <c r="J1801" s="36" t="s">
        <v>19</v>
      </c>
      <c r="K1801" s="36" t="s">
        <v>11488</v>
      </c>
      <c r="L1801" s="36"/>
    </row>
    <row r="1802" spans="1:12" hidden="1">
      <c r="A1802" s="42">
        <f t="shared" si="28"/>
        <v>1801</v>
      </c>
      <c r="B1802" s="36" t="s">
        <v>8</v>
      </c>
      <c r="C1802" s="36" t="s">
        <v>10059</v>
      </c>
      <c r="D1802" s="9" t="s">
        <v>10539</v>
      </c>
      <c r="E1802" s="9" t="s">
        <v>10308</v>
      </c>
      <c r="F1802" s="9" t="s">
        <v>10282</v>
      </c>
      <c r="G1802" s="36" t="s">
        <v>14</v>
      </c>
      <c r="H1802" s="36" t="str">
        <f>IFERROR(VLOOKUP(Table2[[#This Row], [Ticket]],Okey!A:B,2,0),"")</f>
        <v/>
      </c>
      <c r="I1802" s="36"/>
      <c r="J1802" s="36" t="s">
        <v>19</v>
      </c>
      <c r="K1802" s="36" t="s">
        <v>11488</v>
      </c>
      <c r="L1802" s="36"/>
    </row>
    <row r="1803" spans="1:12" hidden="1">
      <c r="A1803" s="42">
        <f t="shared" si="28"/>
        <v>1802</v>
      </c>
      <c r="B1803" s="36" t="s">
        <v>8</v>
      </c>
      <c r="C1803" s="36" t="s">
        <v>10059</v>
      </c>
      <c r="D1803" s="9" t="s">
        <v>10540</v>
      </c>
      <c r="E1803" s="9" t="s">
        <v>10309</v>
      </c>
      <c r="F1803" s="9" t="s">
        <v>10282</v>
      </c>
      <c r="G1803" s="36" t="s">
        <v>14</v>
      </c>
      <c r="H1803" s="36" t="str">
        <f>IFERROR(VLOOKUP(Table2[[#This Row], [Ticket]],Okey!A:B,2,0),"")</f>
        <v/>
      </c>
      <c r="I1803" s="36"/>
      <c r="J1803" s="36" t="s">
        <v>19</v>
      </c>
      <c r="K1803" s="36" t="s">
        <v>11488</v>
      </c>
      <c r="L1803" s="36"/>
    </row>
    <row r="1804" spans="1:12" hidden="1">
      <c r="A1804" s="42">
        <f t="shared" si="28"/>
        <v>1803</v>
      </c>
      <c r="B1804" s="36" t="s">
        <v>8</v>
      </c>
      <c r="C1804" s="36" t="s">
        <v>10059</v>
      </c>
      <c r="D1804" s="9" t="s">
        <v>10541</v>
      </c>
      <c r="E1804" s="9" t="s">
        <v>10310</v>
      </c>
      <c r="F1804" s="9" t="s">
        <v>10282</v>
      </c>
      <c r="G1804" s="36" t="s">
        <v>14</v>
      </c>
      <c r="H1804" s="36" t="str">
        <f>IFERROR(VLOOKUP(Table2[[#This Row], [Ticket]],Okey!A:B,2,0),"")</f>
        <v/>
      </c>
      <c r="I1804" s="36"/>
      <c r="J1804" s="36" t="s">
        <v>19</v>
      </c>
      <c r="K1804" s="36" t="s">
        <v>11488</v>
      </c>
      <c r="L1804" s="36"/>
    </row>
    <row r="1805" spans="1:12" hidden="1">
      <c r="A1805" s="42">
        <f t="shared" si="28"/>
        <v>1804</v>
      </c>
      <c r="B1805" s="36" t="s">
        <v>8</v>
      </c>
      <c r="C1805" s="36" t="s">
        <v>10059</v>
      </c>
      <c r="D1805" s="9" t="s">
        <v>10542</v>
      </c>
      <c r="E1805" s="9" t="s">
        <v>10311</v>
      </c>
      <c r="F1805" s="9" t="s">
        <v>10282</v>
      </c>
      <c r="G1805" s="36" t="s">
        <v>14</v>
      </c>
      <c r="H1805" s="36" t="str">
        <f>IFERROR(VLOOKUP(Table2[[#This Row], [Ticket]],Okey!A:B,2,0),"")</f>
        <v/>
      </c>
      <c r="I1805" s="36"/>
      <c r="J1805" s="36" t="s">
        <v>19</v>
      </c>
      <c r="K1805" s="36" t="s">
        <v>11488</v>
      </c>
      <c r="L1805" s="36"/>
    </row>
    <row r="1806" spans="1:12" hidden="1">
      <c r="A1806" s="42">
        <f t="shared" si="28"/>
        <v>1805</v>
      </c>
      <c r="B1806" s="36" t="s">
        <v>8</v>
      </c>
      <c r="C1806" s="36" t="s">
        <v>10059</v>
      </c>
      <c r="D1806" s="9" t="s">
        <v>10543</v>
      </c>
      <c r="E1806" s="9" t="s">
        <v>10312</v>
      </c>
      <c r="F1806" s="9" t="s">
        <v>10282</v>
      </c>
      <c r="G1806" s="36" t="s">
        <v>14</v>
      </c>
      <c r="H1806" s="36" t="str">
        <f>IFERROR(VLOOKUP(Table2[[#This Row], [Ticket]],Okey!A:B,2,0),"")</f>
        <v/>
      </c>
      <c r="I1806" s="36"/>
      <c r="J1806" s="36" t="s">
        <v>19</v>
      </c>
      <c r="K1806" s="36" t="s">
        <v>11488</v>
      </c>
      <c r="L1806" s="36"/>
    </row>
    <row r="1807" spans="1:12" hidden="1">
      <c r="A1807" s="42">
        <f t="shared" si="28"/>
        <v>1806</v>
      </c>
      <c r="B1807" s="36" t="s">
        <v>8</v>
      </c>
      <c r="C1807" s="36" t="s">
        <v>10059</v>
      </c>
      <c r="D1807" s="9" t="s">
        <v>10544</v>
      </c>
      <c r="E1807" s="9" t="s">
        <v>10313</v>
      </c>
      <c r="F1807" s="9" t="s">
        <v>10282</v>
      </c>
      <c r="G1807" s="36" t="s">
        <v>14</v>
      </c>
      <c r="H1807" s="36" t="str">
        <f>IFERROR(VLOOKUP(Table2[[#This Row], [Ticket]],Okey!A:B,2,0),"")</f>
        <v/>
      </c>
      <c r="I1807" s="36"/>
      <c r="J1807" s="36" t="s">
        <v>19</v>
      </c>
      <c r="K1807" s="36" t="s">
        <v>11488</v>
      </c>
      <c r="L1807" s="36"/>
    </row>
    <row r="1808" spans="1:12" hidden="1">
      <c r="A1808" s="42">
        <f t="shared" si="28"/>
        <v>1807</v>
      </c>
      <c r="B1808" s="36" t="s">
        <v>8</v>
      </c>
      <c r="C1808" s="36" t="s">
        <v>10059</v>
      </c>
      <c r="D1808" s="9" t="s">
        <v>10545</v>
      </c>
      <c r="E1808" s="9" t="s">
        <v>10314</v>
      </c>
      <c r="F1808" s="9" t="s">
        <v>10282</v>
      </c>
      <c r="G1808" s="36" t="s">
        <v>14</v>
      </c>
      <c r="H1808" s="36" t="str">
        <f>IFERROR(VLOOKUP(Table2[[#This Row], [Ticket]],Okey!A:B,2,0),"")</f>
        <v/>
      </c>
      <c r="I1808" s="36"/>
      <c r="J1808" s="36" t="s">
        <v>19</v>
      </c>
      <c r="K1808" s="36" t="s">
        <v>11488</v>
      </c>
      <c r="L1808" s="36"/>
    </row>
    <row r="1809" spans="1:12" hidden="1">
      <c r="A1809" s="42">
        <f t="shared" si="28"/>
        <v>1808</v>
      </c>
      <c r="B1809" s="36" t="s">
        <v>8</v>
      </c>
      <c r="C1809" s="36" t="s">
        <v>10059</v>
      </c>
      <c r="D1809" s="9" t="s">
        <v>10546</v>
      </c>
      <c r="E1809" s="9" t="s">
        <v>10315</v>
      </c>
      <c r="F1809" s="9" t="s">
        <v>10282</v>
      </c>
      <c r="G1809" s="36" t="s">
        <v>14</v>
      </c>
      <c r="H1809" s="36" t="str">
        <f>IFERROR(VLOOKUP(Table2[[#This Row], [Ticket]],Okey!A:B,2,0),"")</f>
        <v/>
      </c>
      <c r="I1809" s="36"/>
      <c r="J1809" s="36" t="s">
        <v>19</v>
      </c>
      <c r="K1809" s="36" t="s">
        <v>11488</v>
      </c>
      <c r="L1809" s="36"/>
    </row>
    <row r="1810" spans="1:12" hidden="1">
      <c r="A1810" s="42">
        <f t="shared" si="28"/>
        <v>1809</v>
      </c>
      <c r="B1810" s="36" t="s">
        <v>8</v>
      </c>
      <c r="C1810" s="36" t="s">
        <v>10059</v>
      </c>
      <c r="D1810" s="9" t="s">
        <v>10547</v>
      </c>
      <c r="E1810" s="9" t="s">
        <v>10316</v>
      </c>
      <c r="F1810" s="9" t="s">
        <v>10282</v>
      </c>
      <c r="G1810" s="36" t="s">
        <v>14</v>
      </c>
      <c r="H1810" s="36" t="str">
        <f>IFERROR(VLOOKUP(Table2[[#This Row], [Ticket]],Okey!A:B,2,0),"")</f>
        <v/>
      </c>
      <c r="I1810" s="36"/>
      <c r="J1810" s="36" t="s">
        <v>19</v>
      </c>
      <c r="K1810" s="36" t="s">
        <v>11488</v>
      </c>
      <c r="L1810" s="36"/>
    </row>
    <row r="1811" spans="1:12" hidden="1">
      <c r="A1811" s="42">
        <f t="shared" si="28"/>
        <v>1810</v>
      </c>
      <c r="B1811" s="36" t="s">
        <v>8</v>
      </c>
      <c r="C1811" s="36" t="s">
        <v>10059</v>
      </c>
      <c r="D1811" s="9" t="s">
        <v>10548</v>
      </c>
      <c r="E1811" s="9" t="s">
        <v>10317</v>
      </c>
      <c r="F1811" s="9" t="s">
        <v>10282</v>
      </c>
      <c r="G1811" s="36" t="s">
        <v>14</v>
      </c>
      <c r="H1811" s="36" t="str">
        <f>IFERROR(VLOOKUP(Table2[[#This Row], [Ticket]],Okey!A:B,2,0),"")</f>
        <v/>
      </c>
      <c r="I1811" s="36"/>
      <c r="J1811" s="36" t="s">
        <v>19</v>
      </c>
      <c r="K1811" s="36" t="s">
        <v>11488</v>
      </c>
      <c r="L1811" s="36"/>
    </row>
    <row r="1812" spans="1:12" hidden="1">
      <c r="A1812" s="42">
        <f t="shared" si="28"/>
        <v>1811</v>
      </c>
      <c r="B1812" s="36" t="s">
        <v>8</v>
      </c>
      <c r="C1812" s="36" t="s">
        <v>10059</v>
      </c>
      <c r="D1812" s="9" t="s">
        <v>10549</v>
      </c>
      <c r="E1812" s="9" t="s">
        <v>10318</v>
      </c>
      <c r="F1812" s="9" t="s">
        <v>10282</v>
      </c>
      <c r="G1812" s="36" t="s">
        <v>14</v>
      </c>
      <c r="H1812" s="36" t="str">
        <f>IFERROR(VLOOKUP(Table2[[#This Row], [Ticket]],Okey!A:B,2,0),"")</f>
        <v/>
      </c>
      <c r="I1812" s="36"/>
      <c r="J1812" s="36" t="s">
        <v>19</v>
      </c>
      <c r="K1812" s="36" t="s">
        <v>11488</v>
      </c>
      <c r="L1812" s="36"/>
    </row>
    <row r="1813" spans="1:12" hidden="1">
      <c r="A1813" s="42">
        <f t="shared" si="28"/>
        <v>1812</v>
      </c>
      <c r="B1813" s="36" t="s">
        <v>8</v>
      </c>
      <c r="C1813" s="36" t="s">
        <v>10059</v>
      </c>
      <c r="D1813" s="9" t="s">
        <v>10550</v>
      </c>
      <c r="E1813" s="9" t="s">
        <v>10319</v>
      </c>
      <c r="F1813" s="9" t="s">
        <v>10282</v>
      </c>
      <c r="G1813" s="36" t="s">
        <v>14</v>
      </c>
      <c r="H1813" s="36" t="str">
        <f>IFERROR(VLOOKUP(Table2[[#This Row], [Ticket]],Okey!A:B,2,0),"")</f>
        <v/>
      </c>
      <c r="I1813" s="36"/>
      <c r="J1813" s="36" t="s">
        <v>19</v>
      </c>
      <c r="K1813" s="36" t="s">
        <v>11488</v>
      </c>
      <c r="L1813" s="36"/>
    </row>
    <row r="1814" spans="1:12" hidden="1">
      <c r="A1814" s="42">
        <f t="shared" ref="A1814:A1877" si="29">1+A1813</f>
        <v>1813</v>
      </c>
      <c r="B1814" s="36" t="s">
        <v>8</v>
      </c>
      <c r="C1814" s="36" t="s">
        <v>10059</v>
      </c>
      <c r="D1814" s="9" t="s">
        <v>10551</v>
      </c>
      <c r="E1814" s="9" t="s">
        <v>10320</v>
      </c>
      <c r="F1814" s="9" t="s">
        <v>10282</v>
      </c>
      <c r="G1814" s="36" t="s">
        <v>14</v>
      </c>
      <c r="H1814" s="36" t="str">
        <f>IFERROR(VLOOKUP(Table2[[#This Row], [Ticket]],Okey!A:B,2,0),"")</f>
        <v/>
      </c>
      <c r="I1814" s="36"/>
      <c r="J1814" s="36" t="s">
        <v>19</v>
      </c>
      <c r="K1814" s="36" t="s">
        <v>11488</v>
      </c>
      <c r="L1814" s="36"/>
    </row>
    <row r="1815" spans="1:12" hidden="1">
      <c r="A1815" s="42">
        <f t="shared" si="29"/>
        <v>1814</v>
      </c>
      <c r="B1815" s="36" t="s">
        <v>8</v>
      </c>
      <c r="C1815" s="36" t="s">
        <v>10059</v>
      </c>
      <c r="D1815" s="9" t="s">
        <v>10552</v>
      </c>
      <c r="E1815" s="9" t="s">
        <v>10321</v>
      </c>
      <c r="F1815" s="9" t="s">
        <v>10282</v>
      </c>
      <c r="G1815" s="36" t="s">
        <v>14</v>
      </c>
      <c r="H1815" s="36" t="str">
        <f>IFERROR(VLOOKUP(Table2[[#This Row], [Ticket]],Okey!A:B,2,0),"")</f>
        <v/>
      </c>
      <c r="I1815" s="36"/>
      <c r="J1815" s="36" t="s">
        <v>19</v>
      </c>
      <c r="K1815" s="36" t="s">
        <v>11488</v>
      </c>
      <c r="L1815" s="36"/>
    </row>
    <row r="1816" spans="1:12" hidden="1">
      <c r="A1816" s="42">
        <f t="shared" si="29"/>
        <v>1815</v>
      </c>
      <c r="B1816" s="36" t="s">
        <v>8</v>
      </c>
      <c r="C1816" s="36" t="s">
        <v>10059</v>
      </c>
      <c r="D1816" s="9" t="s">
        <v>10553</v>
      </c>
      <c r="E1816" s="9" t="s">
        <v>10322</v>
      </c>
      <c r="F1816" s="9" t="s">
        <v>10282</v>
      </c>
      <c r="G1816" s="36" t="s">
        <v>14</v>
      </c>
      <c r="H1816" s="36" t="str">
        <f>IFERROR(VLOOKUP(Table2[[#This Row], [Ticket]],Okey!A:B,2,0),"")</f>
        <v/>
      </c>
      <c r="I1816" s="36"/>
      <c r="J1816" s="36" t="s">
        <v>19</v>
      </c>
      <c r="K1816" s="36" t="s">
        <v>11488</v>
      </c>
      <c r="L1816" s="36"/>
    </row>
    <row r="1817" spans="1:12" hidden="1">
      <c r="A1817" s="42">
        <f t="shared" si="29"/>
        <v>1816</v>
      </c>
      <c r="B1817" s="36" t="s">
        <v>8</v>
      </c>
      <c r="C1817" s="36" t="s">
        <v>10059</v>
      </c>
      <c r="D1817" s="9" t="s">
        <v>10554</v>
      </c>
      <c r="E1817" s="9" t="s">
        <v>10323</v>
      </c>
      <c r="F1817" s="9" t="s">
        <v>10282</v>
      </c>
      <c r="G1817" s="36" t="s">
        <v>14</v>
      </c>
      <c r="H1817" s="36" t="str">
        <f>IFERROR(VLOOKUP(Table2[[#This Row], [Ticket]],Okey!A:B,2,0),"")</f>
        <v/>
      </c>
      <c r="I1817" s="36"/>
      <c r="J1817" s="36" t="s">
        <v>19</v>
      </c>
      <c r="K1817" s="36" t="s">
        <v>11488</v>
      </c>
      <c r="L1817" s="36"/>
    </row>
    <row r="1818" spans="1:12" hidden="1">
      <c r="A1818" s="42">
        <f t="shared" si="29"/>
        <v>1817</v>
      </c>
      <c r="B1818" s="36" t="s">
        <v>8</v>
      </c>
      <c r="C1818" s="36" t="s">
        <v>10059</v>
      </c>
      <c r="D1818" s="9" t="s">
        <v>10555</v>
      </c>
      <c r="E1818" s="9" t="s">
        <v>10324</v>
      </c>
      <c r="F1818" s="9" t="s">
        <v>10282</v>
      </c>
      <c r="G1818" s="36" t="s">
        <v>14</v>
      </c>
      <c r="H1818" s="36" t="str">
        <f>IFERROR(VLOOKUP(Table2[[#This Row], [Ticket]],Okey!A:B,2,0),"")</f>
        <v/>
      </c>
      <c r="I1818" s="36"/>
      <c r="J1818" s="36" t="s">
        <v>19</v>
      </c>
      <c r="K1818" s="36" t="s">
        <v>11488</v>
      </c>
      <c r="L1818" s="36"/>
    </row>
    <row r="1819" spans="1:12" hidden="1">
      <c r="A1819" s="42">
        <f t="shared" si="29"/>
        <v>1818</v>
      </c>
      <c r="B1819" s="36" t="s">
        <v>8</v>
      </c>
      <c r="C1819" s="36" t="s">
        <v>10059</v>
      </c>
      <c r="D1819" s="9" t="s">
        <v>10556</v>
      </c>
      <c r="E1819" s="9" t="s">
        <v>10325</v>
      </c>
      <c r="F1819" s="9" t="s">
        <v>10282</v>
      </c>
      <c r="G1819" s="36" t="s">
        <v>14</v>
      </c>
      <c r="H1819" s="36" t="str">
        <f>IFERROR(VLOOKUP(Table2[[#This Row], [Ticket]],Okey!A:B,2,0),"")</f>
        <v/>
      </c>
      <c r="I1819" s="36"/>
      <c r="J1819" s="36" t="s">
        <v>19</v>
      </c>
      <c r="K1819" s="36" t="s">
        <v>11488</v>
      </c>
      <c r="L1819" s="36"/>
    </row>
    <row r="1820" spans="1:12" hidden="1">
      <c r="A1820" s="42">
        <f t="shared" si="29"/>
        <v>1819</v>
      </c>
      <c r="B1820" s="36" t="s">
        <v>8</v>
      </c>
      <c r="C1820" s="36" t="s">
        <v>10059</v>
      </c>
      <c r="D1820" s="9" t="s">
        <v>10557</v>
      </c>
      <c r="E1820" s="9" t="s">
        <v>10326</v>
      </c>
      <c r="F1820" s="9" t="s">
        <v>10282</v>
      </c>
      <c r="G1820" s="36" t="s">
        <v>14</v>
      </c>
      <c r="H1820" s="36" t="str">
        <f>IFERROR(VLOOKUP(Table2[[#This Row], [Ticket]],Okey!A:B,2,0),"")</f>
        <v/>
      </c>
      <c r="I1820" s="36"/>
      <c r="J1820" s="36" t="s">
        <v>19</v>
      </c>
      <c r="K1820" s="36" t="s">
        <v>11488</v>
      </c>
      <c r="L1820" s="36"/>
    </row>
    <row r="1821" spans="1:12" hidden="1">
      <c r="A1821" s="42">
        <f t="shared" si="29"/>
        <v>1820</v>
      </c>
      <c r="B1821" s="36" t="s">
        <v>8</v>
      </c>
      <c r="C1821" s="36" t="s">
        <v>10059</v>
      </c>
      <c r="D1821" s="9" t="s">
        <v>10558</v>
      </c>
      <c r="E1821" s="9" t="s">
        <v>10327</v>
      </c>
      <c r="F1821" s="9" t="s">
        <v>10282</v>
      </c>
      <c r="G1821" s="36" t="s">
        <v>14</v>
      </c>
      <c r="H1821" s="36" t="str">
        <f>IFERROR(VLOOKUP(Table2[[#This Row], [Ticket]],Okey!A:B,2,0),"")</f>
        <v/>
      </c>
      <c r="I1821" s="36"/>
      <c r="J1821" s="36" t="s">
        <v>19</v>
      </c>
      <c r="K1821" s="36" t="s">
        <v>11488</v>
      </c>
      <c r="L1821" s="36"/>
    </row>
    <row r="1822" spans="1:12" hidden="1">
      <c r="A1822" s="42">
        <f t="shared" si="29"/>
        <v>1821</v>
      </c>
      <c r="B1822" s="36" t="s">
        <v>8</v>
      </c>
      <c r="C1822" s="36" t="s">
        <v>10059</v>
      </c>
      <c r="D1822" s="9" t="s">
        <v>10559</v>
      </c>
      <c r="E1822" s="9" t="s">
        <v>10328</v>
      </c>
      <c r="F1822" s="9" t="s">
        <v>10282</v>
      </c>
      <c r="G1822" s="36" t="s">
        <v>14</v>
      </c>
      <c r="H1822" s="36" t="str">
        <f>IFERROR(VLOOKUP(Table2[[#This Row], [Ticket]],Okey!A:B,2,0),"")</f>
        <v/>
      </c>
      <c r="I1822" s="36"/>
      <c r="J1822" s="36" t="s">
        <v>19</v>
      </c>
      <c r="K1822" s="36" t="s">
        <v>11488</v>
      </c>
      <c r="L1822" s="36"/>
    </row>
    <row r="1823" spans="1:12" hidden="1">
      <c r="A1823" s="42">
        <f t="shared" si="29"/>
        <v>1822</v>
      </c>
      <c r="B1823" s="36" t="s">
        <v>8</v>
      </c>
      <c r="C1823" s="36" t="s">
        <v>10059</v>
      </c>
      <c r="D1823" s="9" t="s">
        <v>10560</v>
      </c>
      <c r="E1823" s="9" t="s">
        <v>10329</v>
      </c>
      <c r="F1823" s="9" t="s">
        <v>10282</v>
      </c>
      <c r="G1823" s="36" t="s">
        <v>14</v>
      </c>
      <c r="H1823" s="36" t="str">
        <f>IFERROR(VLOOKUP(Table2[[#This Row], [Ticket]],Okey!A:B,2,0),"")</f>
        <v/>
      </c>
      <c r="I1823" s="36"/>
      <c r="J1823" s="36" t="s">
        <v>19</v>
      </c>
      <c r="K1823" s="36" t="s">
        <v>11488</v>
      </c>
      <c r="L1823" s="36"/>
    </row>
    <row r="1824" spans="1:12" hidden="1">
      <c r="A1824" s="42">
        <f t="shared" si="29"/>
        <v>1823</v>
      </c>
      <c r="B1824" s="36" t="s">
        <v>8</v>
      </c>
      <c r="C1824" s="36" t="s">
        <v>10059</v>
      </c>
      <c r="D1824" s="9" t="s">
        <v>10561</v>
      </c>
      <c r="E1824" s="9" t="s">
        <v>10330</v>
      </c>
      <c r="F1824" s="9" t="s">
        <v>10331</v>
      </c>
      <c r="G1824" s="36" t="s">
        <v>14</v>
      </c>
      <c r="H1824" s="36" t="str">
        <f>IFERROR(VLOOKUP(Table2[[#This Row], [Ticket]],Okey!A:B,2,0),"")</f>
        <v/>
      </c>
      <c r="I1824" s="36"/>
      <c r="J1824" s="36" t="s">
        <v>19</v>
      </c>
      <c r="K1824" s="36" t="s">
        <v>11488</v>
      </c>
      <c r="L1824" s="36"/>
    </row>
    <row r="1825" spans="1:12" hidden="1">
      <c r="A1825" s="42">
        <f t="shared" si="29"/>
        <v>1824</v>
      </c>
      <c r="B1825" s="36" t="s">
        <v>8</v>
      </c>
      <c r="C1825" s="36" t="s">
        <v>10059</v>
      </c>
      <c r="D1825" s="9" t="s">
        <v>10562</v>
      </c>
      <c r="E1825" s="9" t="s">
        <v>10332</v>
      </c>
      <c r="F1825" s="9" t="s">
        <v>10331</v>
      </c>
      <c r="G1825" s="36" t="s">
        <v>14</v>
      </c>
      <c r="H1825" s="36" t="str">
        <f>IFERROR(VLOOKUP(Table2[[#This Row], [Ticket]],Okey!A:B,2,0),"")</f>
        <v/>
      </c>
      <c r="I1825" s="36"/>
      <c r="J1825" s="36" t="s">
        <v>19</v>
      </c>
      <c r="K1825" s="36" t="s">
        <v>11488</v>
      </c>
      <c r="L1825" s="36"/>
    </row>
    <row r="1826" spans="1:12" hidden="1">
      <c r="A1826" s="42">
        <f t="shared" si="29"/>
        <v>1825</v>
      </c>
      <c r="B1826" s="36" t="s">
        <v>8</v>
      </c>
      <c r="C1826" s="36" t="s">
        <v>10059</v>
      </c>
      <c r="D1826" s="9" t="s">
        <v>10563</v>
      </c>
      <c r="E1826" s="9" t="s">
        <v>10333</v>
      </c>
      <c r="F1826" s="9" t="s">
        <v>10331</v>
      </c>
      <c r="G1826" s="36" t="s">
        <v>14</v>
      </c>
      <c r="H1826" s="36" t="str">
        <f>IFERROR(VLOOKUP(Table2[[#This Row], [Ticket]],Okey!A:B,2,0),"")</f>
        <v/>
      </c>
      <c r="I1826" s="36"/>
      <c r="J1826" s="36" t="s">
        <v>19</v>
      </c>
      <c r="K1826" s="36" t="s">
        <v>11488</v>
      </c>
      <c r="L1826" s="36"/>
    </row>
    <row r="1827" spans="1:12" hidden="1">
      <c r="A1827" s="42">
        <f t="shared" si="29"/>
        <v>1826</v>
      </c>
      <c r="B1827" s="36" t="s">
        <v>8</v>
      </c>
      <c r="C1827" s="36" t="s">
        <v>10059</v>
      </c>
      <c r="D1827" s="9" t="s">
        <v>10564</v>
      </c>
      <c r="E1827" s="9" t="s">
        <v>10334</v>
      </c>
      <c r="F1827" s="9" t="s">
        <v>10331</v>
      </c>
      <c r="G1827" s="36" t="s">
        <v>14</v>
      </c>
      <c r="H1827" s="36" t="str">
        <f>IFERROR(VLOOKUP(Table2[[#This Row], [Ticket]],Okey!A:B,2,0),"")</f>
        <v/>
      </c>
      <c r="I1827" s="36"/>
      <c r="J1827" s="36" t="s">
        <v>19</v>
      </c>
      <c r="K1827" s="36" t="s">
        <v>11488</v>
      </c>
      <c r="L1827" s="36"/>
    </row>
    <row r="1828" spans="1:12" hidden="1">
      <c r="A1828" s="42">
        <f t="shared" si="29"/>
        <v>1827</v>
      </c>
      <c r="B1828" s="36" t="s">
        <v>8</v>
      </c>
      <c r="C1828" s="36" t="s">
        <v>10059</v>
      </c>
      <c r="D1828" s="9" t="s">
        <v>10565</v>
      </c>
      <c r="E1828" s="9" t="s">
        <v>10335</v>
      </c>
      <c r="F1828" s="9" t="s">
        <v>10331</v>
      </c>
      <c r="G1828" s="36" t="s">
        <v>14</v>
      </c>
      <c r="H1828" s="36" t="str">
        <f>IFERROR(VLOOKUP(Table2[[#This Row], [Ticket]],Okey!A:B,2,0),"")</f>
        <v/>
      </c>
      <c r="I1828" s="36"/>
      <c r="J1828" s="36" t="s">
        <v>19</v>
      </c>
      <c r="K1828" s="36" t="s">
        <v>11488</v>
      </c>
      <c r="L1828" s="36"/>
    </row>
    <row r="1829" spans="1:12" hidden="1">
      <c r="A1829" s="42">
        <f t="shared" si="29"/>
        <v>1828</v>
      </c>
      <c r="B1829" s="36" t="s">
        <v>8</v>
      </c>
      <c r="C1829" s="36" t="s">
        <v>10059</v>
      </c>
      <c r="D1829" s="9" t="s">
        <v>10566</v>
      </c>
      <c r="E1829" s="9" t="s">
        <v>10336</v>
      </c>
      <c r="F1829" s="9" t="s">
        <v>10331</v>
      </c>
      <c r="G1829" s="36" t="s">
        <v>14</v>
      </c>
      <c r="H1829" s="36" t="str">
        <f>IFERROR(VLOOKUP(Table2[[#This Row], [Ticket]],Okey!A:B,2,0),"")</f>
        <v/>
      </c>
      <c r="I1829" s="36"/>
      <c r="J1829" s="36" t="s">
        <v>19</v>
      </c>
      <c r="K1829" s="36" t="s">
        <v>11488</v>
      </c>
      <c r="L1829" s="36"/>
    </row>
    <row r="1830" spans="1:12" hidden="1">
      <c r="A1830" s="42">
        <f t="shared" si="29"/>
        <v>1829</v>
      </c>
      <c r="B1830" s="36" t="s">
        <v>8</v>
      </c>
      <c r="C1830" s="36" t="s">
        <v>10059</v>
      </c>
      <c r="D1830" s="9" t="s">
        <v>10567</v>
      </c>
      <c r="E1830" s="9" t="s">
        <v>10337</v>
      </c>
      <c r="F1830" s="9" t="s">
        <v>10331</v>
      </c>
      <c r="G1830" s="36" t="s">
        <v>14</v>
      </c>
      <c r="H1830" s="36" t="str">
        <f>IFERROR(VLOOKUP(Table2[[#This Row], [Ticket]],Okey!A:B,2,0),"")</f>
        <v/>
      </c>
      <c r="I1830" s="36"/>
      <c r="J1830" s="36" t="s">
        <v>19</v>
      </c>
      <c r="K1830" s="36" t="s">
        <v>11488</v>
      </c>
      <c r="L1830" s="36"/>
    </row>
    <row r="1831" spans="1:12" hidden="1">
      <c r="A1831" s="42">
        <f t="shared" si="29"/>
        <v>1830</v>
      </c>
      <c r="B1831" s="36" t="s">
        <v>8</v>
      </c>
      <c r="C1831" s="36" t="s">
        <v>10059</v>
      </c>
      <c r="D1831" s="9" t="s">
        <v>10568</v>
      </c>
      <c r="E1831" s="9" t="s">
        <v>10338</v>
      </c>
      <c r="F1831" s="9" t="s">
        <v>10331</v>
      </c>
      <c r="G1831" s="36" t="s">
        <v>14</v>
      </c>
      <c r="H1831" s="36" t="str">
        <f>IFERROR(VLOOKUP(Table2[[#This Row], [Ticket]],Okey!A:B,2,0),"")</f>
        <v/>
      </c>
      <c r="I1831" s="36"/>
      <c r="J1831" s="36" t="s">
        <v>19</v>
      </c>
      <c r="K1831" s="36" t="s">
        <v>11488</v>
      </c>
      <c r="L1831" s="36"/>
    </row>
    <row r="1832" spans="1:12" hidden="1">
      <c r="A1832" s="42">
        <f t="shared" si="29"/>
        <v>1831</v>
      </c>
      <c r="B1832" s="36" t="s">
        <v>8</v>
      </c>
      <c r="C1832" s="36" t="s">
        <v>10059</v>
      </c>
      <c r="D1832" s="9" t="s">
        <v>10569</v>
      </c>
      <c r="E1832" s="9" t="s">
        <v>10339</v>
      </c>
      <c r="F1832" s="9" t="s">
        <v>10331</v>
      </c>
      <c r="G1832" s="36" t="s">
        <v>14</v>
      </c>
      <c r="H1832" s="36" t="str">
        <f>IFERROR(VLOOKUP(Table2[[#This Row], [Ticket]],Okey!A:B,2,0),"")</f>
        <v/>
      </c>
      <c r="I1832" s="36"/>
      <c r="J1832" s="36" t="s">
        <v>19</v>
      </c>
      <c r="K1832" s="36" t="s">
        <v>11488</v>
      </c>
      <c r="L1832" s="36"/>
    </row>
    <row r="1833" spans="1:12" hidden="1">
      <c r="A1833" s="42">
        <f t="shared" si="29"/>
        <v>1832</v>
      </c>
      <c r="B1833" s="36" t="s">
        <v>8</v>
      </c>
      <c r="C1833" s="36" t="s">
        <v>10059</v>
      </c>
      <c r="D1833" s="9" t="s">
        <v>10570</v>
      </c>
      <c r="E1833" s="9" t="s">
        <v>10340</v>
      </c>
      <c r="F1833" s="9" t="s">
        <v>10331</v>
      </c>
      <c r="G1833" s="36" t="s">
        <v>14</v>
      </c>
      <c r="H1833" s="36" t="str">
        <f>IFERROR(VLOOKUP(Table2[[#This Row], [Ticket]],Okey!A:B,2,0),"")</f>
        <v/>
      </c>
      <c r="I1833" s="36"/>
      <c r="J1833" s="36" t="s">
        <v>19</v>
      </c>
      <c r="K1833" s="36" t="s">
        <v>11488</v>
      </c>
      <c r="L1833" s="36"/>
    </row>
    <row r="1834" spans="1:12" hidden="1">
      <c r="A1834" s="42">
        <f t="shared" si="29"/>
        <v>1833</v>
      </c>
      <c r="B1834" s="36" t="s">
        <v>8</v>
      </c>
      <c r="C1834" s="36" t="s">
        <v>10059</v>
      </c>
      <c r="D1834" s="9" t="s">
        <v>10571</v>
      </c>
      <c r="E1834" s="9" t="s">
        <v>10341</v>
      </c>
      <c r="F1834" s="9" t="s">
        <v>10331</v>
      </c>
      <c r="G1834" s="36" t="s">
        <v>14</v>
      </c>
      <c r="H1834" s="36" t="str">
        <f>IFERROR(VLOOKUP(Table2[[#This Row], [Ticket]],Okey!A:B,2,0),"")</f>
        <v/>
      </c>
      <c r="I1834" s="36"/>
      <c r="J1834" s="36" t="s">
        <v>19</v>
      </c>
      <c r="K1834" s="36" t="s">
        <v>11488</v>
      </c>
      <c r="L1834" s="36"/>
    </row>
    <row r="1835" spans="1:12" hidden="1">
      <c r="A1835" s="42">
        <f t="shared" si="29"/>
        <v>1834</v>
      </c>
      <c r="B1835" s="36" t="s">
        <v>8</v>
      </c>
      <c r="C1835" s="36" t="s">
        <v>10059</v>
      </c>
      <c r="D1835" s="9" t="s">
        <v>10572</v>
      </c>
      <c r="E1835" s="9" t="s">
        <v>10342</v>
      </c>
      <c r="F1835" s="9" t="s">
        <v>10331</v>
      </c>
      <c r="G1835" s="36" t="s">
        <v>14</v>
      </c>
      <c r="H1835" s="36" t="str">
        <f>IFERROR(VLOOKUP(Table2[[#This Row], [Ticket]],Okey!A:B,2,0),"")</f>
        <v/>
      </c>
      <c r="I1835" s="36"/>
      <c r="J1835" s="36" t="s">
        <v>19</v>
      </c>
      <c r="K1835" s="36" t="s">
        <v>11488</v>
      </c>
      <c r="L1835" s="36"/>
    </row>
    <row r="1836" spans="1:12" hidden="1">
      <c r="A1836" s="42">
        <f t="shared" si="29"/>
        <v>1835</v>
      </c>
      <c r="B1836" s="36" t="s">
        <v>8</v>
      </c>
      <c r="C1836" s="36" t="s">
        <v>10059</v>
      </c>
      <c r="D1836" s="9" t="s">
        <v>10573</v>
      </c>
      <c r="E1836" s="9" t="s">
        <v>10343</v>
      </c>
      <c r="F1836" s="9" t="s">
        <v>10331</v>
      </c>
      <c r="G1836" s="36" t="s">
        <v>14</v>
      </c>
      <c r="H1836" s="36" t="str">
        <f>IFERROR(VLOOKUP(Table2[[#This Row], [Ticket]],Okey!A:B,2,0),"")</f>
        <v/>
      </c>
      <c r="I1836" s="36"/>
      <c r="J1836" s="36" t="s">
        <v>19</v>
      </c>
      <c r="K1836" s="36" t="s">
        <v>11488</v>
      </c>
      <c r="L1836" s="36"/>
    </row>
    <row r="1837" spans="1:12" hidden="1">
      <c r="A1837" s="42">
        <f t="shared" si="29"/>
        <v>1836</v>
      </c>
      <c r="B1837" s="36" t="s">
        <v>8</v>
      </c>
      <c r="C1837" s="36" t="s">
        <v>10059</v>
      </c>
      <c r="D1837" s="9" t="s">
        <v>10574</v>
      </c>
      <c r="E1837" s="9" t="s">
        <v>10344</v>
      </c>
      <c r="F1837" s="9" t="s">
        <v>10331</v>
      </c>
      <c r="G1837" s="36" t="s">
        <v>14</v>
      </c>
      <c r="H1837" s="36" t="str">
        <f>IFERROR(VLOOKUP(Table2[[#This Row], [Ticket]],Okey!A:B,2,0),"")</f>
        <v/>
      </c>
      <c r="I1837" s="36"/>
      <c r="J1837" s="36" t="s">
        <v>19</v>
      </c>
      <c r="K1837" s="36" t="s">
        <v>11488</v>
      </c>
      <c r="L1837" s="36"/>
    </row>
    <row r="1838" spans="1:12" hidden="1">
      <c r="A1838" s="42">
        <f t="shared" si="29"/>
        <v>1837</v>
      </c>
      <c r="B1838" s="36" t="s">
        <v>8</v>
      </c>
      <c r="C1838" s="36" t="s">
        <v>10059</v>
      </c>
      <c r="D1838" s="9" t="s">
        <v>10575</v>
      </c>
      <c r="E1838" s="9" t="s">
        <v>10345</v>
      </c>
      <c r="F1838" s="9" t="s">
        <v>10331</v>
      </c>
      <c r="G1838" s="36" t="s">
        <v>14</v>
      </c>
      <c r="H1838" s="36" t="str">
        <f>IFERROR(VLOOKUP(Table2[[#This Row], [Ticket]],Okey!A:B,2,0),"")</f>
        <v/>
      </c>
      <c r="I1838" s="36"/>
      <c r="J1838" s="36" t="s">
        <v>19</v>
      </c>
      <c r="K1838" s="36" t="s">
        <v>11488</v>
      </c>
      <c r="L1838" s="36"/>
    </row>
    <row r="1839" spans="1:12" hidden="1">
      <c r="A1839" s="42">
        <f t="shared" si="29"/>
        <v>1838</v>
      </c>
      <c r="B1839" s="36" t="s">
        <v>8</v>
      </c>
      <c r="C1839" s="36" t="s">
        <v>10059</v>
      </c>
      <c r="D1839" s="9" t="s">
        <v>10576</v>
      </c>
      <c r="E1839" s="9" t="s">
        <v>10346</v>
      </c>
      <c r="F1839" s="9" t="s">
        <v>10331</v>
      </c>
      <c r="G1839" s="36" t="s">
        <v>14</v>
      </c>
      <c r="H1839" s="36" t="str">
        <f>IFERROR(VLOOKUP(Table2[[#This Row], [Ticket]],Okey!A:B,2,0),"")</f>
        <v/>
      </c>
      <c r="I1839" s="36"/>
      <c r="J1839" s="36" t="s">
        <v>19</v>
      </c>
      <c r="K1839" s="36" t="s">
        <v>11488</v>
      </c>
      <c r="L1839" s="36"/>
    </row>
    <row r="1840" spans="1:12" hidden="1">
      <c r="A1840" s="42">
        <f t="shared" si="29"/>
        <v>1839</v>
      </c>
      <c r="B1840" s="36" t="s">
        <v>8</v>
      </c>
      <c r="C1840" s="36" t="s">
        <v>10059</v>
      </c>
      <c r="D1840" s="9" t="s">
        <v>10577</v>
      </c>
      <c r="E1840" s="9" t="s">
        <v>10347</v>
      </c>
      <c r="F1840" s="9" t="s">
        <v>10331</v>
      </c>
      <c r="G1840" s="36" t="s">
        <v>14</v>
      </c>
      <c r="H1840" s="36" t="str">
        <f>IFERROR(VLOOKUP(Table2[[#This Row], [Ticket]],Okey!A:B,2,0),"")</f>
        <v/>
      </c>
      <c r="I1840" s="36"/>
      <c r="J1840" s="36" t="s">
        <v>19</v>
      </c>
      <c r="K1840" s="36" t="s">
        <v>11488</v>
      </c>
      <c r="L1840" s="36"/>
    </row>
    <row r="1841" spans="1:12" hidden="1">
      <c r="A1841" s="42">
        <f t="shared" si="29"/>
        <v>1840</v>
      </c>
      <c r="B1841" s="36" t="s">
        <v>8</v>
      </c>
      <c r="C1841" s="36" t="s">
        <v>10059</v>
      </c>
      <c r="D1841" s="9" t="s">
        <v>10578</v>
      </c>
      <c r="E1841" s="9" t="s">
        <v>10348</v>
      </c>
      <c r="F1841" s="9" t="s">
        <v>10331</v>
      </c>
      <c r="G1841" s="36" t="s">
        <v>14</v>
      </c>
      <c r="H1841" s="36" t="str">
        <f>IFERROR(VLOOKUP(Table2[[#This Row], [Ticket]],Okey!A:B,2,0),"")</f>
        <v/>
      </c>
      <c r="I1841" s="36"/>
      <c r="J1841" s="36" t="s">
        <v>19</v>
      </c>
      <c r="K1841" s="36" t="s">
        <v>11488</v>
      </c>
      <c r="L1841" s="36"/>
    </row>
    <row r="1842" spans="1:12" hidden="1">
      <c r="A1842" s="42">
        <f t="shared" si="29"/>
        <v>1841</v>
      </c>
      <c r="B1842" s="36" t="s">
        <v>8</v>
      </c>
      <c r="C1842" s="36" t="s">
        <v>10059</v>
      </c>
      <c r="D1842" s="9" t="s">
        <v>10579</v>
      </c>
      <c r="E1842" s="9" t="s">
        <v>10349</v>
      </c>
      <c r="F1842" s="9" t="s">
        <v>10331</v>
      </c>
      <c r="G1842" s="36" t="s">
        <v>14</v>
      </c>
      <c r="H1842" s="36" t="str">
        <f>IFERROR(VLOOKUP(Table2[[#This Row], [Ticket]],Okey!A:B,2,0),"")</f>
        <v/>
      </c>
      <c r="I1842" s="36"/>
      <c r="J1842" s="36" t="s">
        <v>19</v>
      </c>
      <c r="K1842" s="36" t="s">
        <v>11488</v>
      </c>
      <c r="L1842" s="36"/>
    </row>
    <row r="1843" spans="1:12" hidden="1">
      <c r="A1843" s="42">
        <f t="shared" si="29"/>
        <v>1842</v>
      </c>
      <c r="B1843" s="36" t="s">
        <v>8</v>
      </c>
      <c r="C1843" s="36" t="s">
        <v>10059</v>
      </c>
      <c r="D1843" s="9" t="s">
        <v>10580</v>
      </c>
      <c r="E1843" s="9" t="s">
        <v>10350</v>
      </c>
      <c r="F1843" s="9" t="s">
        <v>10331</v>
      </c>
      <c r="G1843" s="36" t="s">
        <v>14</v>
      </c>
      <c r="H1843" s="36" t="str">
        <f>IFERROR(VLOOKUP(Table2[[#This Row], [Ticket]],Okey!A:B,2,0),"")</f>
        <v/>
      </c>
      <c r="I1843" s="36"/>
      <c r="J1843" s="36" t="s">
        <v>19</v>
      </c>
      <c r="K1843" s="36" t="s">
        <v>11488</v>
      </c>
      <c r="L1843" s="36"/>
    </row>
    <row r="1844" spans="1:12" hidden="1">
      <c r="A1844" s="42">
        <f t="shared" si="29"/>
        <v>1843</v>
      </c>
      <c r="B1844" s="36" t="s">
        <v>8</v>
      </c>
      <c r="C1844" s="36" t="s">
        <v>10059</v>
      </c>
      <c r="D1844" s="9" t="s">
        <v>10581</v>
      </c>
      <c r="E1844" s="9" t="s">
        <v>10351</v>
      </c>
      <c r="F1844" s="9" t="s">
        <v>10331</v>
      </c>
      <c r="G1844" s="36" t="s">
        <v>14</v>
      </c>
      <c r="H1844" s="36" t="str">
        <f>IFERROR(VLOOKUP(Table2[[#This Row], [Ticket]],Okey!A:B,2,0),"")</f>
        <v/>
      </c>
      <c r="I1844" s="36"/>
      <c r="J1844" s="36" t="s">
        <v>19</v>
      </c>
      <c r="K1844" s="36" t="s">
        <v>11488</v>
      </c>
      <c r="L1844" s="36"/>
    </row>
    <row r="1845" spans="1:12" hidden="1">
      <c r="A1845" s="42">
        <f t="shared" si="29"/>
        <v>1844</v>
      </c>
      <c r="B1845" s="36" t="s">
        <v>8</v>
      </c>
      <c r="C1845" s="36" t="s">
        <v>10059</v>
      </c>
      <c r="D1845" s="9" t="s">
        <v>10582</v>
      </c>
      <c r="E1845" s="9" t="s">
        <v>10352</v>
      </c>
      <c r="F1845" s="9" t="s">
        <v>10331</v>
      </c>
      <c r="G1845" s="36" t="s">
        <v>14</v>
      </c>
      <c r="H1845" s="36" t="str">
        <f>IFERROR(VLOOKUP(Table2[[#This Row], [Ticket]],Okey!A:B,2,0),"")</f>
        <v/>
      </c>
      <c r="I1845" s="36"/>
      <c r="J1845" s="36" t="s">
        <v>19</v>
      </c>
      <c r="K1845" s="36" t="s">
        <v>11488</v>
      </c>
      <c r="L1845" s="36"/>
    </row>
    <row r="1846" spans="1:12" hidden="1">
      <c r="A1846" s="42">
        <f t="shared" si="29"/>
        <v>1845</v>
      </c>
      <c r="B1846" s="36" t="s">
        <v>8</v>
      </c>
      <c r="C1846" s="36" t="s">
        <v>10059</v>
      </c>
      <c r="D1846" s="9" t="s">
        <v>10583</v>
      </c>
      <c r="E1846" s="9" t="s">
        <v>10353</v>
      </c>
      <c r="F1846" s="9" t="s">
        <v>10331</v>
      </c>
      <c r="G1846" s="36" t="s">
        <v>14</v>
      </c>
      <c r="H1846" s="36" t="str">
        <f>IFERROR(VLOOKUP(Table2[[#This Row], [Ticket]],Okey!A:B,2,0),"")</f>
        <v/>
      </c>
      <c r="I1846" s="36"/>
      <c r="J1846" s="36" t="s">
        <v>19</v>
      </c>
      <c r="K1846" s="36" t="s">
        <v>11488</v>
      </c>
      <c r="L1846" s="36"/>
    </row>
    <row r="1847" spans="1:12" hidden="1">
      <c r="A1847" s="42">
        <f t="shared" si="29"/>
        <v>1846</v>
      </c>
      <c r="B1847" s="36" t="s">
        <v>8</v>
      </c>
      <c r="C1847" s="36" t="s">
        <v>10059</v>
      </c>
      <c r="D1847" s="9" t="s">
        <v>10584</v>
      </c>
      <c r="E1847" s="9" t="s">
        <v>10354</v>
      </c>
      <c r="F1847" s="9" t="s">
        <v>10331</v>
      </c>
      <c r="G1847" s="36" t="s">
        <v>14</v>
      </c>
      <c r="H1847" s="36" t="str">
        <f>IFERROR(VLOOKUP(Table2[[#This Row], [Ticket]],Okey!A:B,2,0),"")</f>
        <v/>
      </c>
      <c r="I1847" s="36"/>
      <c r="J1847" s="36" t="s">
        <v>19</v>
      </c>
      <c r="K1847" s="36" t="s">
        <v>11488</v>
      </c>
      <c r="L1847" s="36"/>
    </row>
    <row r="1848" spans="1:12" hidden="1">
      <c r="A1848" s="42">
        <f t="shared" si="29"/>
        <v>1847</v>
      </c>
      <c r="B1848" s="36" t="s">
        <v>8</v>
      </c>
      <c r="C1848" s="36" t="s">
        <v>10059</v>
      </c>
      <c r="D1848" s="9" t="s">
        <v>10585</v>
      </c>
      <c r="E1848" s="9" t="s">
        <v>10355</v>
      </c>
      <c r="F1848" s="9" t="s">
        <v>10331</v>
      </c>
      <c r="G1848" s="36" t="s">
        <v>14</v>
      </c>
      <c r="H1848" s="36" t="str">
        <f>IFERROR(VLOOKUP(Table2[[#This Row], [Ticket]],Okey!A:B,2,0),"")</f>
        <v/>
      </c>
      <c r="I1848" s="36"/>
      <c r="J1848" s="36" t="s">
        <v>19</v>
      </c>
      <c r="K1848" s="36" t="s">
        <v>11488</v>
      </c>
      <c r="L1848" s="36"/>
    </row>
    <row r="1849" spans="1:12" hidden="1">
      <c r="A1849" s="42">
        <f t="shared" si="29"/>
        <v>1848</v>
      </c>
      <c r="B1849" s="36" t="s">
        <v>8</v>
      </c>
      <c r="C1849" s="36" t="s">
        <v>10059</v>
      </c>
      <c r="D1849" s="9" t="s">
        <v>10586</v>
      </c>
      <c r="E1849" s="9" t="s">
        <v>10356</v>
      </c>
      <c r="F1849" s="9" t="s">
        <v>10331</v>
      </c>
      <c r="G1849" s="36" t="s">
        <v>14</v>
      </c>
      <c r="H1849" s="36" t="str">
        <f>IFERROR(VLOOKUP(Table2[[#This Row], [Ticket]],Okey!A:B,2,0),"")</f>
        <v/>
      </c>
      <c r="I1849" s="36"/>
      <c r="J1849" s="36" t="s">
        <v>19</v>
      </c>
      <c r="K1849" s="36" t="s">
        <v>11488</v>
      </c>
      <c r="L1849" s="36"/>
    </row>
    <row r="1850" spans="1:12" hidden="1">
      <c r="A1850" s="42">
        <f t="shared" si="29"/>
        <v>1849</v>
      </c>
      <c r="B1850" s="36" t="s">
        <v>8</v>
      </c>
      <c r="C1850" s="36" t="s">
        <v>10059</v>
      </c>
      <c r="D1850" s="9" t="s">
        <v>10587</v>
      </c>
      <c r="E1850" s="9" t="s">
        <v>10357</v>
      </c>
      <c r="F1850" s="9" t="s">
        <v>10331</v>
      </c>
      <c r="G1850" s="36" t="s">
        <v>14</v>
      </c>
      <c r="H1850" s="36" t="str">
        <f>IFERROR(VLOOKUP(Table2[[#This Row], [Ticket]],Okey!A:B,2,0),"")</f>
        <v/>
      </c>
      <c r="I1850" s="36"/>
      <c r="J1850" s="36" t="s">
        <v>19</v>
      </c>
      <c r="K1850" s="36" t="s">
        <v>11488</v>
      </c>
      <c r="L1850" s="36"/>
    </row>
    <row r="1851" spans="1:12" hidden="1">
      <c r="A1851" s="42">
        <f t="shared" si="29"/>
        <v>1850</v>
      </c>
      <c r="B1851" s="36" t="s">
        <v>8</v>
      </c>
      <c r="C1851" s="36" t="s">
        <v>10059</v>
      </c>
      <c r="D1851" s="9" t="s">
        <v>10588</v>
      </c>
      <c r="E1851" s="9" t="s">
        <v>10358</v>
      </c>
      <c r="F1851" s="9" t="s">
        <v>10331</v>
      </c>
      <c r="G1851" s="36" t="s">
        <v>14</v>
      </c>
      <c r="H1851" s="36" t="str">
        <f>IFERROR(VLOOKUP(Table2[[#This Row], [Ticket]],Okey!A:B,2,0),"")</f>
        <v/>
      </c>
      <c r="I1851" s="36"/>
      <c r="J1851" s="36" t="s">
        <v>19</v>
      </c>
      <c r="K1851" s="36" t="s">
        <v>11488</v>
      </c>
      <c r="L1851" s="36"/>
    </row>
    <row r="1852" spans="1:12" hidden="1">
      <c r="A1852" s="42">
        <f t="shared" si="29"/>
        <v>1851</v>
      </c>
      <c r="B1852" s="36" t="s">
        <v>8</v>
      </c>
      <c r="C1852" s="36" t="s">
        <v>10059</v>
      </c>
      <c r="D1852" s="9" t="s">
        <v>10589</v>
      </c>
      <c r="E1852" s="9" t="s">
        <v>10359</v>
      </c>
      <c r="F1852" s="9" t="s">
        <v>10331</v>
      </c>
      <c r="G1852" s="36" t="s">
        <v>14</v>
      </c>
      <c r="H1852" s="36" t="str">
        <f>IFERROR(VLOOKUP(Table2[[#This Row], [Ticket]],Okey!A:B,2,0),"")</f>
        <v/>
      </c>
      <c r="I1852" s="36"/>
      <c r="J1852" s="36" t="s">
        <v>19</v>
      </c>
      <c r="K1852" s="36" t="s">
        <v>11488</v>
      </c>
      <c r="L1852" s="36"/>
    </row>
    <row r="1853" spans="1:12" hidden="1">
      <c r="A1853" s="42">
        <f t="shared" si="29"/>
        <v>1852</v>
      </c>
      <c r="B1853" s="36" t="s">
        <v>8</v>
      </c>
      <c r="C1853" s="36" t="s">
        <v>10059</v>
      </c>
      <c r="D1853" s="9" t="s">
        <v>10590</v>
      </c>
      <c r="E1853" s="9" t="s">
        <v>10360</v>
      </c>
      <c r="F1853" s="9" t="s">
        <v>10331</v>
      </c>
      <c r="G1853" s="36" t="s">
        <v>14</v>
      </c>
      <c r="H1853" s="36" t="str">
        <f>IFERROR(VLOOKUP(Table2[[#This Row], [Ticket]],Okey!A:B,2,0),"")</f>
        <v/>
      </c>
      <c r="I1853" s="36"/>
      <c r="J1853" s="36" t="s">
        <v>19</v>
      </c>
      <c r="K1853" s="36" t="s">
        <v>11488</v>
      </c>
      <c r="L1853" s="36"/>
    </row>
    <row r="1854" spans="1:12" hidden="1">
      <c r="A1854" s="42">
        <f t="shared" si="29"/>
        <v>1853</v>
      </c>
      <c r="B1854" s="36" t="s">
        <v>8</v>
      </c>
      <c r="C1854" s="36" t="s">
        <v>10059</v>
      </c>
      <c r="D1854" s="9" t="s">
        <v>10591</v>
      </c>
      <c r="E1854" s="9" t="s">
        <v>10361</v>
      </c>
      <c r="F1854" s="9" t="s">
        <v>10331</v>
      </c>
      <c r="G1854" s="36" t="s">
        <v>14</v>
      </c>
      <c r="H1854" s="36" t="str">
        <f>IFERROR(VLOOKUP(Table2[[#This Row], [Ticket]],Okey!A:B,2,0),"")</f>
        <v/>
      </c>
      <c r="I1854" s="36"/>
      <c r="J1854" s="36" t="s">
        <v>19</v>
      </c>
      <c r="K1854" s="36" t="s">
        <v>11488</v>
      </c>
      <c r="L1854" s="36"/>
    </row>
    <row r="1855" spans="1:12" hidden="1">
      <c r="A1855" s="42">
        <f t="shared" si="29"/>
        <v>1854</v>
      </c>
      <c r="B1855" s="36" t="s">
        <v>8</v>
      </c>
      <c r="C1855" s="36" t="s">
        <v>10059</v>
      </c>
      <c r="D1855" s="9" t="s">
        <v>10592</v>
      </c>
      <c r="E1855" s="9" t="s">
        <v>10362</v>
      </c>
      <c r="F1855" s="9" t="s">
        <v>10331</v>
      </c>
      <c r="G1855" s="36" t="s">
        <v>14</v>
      </c>
      <c r="H1855" s="36" t="str">
        <f>IFERROR(VLOOKUP(Table2[[#This Row], [Ticket]],Okey!A:B,2,0),"")</f>
        <v/>
      </c>
      <c r="I1855" s="36"/>
      <c r="J1855" s="36" t="s">
        <v>19</v>
      </c>
      <c r="K1855" s="36" t="s">
        <v>11488</v>
      </c>
      <c r="L1855" s="36"/>
    </row>
    <row r="1856" spans="1:12" hidden="1">
      <c r="A1856" s="42">
        <f t="shared" si="29"/>
        <v>1855</v>
      </c>
      <c r="B1856" s="36" t="s">
        <v>8</v>
      </c>
      <c r="C1856" s="36" t="s">
        <v>10059</v>
      </c>
      <c r="D1856" s="9" t="s">
        <v>10593</v>
      </c>
      <c r="E1856" s="9" t="s">
        <v>10363</v>
      </c>
      <c r="F1856" s="9" t="s">
        <v>10331</v>
      </c>
      <c r="G1856" s="36" t="s">
        <v>14</v>
      </c>
      <c r="H1856" s="36" t="str">
        <f>IFERROR(VLOOKUP(Table2[[#This Row], [Ticket]],Okey!A:B,2,0),"")</f>
        <v/>
      </c>
      <c r="I1856" s="36"/>
      <c r="J1856" s="36" t="s">
        <v>19</v>
      </c>
      <c r="K1856" s="36" t="s">
        <v>11488</v>
      </c>
      <c r="L1856" s="36"/>
    </row>
    <row r="1857" spans="1:12" hidden="1">
      <c r="A1857" s="42">
        <f t="shared" si="29"/>
        <v>1856</v>
      </c>
      <c r="B1857" s="36" t="s">
        <v>8</v>
      </c>
      <c r="C1857" s="36" t="s">
        <v>10059</v>
      </c>
      <c r="D1857" s="9" t="s">
        <v>10594</v>
      </c>
      <c r="E1857" s="9" t="s">
        <v>10364</v>
      </c>
      <c r="F1857" s="9" t="s">
        <v>10331</v>
      </c>
      <c r="G1857" s="36" t="s">
        <v>14</v>
      </c>
      <c r="H1857" s="36" t="str">
        <f>IFERROR(VLOOKUP(Table2[[#This Row], [Ticket]],Okey!A:B,2,0),"")</f>
        <v/>
      </c>
      <c r="I1857" s="36"/>
      <c r="J1857" s="36" t="s">
        <v>19</v>
      </c>
      <c r="K1857" s="36" t="s">
        <v>11488</v>
      </c>
      <c r="L1857" s="36"/>
    </row>
    <row r="1858" spans="1:12" hidden="1">
      <c r="A1858" s="42">
        <f t="shared" si="29"/>
        <v>1857</v>
      </c>
      <c r="B1858" s="36" t="s">
        <v>8</v>
      </c>
      <c r="C1858" s="36" t="s">
        <v>10059</v>
      </c>
      <c r="D1858" s="9" t="s">
        <v>10595</v>
      </c>
      <c r="E1858" s="9" t="s">
        <v>10365</v>
      </c>
      <c r="F1858" s="9" t="s">
        <v>10331</v>
      </c>
      <c r="G1858" s="36" t="s">
        <v>14</v>
      </c>
      <c r="H1858" s="36" t="str">
        <f>IFERROR(VLOOKUP(Table2[[#This Row], [Ticket]],Okey!A:B,2,0),"")</f>
        <v/>
      </c>
      <c r="I1858" s="36"/>
      <c r="J1858" s="36" t="s">
        <v>19</v>
      </c>
      <c r="K1858" s="36" t="s">
        <v>11488</v>
      </c>
      <c r="L1858" s="36"/>
    </row>
    <row r="1859" spans="1:12" hidden="1">
      <c r="A1859" s="42">
        <f t="shared" si="29"/>
        <v>1858</v>
      </c>
      <c r="B1859" s="36" t="s">
        <v>8</v>
      </c>
      <c r="C1859" s="36" t="s">
        <v>10059</v>
      </c>
      <c r="D1859" s="9" t="s">
        <v>10596</v>
      </c>
      <c r="E1859" s="9" t="s">
        <v>10366</v>
      </c>
      <c r="F1859" s="9" t="s">
        <v>10331</v>
      </c>
      <c r="G1859" s="36" t="s">
        <v>14</v>
      </c>
      <c r="H1859" s="36" t="str">
        <f>IFERROR(VLOOKUP(Table2[[#This Row], [Ticket]],Okey!A:B,2,0),"")</f>
        <v/>
      </c>
      <c r="I1859" s="36"/>
      <c r="J1859" s="36" t="s">
        <v>19</v>
      </c>
      <c r="K1859" s="36" t="s">
        <v>11488</v>
      </c>
      <c r="L1859" s="36"/>
    </row>
    <row r="1860" spans="1:12" hidden="1">
      <c r="A1860" s="42">
        <f t="shared" si="29"/>
        <v>1859</v>
      </c>
      <c r="B1860" s="36" t="s">
        <v>8</v>
      </c>
      <c r="C1860" s="36" t="s">
        <v>10059</v>
      </c>
      <c r="D1860" s="9" t="s">
        <v>10597</v>
      </c>
      <c r="E1860" s="9" t="s">
        <v>10367</v>
      </c>
      <c r="F1860" s="9" t="s">
        <v>10331</v>
      </c>
      <c r="G1860" s="36" t="s">
        <v>14</v>
      </c>
      <c r="H1860" s="36" t="str">
        <f>IFERROR(VLOOKUP(Table2[[#This Row], [Ticket]],Okey!A:B,2,0),"")</f>
        <v/>
      </c>
      <c r="I1860" s="36"/>
      <c r="J1860" s="36" t="s">
        <v>19</v>
      </c>
      <c r="K1860" s="36" t="s">
        <v>11488</v>
      </c>
      <c r="L1860" s="36"/>
    </row>
    <row r="1861" spans="1:12" hidden="1">
      <c r="A1861" s="42">
        <f t="shared" si="29"/>
        <v>1860</v>
      </c>
      <c r="B1861" s="36" t="s">
        <v>8</v>
      </c>
      <c r="C1861" s="36" t="s">
        <v>10059</v>
      </c>
      <c r="D1861" s="9" t="s">
        <v>10598</v>
      </c>
      <c r="E1861" s="9" t="s">
        <v>10368</v>
      </c>
      <c r="F1861" s="9" t="s">
        <v>10331</v>
      </c>
      <c r="G1861" s="36" t="s">
        <v>14</v>
      </c>
      <c r="H1861" s="36" t="str">
        <f>IFERROR(VLOOKUP(Table2[[#This Row], [Ticket]],Okey!A:B,2,0),"")</f>
        <v/>
      </c>
      <c r="I1861" s="36"/>
      <c r="J1861" s="36" t="s">
        <v>19</v>
      </c>
      <c r="K1861" s="36" t="s">
        <v>11488</v>
      </c>
      <c r="L1861" s="36"/>
    </row>
    <row r="1862" spans="1:12" hidden="1">
      <c r="A1862" s="42">
        <f t="shared" si="29"/>
        <v>1861</v>
      </c>
      <c r="B1862" s="36" t="s">
        <v>8</v>
      </c>
      <c r="C1862" s="36" t="s">
        <v>10059</v>
      </c>
      <c r="D1862" s="9" t="s">
        <v>10599</v>
      </c>
      <c r="E1862" s="9" t="s">
        <v>10369</v>
      </c>
      <c r="F1862" s="9" t="s">
        <v>10331</v>
      </c>
      <c r="G1862" s="36" t="s">
        <v>14</v>
      </c>
      <c r="H1862" s="36" t="str">
        <f>IFERROR(VLOOKUP(Table2[[#This Row], [Ticket]],Okey!A:B,2,0),"")</f>
        <v/>
      </c>
      <c r="I1862" s="36"/>
      <c r="J1862" s="36" t="s">
        <v>19</v>
      </c>
      <c r="K1862" s="36" t="s">
        <v>11488</v>
      </c>
      <c r="L1862" s="36"/>
    </row>
    <row r="1863" spans="1:12" hidden="1">
      <c r="A1863" s="42">
        <f t="shared" si="29"/>
        <v>1862</v>
      </c>
      <c r="B1863" s="36" t="s">
        <v>8</v>
      </c>
      <c r="C1863" s="36" t="s">
        <v>10059</v>
      </c>
      <c r="D1863" s="9" t="s">
        <v>10600</v>
      </c>
      <c r="E1863" s="9" t="s">
        <v>10370</v>
      </c>
      <c r="F1863" s="9" t="s">
        <v>10331</v>
      </c>
      <c r="G1863" s="36" t="s">
        <v>14</v>
      </c>
      <c r="H1863" s="36" t="str">
        <f>IFERROR(VLOOKUP(Table2[[#This Row], [Ticket]],Okey!A:B,2,0),"")</f>
        <v/>
      </c>
      <c r="I1863" s="36"/>
      <c r="J1863" s="36" t="s">
        <v>19</v>
      </c>
      <c r="K1863" s="36" t="s">
        <v>11488</v>
      </c>
      <c r="L1863" s="36"/>
    </row>
    <row r="1864" spans="1:12" hidden="1">
      <c r="A1864" s="42">
        <f t="shared" si="29"/>
        <v>1863</v>
      </c>
      <c r="B1864" s="36" t="s">
        <v>8</v>
      </c>
      <c r="C1864" s="36" t="s">
        <v>10059</v>
      </c>
      <c r="D1864" s="9" t="s">
        <v>10601</v>
      </c>
      <c r="E1864" s="9" t="s">
        <v>10371</v>
      </c>
      <c r="F1864" s="9" t="s">
        <v>10331</v>
      </c>
      <c r="G1864" s="36" t="s">
        <v>14</v>
      </c>
      <c r="H1864" s="36" t="str">
        <f>IFERROR(VLOOKUP(Table2[[#This Row], [Ticket]],Okey!A:B,2,0),"")</f>
        <v/>
      </c>
      <c r="I1864" s="36"/>
      <c r="J1864" s="36" t="s">
        <v>19</v>
      </c>
      <c r="K1864" s="36" t="s">
        <v>11488</v>
      </c>
      <c r="L1864" s="36"/>
    </row>
    <row r="1865" spans="1:12" hidden="1">
      <c r="A1865" s="42">
        <f t="shared" si="29"/>
        <v>1864</v>
      </c>
      <c r="B1865" s="36" t="s">
        <v>8</v>
      </c>
      <c r="C1865" s="36" t="s">
        <v>10059</v>
      </c>
      <c r="D1865" s="9" t="s">
        <v>10602</v>
      </c>
      <c r="E1865" s="9" t="s">
        <v>10372</v>
      </c>
      <c r="F1865" s="9" t="s">
        <v>10331</v>
      </c>
      <c r="G1865" s="36" t="s">
        <v>14</v>
      </c>
      <c r="H1865" s="36" t="str">
        <f>IFERROR(VLOOKUP(Table2[[#This Row], [Ticket]],Okey!A:B,2,0),"")</f>
        <v/>
      </c>
      <c r="I1865" s="36"/>
      <c r="J1865" s="36" t="s">
        <v>19</v>
      </c>
      <c r="K1865" s="36" t="s">
        <v>11488</v>
      </c>
      <c r="L1865" s="36"/>
    </row>
    <row r="1866" spans="1:12" hidden="1">
      <c r="A1866" s="42">
        <f t="shared" si="29"/>
        <v>1865</v>
      </c>
      <c r="B1866" s="36" t="s">
        <v>8</v>
      </c>
      <c r="C1866" s="36" t="s">
        <v>10059</v>
      </c>
      <c r="D1866" s="9" t="s">
        <v>10603</v>
      </c>
      <c r="E1866" s="9" t="s">
        <v>10373</v>
      </c>
      <c r="F1866" s="9" t="s">
        <v>10331</v>
      </c>
      <c r="G1866" s="36" t="s">
        <v>14</v>
      </c>
      <c r="H1866" s="36" t="str">
        <f>IFERROR(VLOOKUP(Table2[[#This Row], [Ticket]],Okey!A:B,2,0),"")</f>
        <v/>
      </c>
      <c r="I1866" s="36"/>
      <c r="J1866" s="36" t="s">
        <v>19</v>
      </c>
      <c r="K1866" s="36" t="s">
        <v>11488</v>
      </c>
      <c r="L1866" s="36"/>
    </row>
    <row r="1867" spans="1:12" hidden="1">
      <c r="A1867" s="42">
        <f t="shared" si="29"/>
        <v>1866</v>
      </c>
      <c r="B1867" s="36" t="s">
        <v>8</v>
      </c>
      <c r="C1867" s="36" t="s">
        <v>10059</v>
      </c>
      <c r="D1867" s="9" t="s">
        <v>10604</v>
      </c>
      <c r="E1867" s="9" t="s">
        <v>10374</v>
      </c>
      <c r="F1867" s="9" t="s">
        <v>10375</v>
      </c>
      <c r="G1867" s="36" t="s">
        <v>14</v>
      </c>
      <c r="H1867" s="36" t="str">
        <f>IFERROR(VLOOKUP(Table2[[#This Row], [Ticket]],Okey!A:B,2,0),"")</f>
        <v/>
      </c>
      <c r="I1867" s="36"/>
      <c r="J1867" s="36" t="s">
        <v>19</v>
      </c>
      <c r="K1867" s="36" t="s">
        <v>11488</v>
      </c>
      <c r="L1867" s="36"/>
    </row>
    <row r="1868" spans="1:12" hidden="1">
      <c r="A1868" s="42">
        <f t="shared" si="29"/>
        <v>1867</v>
      </c>
      <c r="B1868" s="36" t="s">
        <v>8</v>
      </c>
      <c r="C1868" s="36" t="s">
        <v>10059</v>
      </c>
      <c r="D1868" s="9" t="s">
        <v>10605</v>
      </c>
      <c r="E1868" s="9" t="s">
        <v>10376</v>
      </c>
      <c r="F1868" s="9" t="s">
        <v>10375</v>
      </c>
      <c r="G1868" s="36" t="s">
        <v>14</v>
      </c>
      <c r="H1868" s="36" t="str">
        <f>IFERROR(VLOOKUP(Table2[[#This Row], [Ticket]],Okey!A:B,2,0),"")</f>
        <v/>
      </c>
      <c r="I1868" s="36"/>
      <c r="J1868" s="36" t="s">
        <v>19</v>
      </c>
      <c r="K1868" s="36" t="s">
        <v>11488</v>
      </c>
      <c r="L1868" s="36"/>
    </row>
    <row r="1869" spans="1:12" hidden="1">
      <c r="A1869" s="42">
        <f t="shared" si="29"/>
        <v>1868</v>
      </c>
      <c r="B1869" s="36" t="s">
        <v>8</v>
      </c>
      <c r="C1869" s="36" t="s">
        <v>10059</v>
      </c>
      <c r="D1869" s="9" t="s">
        <v>10606</v>
      </c>
      <c r="E1869" s="9" t="s">
        <v>10377</v>
      </c>
      <c r="F1869" s="9" t="s">
        <v>10375</v>
      </c>
      <c r="G1869" s="36" t="s">
        <v>14</v>
      </c>
      <c r="H1869" s="36" t="str">
        <f>IFERROR(VLOOKUP(Table2[[#This Row], [Ticket]],Okey!A:B,2,0),"")</f>
        <v/>
      </c>
      <c r="I1869" s="36"/>
      <c r="J1869" s="36" t="s">
        <v>19</v>
      </c>
      <c r="K1869" s="36" t="s">
        <v>11488</v>
      </c>
      <c r="L1869" s="36"/>
    </row>
    <row r="1870" spans="1:12" hidden="1">
      <c r="A1870" s="42">
        <f t="shared" si="29"/>
        <v>1869</v>
      </c>
      <c r="B1870" s="36" t="s">
        <v>8</v>
      </c>
      <c r="C1870" s="36" t="s">
        <v>10059</v>
      </c>
      <c r="D1870" s="9" t="s">
        <v>10607</v>
      </c>
      <c r="E1870" s="9" t="s">
        <v>10378</v>
      </c>
      <c r="F1870" s="9" t="s">
        <v>10375</v>
      </c>
      <c r="G1870" s="36" t="s">
        <v>14</v>
      </c>
      <c r="H1870" s="36" t="str">
        <f>IFERROR(VLOOKUP(Table2[[#This Row], [Ticket]],Okey!A:B,2,0),"")</f>
        <v/>
      </c>
      <c r="I1870" s="36"/>
      <c r="J1870" s="36" t="s">
        <v>19</v>
      </c>
      <c r="K1870" s="36" t="s">
        <v>11488</v>
      </c>
      <c r="L1870" s="36"/>
    </row>
    <row r="1871" spans="1:12" hidden="1">
      <c r="A1871" s="42">
        <f t="shared" si="29"/>
        <v>1870</v>
      </c>
      <c r="B1871" s="36" t="s">
        <v>8</v>
      </c>
      <c r="C1871" s="36" t="s">
        <v>10059</v>
      </c>
      <c r="D1871" s="9" t="s">
        <v>10608</v>
      </c>
      <c r="E1871" s="9" t="s">
        <v>10379</v>
      </c>
      <c r="F1871" s="9" t="s">
        <v>10380</v>
      </c>
      <c r="G1871" s="36" t="s">
        <v>14</v>
      </c>
      <c r="H1871" s="36" t="str">
        <f>IFERROR(VLOOKUP(Table2[[#This Row], [Ticket]],Okey!A:B,2,0),"")</f>
        <v/>
      </c>
      <c r="I1871" s="36"/>
      <c r="J1871" s="36" t="s">
        <v>19</v>
      </c>
      <c r="K1871" s="36" t="s">
        <v>11488</v>
      </c>
      <c r="L1871" s="36"/>
    </row>
    <row r="1872" spans="1:12" hidden="1">
      <c r="A1872" s="42">
        <f t="shared" si="29"/>
        <v>1871</v>
      </c>
      <c r="B1872" s="36" t="s">
        <v>8</v>
      </c>
      <c r="C1872" s="36" t="s">
        <v>10059</v>
      </c>
      <c r="D1872" s="9" t="s">
        <v>10609</v>
      </c>
      <c r="E1872" s="9" t="s">
        <v>10381</v>
      </c>
      <c r="F1872" s="9" t="s">
        <v>10380</v>
      </c>
      <c r="G1872" s="36" t="s">
        <v>14</v>
      </c>
      <c r="H1872" s="36" t="str">
        <f>IFERROR(VLOOKUP(Table2[[#This Row], [Ticket]],Okey!A:B,2,0),"")</f>
        <v/>
      </c>
      <c r="I1872" s="36"/>
      <c r="J1872" s="36" t="s">
        <v>19</v>
      </c>
      <c r="K1872" s="36" t="s">
        <v>11488</v>
      </c>
      <c r="L1872" s="36"/>
    </row>
    <row r="1873" spans="1:12" hidden="1">
      <c r="A1873" s="42">
        <f t="shared" si="29"/>
        <v>1872</v>
      </c>
      <c r="B1873" s="36" t="s">
        <v>8</v>
      </c>
      <c r="C1873" s="36" t="s">
        <v>10059</v>
      </c>
      <c r="D1873" s="9" t="s">
        <v>10610</v>
      </c>
      <c r="E1873" s="9" t="s">
        <v>10382</v>
      </c>
      <c r="F1873" s="9" t="s">
        <v>10380</v>
      </c>
      <c r="G1873" s="36" t="s">
        <v>14</v>
      </c>
      <c r="H1873" s="36" t="str">
        <f>IFERROR(VLOOKUP(Table2[[#This Row], [Ticket]],Okey!A:B,2,0),"")</f>
        <v/>
      </c>
      <c r="I1873" s="36"/>
      <c r="J1873" s="36" t="s">
        <v>19</v>
      </c>
      <c r="K1873" s="36" t="s">
        <v>11488</v>
      </c>
      <c r="L1873" s="36"/>
    </row>
    <row r="1874" spans="1:12" hidden="1">
      <c r="A1874" s="42">
        <f t="shared" si="29"/>
        <v>1873</v>
      </c>
      <c r="B1874" s="36" t="s">
        <v>8</v>
      </c>
      <c r="C1874" s="36" t="s">
        <v>10059</v>
      </c>
      <c r="D1874" s="9" t="s">
        <v>10611</v>
      </c>
      <c r="E1874" s="9" t="s">
        <v>10383</v>
      </c>
      <c r="F1874" s="9" t="s">
        <v>10380</v>
      </c>
      <c r="G1874" s="36" t="s">
        <v>14</v>
      </c>
      <c r="H1874" s="36" t="str">
        <f>IFERROR(VLOOKUP(Table2[[#This Row], [Ticket]],Okey!A:B,2,0),"")</f>
        <v/>
      </c>
      <c r="I1874" s="36"/>
      <c r="J1874" s="36" t="s">
        <v>19</v>
      </c>
      <c r="K1874" s="36" t="s">
        <v>11488</v>
      </c>
      <c r="L1874" s="36"/>
    </row>
    <row r="1875" spans="1:12" hidden="1">
      <c r="A1875" s="42">
        <f t="shared" si="29"/>
        <v>1874</v>
      </c>
      <c r="B1875" s="36" t="s">
        <v>8</v>
      </c>
      <c r="C1875" s="36" t="s">
        <v>10059</v>
      </c>
      <c r="D1875" s="9" t="s">
        <v>10612</v>
      </c>
      <c r="E1875" s="9" t="s">
        <v>10384</v>
      </c>
      <c r="F1875" s="9" t="s">
        <v>10380</v>
      </c>
      <c r="G1875" s="36" t="s">
        <v>14</v>
      </c>
      <c r="H1875" s="36" t="str">
        <f>IFERROR(VLOOKUP(Table2[[#This Row], [Ticket]],Okey!A:B,2,0),"")</f>
        <v/>
      </c>
      <c r="I1875" s="36"/>
      <c r="J1875" s="36" t="s">
        <v>19</v>
      </c>
      <c r="K1875" s="36" t="s">
        <v>11488</v>
      </c>
      <c r="L1875" s="36"/>
    </row>
    <row r="1876" spans="1:12" hidden="1">
      <c r="A1876" s="42">
        <f t="shared" si="29"/>
        <v>1875</v>
      </c>
      <c r="B1876" s="36" t="s">
        <v>8</v>
      </c>
      <c r="C1876" s="36" t="s">
        <v>10059</v>
      </c>
      <c r="D1876" s="9" t="s">
        <v>10613</v>
      </c>
      <c r="E1876" s="9" t="s">
        <v>10385</v>
      </c>
      <c r="F1876" s="9" t="s">
        <v>10380</v>
      </c>
      <c r="G1876" s="36" t="s">
        <v>14</v>
      </c>
      <c r="H1876" s="36" t="str">
        <f>IFERROR(VLOOKUP(Table2[[#This Row], [Ticket]],Okey!A:B,2,0),"")</f>
        <v/>
      </c>
      <c r="I1876" s="36"/>
      <c r="J1876" s="36" t="s">
        <v>19</v>
      </c>
      <c r="K1876" s="36" t="s">
        <v>11488</v>
      </c>
      <c r="L1876" s="36"/>
    </row>
    <row r="1877" spans="1:12" hidden="1">
      <c r="A1877" s="42">
        <f t="shared" si="29"/>
        <v>1876</v>
      </c>
      <c r="B1877" s="36" t="s">
        <v>8</v>
      </c>
      <c r="C1877" s="36" t="s">
        <v>10059</v>
      </c>
      <c r="D1877" s="9" t="s">
        <v>10614</v>
      </c>
      <c r="E1877" s="9" t="s">
        <v>10386</v>
      </c>
      <c r="F1877" s="9" t="s">
        <v>10380</v>
      </c>
      <c r="G1877" s="36" t="s">
        <v>14</v>
      </c>
      <c r="H1877" s="36" t="str">
        <f>IFERROR(VLOOKUP(Table2[[#This Row], [Ticket]],Okey!A:B,2,0),"")</f>
        <v/>
      </c>
      <c r="I1877" s="36"/>
      <c r="J1877" s="36" t="s">
        <v>19</v>
      </c>
      <c r="K1877" s="36" t="s">
        <v>11488</v>
      </c>
      <c r="L1877" s="36"/>
    </row>
    <row r="1878" spans="1:12" hidden="1">
      <c r="A1878" s="42">
        <f t="shared" ref="A1878:A1941" si="30">1+A1877</f>
        <v>1877</v>
      </c>
      <c r="B1878" s="36" t="s">
        <v>8</v>
      </c>
      <c r="C1878" s="36" t="s">
        <v>10059</v>
      </c>
      <c r="D1878" s="9" t="s">
        <v>10615</v>
      </c>
      <c r="E1878" s="9" t="s">
        <v>10387</v>
      </c>
      <c r="F1878" s="9" t="s">
        <v>10380</v>
      </c>
      <c r="G1878" s="36" t="s">
        <v>14</v>
      </c>
      <c r="H1878" s="36" t="str">
        <f>IFERROR(VLOOKUP(Table2[[#This Row], [Ticket]],Okey!A:B,2,0),"")</f>
        <v/>
      </c>
      <c r="I1878" s="36"/>
      <c r="J1878" s="36" t="s">
        <v>19</v>
      </c>
      <c r="K1878" s="36" t="s">
        <v>11488</v>
      </c>
      <c r="L1878" s="36"/>
    </row>
    <row r="1879" spans="1:12" hidden="1">
      <c r="A1879" s="42">
        <f t="shared" si="30"/>
        <v>1878</v>
      </c>
      <c r="B1879" s="36" t="s">
        <v>8</v>
      </c>
      <c r="C1879" s="36" t="s">
        <v>10059</v>
      </c>
      <c r="D1879" s="9" t="s">
        <v>10616</v>
      </c>
      <c r="E1879" s="9" t="s">
        <v>10388</v>
      </c>
      <c r="F1879" s="9" t="s">
        <v>10380</v>
      </c>
      <c r="G1879" s="36" t="s">
        <v>14</v>
      </c>
      <c r="H1879" s="36" t="str">
        <f>IFERROR(VLOOKUP(Table2[[#This Row], [Ticket]],Okey!A:B,2,0),"")</f>
        <v/>
      </c>
      <c r="I1879" s="36"/>
      <c r="J1879" s="36" t="s">
        <v>19</v>
      </c>
      <c r="K1879" s="36" t="s">
        <v>11488</v>
      </c>
      <c r="L1879" s="36"/>
    </row>
    <row r="1880" spans="1:12" hidden="1">
      <c r="A1880" s="42">
        <f t="shared" si="30"/>
        <v>1879</v>
      </c>
      <c r="B1880" s="36" t="s">
        <v>8</v>
      </c>
      <c r="C1880" s="36" t="s">
        <v>10059</v>
      </c>
      <c r="D1880" s="9" t="s">
        <v>10617</v>
      </c>
      <c r="E1880" s="9" t="s">
        <v>10389</v>
      </c>
      <c r="F1880" s="9" t="s">
        <v>10380</v>
      </c>
      <c r="G1880" s="36" t="s">
        <v>14</v>
      </c>
      <c r="H1880" s="36" t="str">
        <f>IFERROR(VLOOKUP(Table2[[#This Row], [Ticket]],Okey!A:B,2,0),"")</f>
        <v/>
      </c>
      <c r="I1880" s="36"/>
      <c r="J1880" s="36" t="s">
        <v>19</v>
      </c>
      <c r="K1880" s="36" t="s">
        <v>11488</v>
      </c>
      <c r="L1880" s="36"/>
    </row>
    <row r="1881" spans="1:12" hidden="1">
      <c r="A1881" s="42">
        <f t="shared" si="30"/>
        <v>1880</v>
      </c>
      <c r="B1881" s="36" t="s">
        <v>8</v>
      </c>
      <c r="C1881" s="36" t="s">
        <v>10059</v>
      </c>
      <c r="D1881" s="9" t="s">
        <v>10618</v>
      </c>
      <c r="E1881" s="9" t="s">
        <v>10390</v>
      </c>
      <c r="F1881" s="9" t="s">
        <v>10380</v>
      </c>
      <c r="G1881" s="36" t="s">
        <v>14</v>
      </c>
      <c r="H1881" s="36" t="str">
        <f>IFERROR(VLOOKUP(Table2[[#This Row], [Ticket]],Okey!A:B,2,0),"")</f>
        <v/>
      </c>
      <c r="I1881" s="36"/>
      <c r="J1881" s="36" t="s">
        <v>19</v>
      </c>
      <c r="K1881" s="36" t="s">
        <v>11488</v>
      </c>
      <c r="L1881" s="36"/>
    </row>
    <row r="1882" spans="1:12" hidden="1">
      <c r="A1882" s="42">
        <f t="shared" si="30"/>
        <v>1881</v>
      </c>
      <c r="B1882" s="36" t="s">
        <v>8</v>
      </c>
      <c r="C1882" s="36" t="s">
        <v>10059</v>
      </c>
      <c r="D1882" s="9" t="s">
        <v>10619</v>
      </c>
      <c r="E1882" s="9" t="s">
        <v>10391</v>
      </c>
      <c r="F1882" s="9" t="s">
        <v>10380</v>
      </c>
      <c r="G1882" s="36" t="s">
        <v>14</v>
      </c>
      <c r="H1882" s="36" t="str">
        <f>IFERROR(VLOOKUP(Table2[[#This Row], [Ticket]],Okey!A:B,2,0),"")</f>
        <v/>
      </c>
      <c r="I1882" s="36"/>
      <c r="J1882" s="36" t="s">
        <v>19</v>
      </c>
      <c r="K1882" s="36" t="s">
        <v>11488</v>
      </c>
      <c r="L1882" s="36"/>
    </row>
    <row r="1883" spans="1:12" hidden="1">
      <c r="A1883" s="42">
        <f t="shared" si="30"/>
        <v>1882</v>
      </c>
      <c r="B1883" s="36" t="s">
        <v>8</v>
      </c>
      <c r="C1883" s="36" t="s">
        <v>10059</v>
      </c>
      <c r="D1883" s="9" t="s">
        <v>10620</v>
      </c>
      <c r="E1883" s="9" t="s">
        <v>10392</v>
      </c>
      <c r="F1883" s="9" t="s">
        <v>10380</v>
      </c>
      <c r="G1883" s="36" t="s">
        <v>14</v>
      </c>
      <c r="H1883" s="36" t="str">
        <f>IFERROR(VLOOKUP(Table2[[#This Row], [Ticket]],Okey!A:B,2,0),"")</f>
        <v/>
      </c>
      <c r="I1883" s="36"/>
      <c r="J1883" s="36" t="s">
        <v>19</v>
      </c>
      <c r="K1883" s="36" t="s">
        <v>11488</v>
      </c>
      <c r="L1883" s="36"/>
    </row>
    <row r="1884" spans="1:12" hidden="1">
      <c r="A1884" s="42">
        <f t="shared" si="30"/>
        <v>1883</v>
      </c>
      <c r="B1884" s="36" t="s">
        <v>8</v>
      </c>
      <c r="C1884" s="36" t="s">
        <v>10059</v>
      </c>
      <c r="D1884" s="9" t="s">
        <v>10621</v>
      </c>
      <c r="E1884" s="9" t="s">
        <v>10393</v>
      </c>
      <c r="F1884" s="9" t="s">
        <v>10380</v>
      </c>
      <c r="G1884" s="36" t="s">
        <v>14</v>
      </c>
      <c r="H1884" s="36" t="str">
        <f>IFERROR(VLOOKUP(Table2[[#This Row], [Ticket]],Okey!A:B,2,0),"")</f>
        <v/>
      </c>
      <c r="I1884" s="36"/>
      <c r="J1884" s="36" t="s">
        <v>19</v>
      </c>
      <c r="K1884" s="36" t="s">
        <v>11488</v>
      </c>
      <c r="L1884" s="36"/>
    </row>
    <row r="1885" spans="1:12" hidden="1">
      <c r="A1885" s="42">
        <f t="shared" si="30"/>
        <v>1884</v>
      </c>
      <c r="B1885" s="36" t="s">
        <v>8</v>
      </c>
      <c r="C1885" s="36" t="s">
        <v>10059</v>
      </c>
      <c r="D1885" s="9" t="s">
        <v>10622</v>
      </c>
      <c r="E1885" s="9" t="s">
        <v>10394</v>
      </c>
      <c r="F1885" s="9" t="s">
        <v>10380</v>
      </c>
      <c r="G1885" s="36" t="s">
        <v>14</v>
      </c>
      <c r="H1885" s="36" t="str">
        <f>IFERROR(VLOOKUP(Table2[[#This Row], [Ticket]],Okey!A:B,2,0),"")</f>
        <v/>
      </c>
      <c r="I1885" s="36"/>
      <c r="J1885" s="36" t="s">
        <v>19</v>
      </c>
      <c r="K1885" s="36" t="s">
        <v>11488</v>
      </c>
      <c r="L1885" s="36"/>
    </row>
    <row r="1886" spans="1:12" hidden="1">
      <c r="A1886" s="42">
        <f t="shared" si="30"/>
        <v>1885</v>
      </c>
      <c r="B1886" s="36" t="s">
        <v>8</v>
      </c>
      <c r="C1886" s="36" t="s">
        <v>10059</v>
      </c>
      <c r="D1886" s="9" t="s">
        <v>10623</v>
      </c>
      <c r="E1886" s="9" t="s">
        <v>10395</v>
      </c>
      <c r="F1886" s="9" t="s">
        <v>10380</v>
      </c>
      <c r="G1886" s="36" t="s">
        <v>14</v>
      </c>
      <c r="H1886" s="36" t="str">
        <f>IFERROR(VLOOKUP(Table2[[#This Row], [Ticket]],Okey!A:B,2,0),"")</f>
        <v/>
      </c>
      <c r="I1886" s="36"/>
      <c r="J1886" s="36" t="s">
        <v>19</v>
      </c>
      <c r="K1886" s="36" t="s">
        <v>11488</v>
      </c>
      <c r="L1886" s="36"/>
    </row>
    <row r="1887" spans="1:12" hidden="1">
      <c r="A1887" s="42">
        <f t="shared" si="30"/>
        <v>1886</v>
      </c>
      <c r="B1887" s="36" t="s">
        <v>8</v>
      </c>
      <c r="C1887" s="36" t="s">
        <v>10059</v>
      </c>
      <c r="D1887" s="9" t="s">
        <v>10624</v>
      </c>
      <c r="E1887" s="9" t="s">
        <v>10396</v>
      </c>
      <c r="F1887" s="9" t="s">
        <v>10380</v>
      </c>
      <c r="G1887" s="36" t="s">
        <v>14</v>
      </c>
      <c r="H1887" s="36" t="str">
        <f>IFERROR(VLOOKUP(Table2[[#This Row], [Ticket]],Okey!A:B,2,0),"")</f>
        <v/>
      </c>
      <c r="I1887" s="36"/>
      <c r="J1887" s="36" t="s">
        <v>19</v>
      </c>
      <c r="K1887" s="36" t="s">
        <v>11488</v>
      </c>
      <c r="L1887" s="36"/>
    </row>
    <row r="1888" spans="1:12" hidden="1">
      <c r="A1888" s="42">
        <f t="shared" si="30"/>
        <v>1887</v>
      </c>
      <c r="B1888" s="36" t="s">
        <v>8</v>
      </c>
      <c r="C1888" s="36" t="s">
        <v>10059</v>
      </c>
      <c r="D1888" s="9" t="s">
        <v>10625</v>
      </c>
      <c r="E1888" s="9" t="s">
        <v>10397</v>
      </c>
      <c r="F1888" s="9" t="s">
        <v>10380</v>
      </c>
      <c r="G1888" s="36" t="s">
        <v>14</v>
      </c>
      <c r="H1888" s="36" t="str">
        <f>IFERROR(VLOOKUP(Table2[[#This Row], [Ticket]],Okey!A:B,2,0),"")</f>
        <v/>
      </c>
      <c r="I1888" s="36"/>
      <c r="J1888" s="36" t="s">
        <v>19</v>
      </c>
      <c r="K1888" s="36" t="s">
        <v>11488</v>
      </c>
      <c r="L1888" s="36"/>
    </row>
    <row r="1889" spans="1:12" hidden="1">
      <c r="A1889" s="42">
        <f t="shared" si="30"/>
        <v>1888</v>
      </c>
      <c r="B1889" s="36" t="s">
        <v>8</v>
      </c>
      <c r="C1889" s="36" t="s">
        <v>10059</v>
      </c>
      <c r="D1889" s="9" t="s">
        <v>10626</v>
      </c>
      <c r="E1889" s="9" t="s">
        <v>10398</v>
      </c>
      <c r="F1889" s="9" t="s">
        <v>10380</v>
      </c>
      <c r="G1889" s="36" t="s">
        <v>14</v>
      </c>
      <c r="H1889" s="36" t="str">
        <f>IFERROR(VLOOKUP(Table2[[#This Row], [Ticket]],Okey!A:B,2,0),"")</f>
        <v/>
      </c>
      <c r="I1889" s="36"/>
      <c r="J1889" s="36" t="s">
        <v>19</v>
      </c>
      <c r="K1889" s="36" t="s">
        <v>11488</v>
      </c>
      <c r="L1889" s="36"/>
    </row>
    <row r="1890" spans="1:12" hidden="1">
      <c r="A1890" s="42">
        <f t="shared" si="30"/>
        <v>1889</v>
      </c>
      <c r="B1890" s="36" t="s">
        <v>8</v>
      </c>
      <c r="C1890" s="36" t="s">
        <v>10059</v>
      </c>
      <c r="D1890" s="9" t="s">
        <v>10627</v>
      </c>
      <c r="E1890" s="9" t="s">
        <v>10399</v>
      </c>
      <c r="F1890" s="9" t="s">
        <v>10380</v>
      </c>
      <c r="G1890" s="36" t="s">
        <v>14</v>
      </c>
      <c r="H1890" s="36" t="str">
        <f>IFERROR(VLOOKUP(Table2[[#This Row], [Ticket]],Okey!A:B,2,0),"")</f>
        <v/>
      </c>
      <c r="I1890" s="36"/>
      <c r="J1890" s="36" t="s">
        <v>19</v>
      </c>
      <c r="K1890" s="36" t="s">
        <v>11488</v>
      </c>
      <c r="L1890" s="36"/>
    </row>
    <row r="1891" spans="1:12" hidden="1">
      <c r="A1891" s="42">
        <f t="shared" si="30"/>
        <v>1890</v>
      </c>
      <c r="B1891" s="36" t="s">
        <v>8</v>
      </c>
      <c r="C1891" s="36" t="s">
        <v>10059</v>
      </c>
      <c r="D1891" s="9" t="s">
        <v>10628</v>
      </c>
      <c r="E1891" s="9" t="s">
        <v>10400</v>
      </c>
      <c r="F1891" s="9" t="s">
        <v>10380</v>
      </c>
      <c r="G1891" s="36" t="s">
        <v>14</v>
      </c>
      <c r="H1891" s="36" t="str">
        <f>IFERROR(VLOOKUP(Table2[[#This Row], [Ticket]],Okey!A:B,2,0),"")</f>
        <v/>
      </c>
      <c r="I1891" s="36"/>
      <c r="J1891" s="36" t="s">
        <v>19</v>
      </c>
      <c r="K1891" s="36" t="s">
        <v>11488</v>
      </c>
      <c r="L1891" s="36"/>
    </row>
    <row r="1892" spans="1:12" hidden="1">
      <c r="A1892" s="42">
        <f t="shared" si="30"/>
        <v>1891</v>
      </c>
      <c r="B1892" s="36" t="s">
        <v>8</v>
      </c>
      <c r="C1892" s="36" t="s">
        <v>10059</v>
      </c>
      <c r="D1892" s="9" t="s">
        <v>10629</v>
      </c>
      <c r="E1892" s="9" t="s">
        <v>10401</v>
      </c>
      <c r="F1892" s="9" t="s">
        <v>10380</v>
      </c>
      <c r="G1892" s="36" t="s">
        <v>14</v>
      </c>
      <c r="H1892" s="36" t="str">
        <f>IFERROR(VLOOKUP(Table2[[#This Row], [Ticket]],Okey!A:B,2,0),"")</f>
        <v/>
      </c>
      <c r="I1892" s="36"/>
      <c r="J1892" s="36" t="s">
        <v>19</v>
      </c>
      <c r="K1892" s="36" t="s">
        <v>11488</v>
      </c>
      <c r="L1892" s="36"/>
    </row>
    <row r="1893" spans="1:12" hidden="1">
      <c r="A1893" s="42">
        <f t="shared" si="30"/>
        <v>1892</v>
      </c>
      <c r="B1893" s="36" t="s">
        <v>8</v>
      </c>
      <c r="C1893" s="36" t="s">
        <v>10059</v>
      </c>
      <c r="D1893" s="9" t="s">
        <v>10630</v>
      </c>
      <c r="E1893" s="9" t="s">
        <v>10402</v>
      </c>
      <c r="F1893" s="9" t="s">
        <v>10380</v>
      </c>
      <c r="G1893" s="36" t="s">
        <v>14</v>
      </c>
      <c r="H1893" s="36" t="str">
        <f>IFERROR(VLOOKUP(Table2[[#This Row], [Ticket]],Okey!A:B,2,0),"")</f>
        <v/>
      </c>
      <c r="I1893" s="36"/>
      <c r="J1893" s="36" t="s">
        <v>19</v>
      </c>
      <c r="K1893" s="36" t="s">
        <v>11488</v>
      </c>
      <c r="L1893" s="36"/>
    </row>
    <row r="1894" spans="1:12" hidden="1">
      <c r="A1894" s="42">
        <f t="shared" si="30"/>
        <v>1893</v>
      </c>
      <c r="B1894" s="36" t="s">
        <v>8</v>
      </c>
      <c r="C1894" s="36" t="s">
        <v>10059</v>
      </c>
      <c r="D1894" s="9" t="s">
        <v>10631</v>
      </c>
      <c r="E1894" s="9" t="s">
        <v>10403</v>
      </c>
      <c r="F1894" s="9" t="s">
        <v>10380</v>
      </c>
      <c r="G1894" s="36" t="s">
        <v>14</v>
      </c>
      <c r="H1894" s="36" t="str">
        <f>IFERROR(VLOOKUP(Table2[[#This Row], [Ticket]],Okey!A:B,2,0),"")</f>
        <v/>
      </c>
      <c r="I1894" s="36"/>
      <c r="J1894" s="36" t="s">
        <v>19</v>
      </c>
      <c r="K1894" s="36" t="s">
        <v>11488</v>
      </c>
      <c r="L1894" s="36"/>
    </row>
    <row r="1895" spans="1:12" hidden="1">
      <c r="A1895" s="42">
        <f t="shared" si="30"/>
        <v>1894</v>
      </c>
      <c r="B1895" s="36" t="s">
        <v>8</v>
      </c>
      <c r="C1895" s="36" t="s">
        <v>10059</v>
      </c>
      <c r="D1895" s="9" t="s">
        <v>10632</v>
      </c>
      <c r="E1895" s="9" t="s">
        <v>10404</v>
      </c>
      <c r="F1895" s="9" t="s">
        <v>10380</v>
      </c>
      <c r="G1895" s="36" t="s">
        <v>14</v>
      </c>
      <c r="H1895" s="36" t="str">
        <f>IFERROR(VLOOKUP(Table2[[#This Row], [Ticket]],Okey!A:B,2,0),"")</f>
        <v/>
      </c>
      <c r="I1895" s="36"/>
      <c r="J1895" s="36" t="s">
        <v>19</v>
      </c>
      <c r="K1895" s="36" t="s">
        <v>11488</v>
      </c>
      <c r="L1895" s="36"/>
    </row>
    <row r="1896" spans="1:12" hidden="1">
      <c r="A1896" s="42">
        <f t="shared" si="30"/>
        <v>1895</v>
      </c>
      <c r="B1896" s="36" t="s">
        <v>8</v>
      </c>
      <c r="C1896" s="36" t="s">
        <v>10059</v>
      </c>
      <c r="D1896" s="9" t="s">
        <v>10633</v>
      </c>
      <c r="E1896" s="9" t="s">
        <v>10405</v>
      </c>
      <c r="F1896" s="9" t="s">
        <v>10380</v>
      </c>
      <c r="G1896" s="36" t="s">
        <v>14</v>
      </c>
      <c r="H1896" s="36" t="str">
        <f>IFERROR(VLOOKUP(Table2[[#This Row], [Ticket]],Okey!A:B,2,0),"")</f>
        <v/>
      </c>
      <c r="I1896" s="36"/>
      <c r="J1896" s="36" t="s">
        <v>19</v>
      </c>
      <c r="K1896" s="36" t="s">
        <v>11488</v>
      </c>
      <c r="L1896" s="36"/>
    </row>
    <row r="1897" spans="1:12" hidden="1">
      <c r="A1897" s="42">
        <f t="shared" si="30"/>
        <v>1896</v>
      </c>
      <c r="B1897" s="36" t="s">
        <v>8</v>
      </c>
      <c r="C1897" s="36" t="s">
        <v>10059</v>
      </c>
      <c r="D1897" s="9" t="s">
        <v>10634</v>
      </c>
      <c r="E1897" s="9" t="s">
        <v>10406</v>
      </c>
      <c r="F1897" s="9" t="s">
        <v>10380</v>
      </c>
      <c r="G1897" s="36" t="s">
        <v>14</v>
      </c>
      <c r="H1897" s="36" t="str">
        <f>IFERROR(VLOOKUP(Table2[[#This Row], [Ticket]],Okey!A:B,2,0),"")</f>
        <v/>
      </c>
      <c r="I1897" s="36"/>
      <c r="J1897" s="36" t="s">
        <v>19</v>
      </c>
      <c r="K1897" s="36" t="s">
        <v>11488</v>
      </c>
      <c r="L1897" s="36"/>
    </row>
    <row r="1898" spans="1:12" hidden="1">
      <c r="A1898" s="42">
        <f t="shared" si="30"/>
        <v>1897</v>
      </c>
      <c r="B1898" s="36" t="s">
        <v>8</v>
      </c>
      <c r="C1898" s="36" t="s">
        <v>10059</v>
      </c>
      <c r="D1898" s="9" t="s">
        <v>10635</v>
      </c>
      <c r="E1898" s="9" t="s">
        <v>10407</v>
      </c>
      <c r="F1898" s="9" t="s">
        <v>10380</v>
      </c>
      <c r="G1898" s="36" t="s">
        <v>14</v>
      </c>
      <c r="H1898" s="36" t="str">
        <f>IFERROR(VLOOKUP(Table2[[#This Row], [Ticket]],Okey!A:B,2,0),"")</f>
        <v/>
      </c>
      <c r="I1898" s="36"/>
      <c r="J1898" s="36" t="s">
        <v>19</v>
      </c>
      <c r="K1898" s="36" t="s">
        <v>11488</v>
      </c>
      <c r="L1898" s="36"/>
    </row>
    <row r="1899" spans="1:12" hidden="1">
      <c r="A1899" s="42">
        <f t="shared" si="30"/>
        <v>1898</v>
      </c>
      <c r="B1899" s="36" t="s">
        <v>8</v>
      </c>
      <c r="C1899" s="36" t="s">
        <v>10059</v>
      </c>
      <c r="D1899" s="9" t="s">
        <v>10636</v>
      </c>
      <c r="E1899" s="9" t="s">
        <v>10408</v>
      </c>
      <c r="F1899" s="9" t="s">
        <v>10380</v>
      </c>
      <c r="G1899" s="36" t="s">
        <v>14</v>
      </c>
      <c r="H1899" s="36" t="str">
        <f>IFERROR(VLOOKUP(Table2[[#This Row], [Ticket]],Okey!A:B,2,0),"")</f>
        <v/>
      </c>
      <c r="I1899" s="36"/>
      <c r="J1899" s="36" t="s">
        <v>19</v>
      </c>
      <c r="K1899" s="36" t="s">
        <v>11488</v>
      </c>
      <c r="L1899" s="36"/>
    </row>
    <row r="1900" spans="1:12" hidden="1">
      <c r="A1900" s="42">
        <f t="shared" si="30"/>
        <v>1899</v>
      </c>
      <c r="B1900" s="36" t="s">
        <v>8</v>
      </c>
      <c r="C1900" s="36" t="s">
        <v>10059</v>
      </c>
      <c r="D1900" s="9" t="s">
        <v>10637</v>
      </c>
      <c r="E1900" s="9" t="s">
        <v>10409</v>
      </c>
      <c r="F1900" s="9" t="s">
        <v>10380</v>
      </c>
      <c r="G1900" s="36" t="s">
        <v>14</v>
      </c>
      <c r="H1900" s="36" t="str">
        <f>IFERROR(VLOOKUP(Table2[[#This Row], [Ticket]],Okey!A:B,2,0),"")</f>
        <v/>
      </c>
      <c r="I1900" s="36"/>
      <c r="J1900" s="36" t="s">
        <v>19</v>
      </c>
      <c r="K1900" s="36" t="s">
        <v>11488</v>
      </c>
      <c r="L1900" s="36"/>
    </row>
    <row r="1901" spans="1:12" hidden="1">
      <c r="A1901" s="42">
        <f t="shared" si="30"/>
        <v>1900</v>
      </c>
      <c r="B1901" s="36" t="s">
        <v>8</v>
      </c>
      <c r="C1901" s="36" t="s">
        <v>10059</v>
      </c>
      <c r="D1901" s="9" t="s">
        <v>10638</v>
      </c>
      <c r="E1901" s="9" t="s">
        <v>10410</v>
      </c>
      <c r="F1901" s="9" t="s">
        <v>10380</v>
      </c>
      <c r="G1901" s="36" t="s">
        <v>14</v>
      </c>
      <c r="H1901" s="36" t="str">
        <f>IFERROR(VLOOKUP(Table2[[#This Row], [Ticket]],Okey!A:B,2,0),"")</f>
        <v/>
      </c>
      <c r="I1901" s="36"/>
      <c r="J1901" s="36" t="s">
        <v>19</v>
      </c>
      <c r="K1901" s="36" t="s">
        <v>11488</v>
      </c>
      <c r="L1901" s="36"/>
    </row>
    <row r="1902" spans="1:12" hidden="1">
      <c r="A1902" s="42">
        <f t="shared" si="30"/>
        <v>1901</v>
      </c>
      <c r="B1902" s="36" t="s">
        <v>8</v>
      </c>
      <c r="C1902" s="36" t="s">
        <v>10059</v>
      </c>
      <c r="D1902" s="9" t="s">
        <v>10639</v>
      </c>
      <c r="E1902" s="9" t="s">
        <v>10411</v>
      </c>
      <c r="F1902" s="9" t="s">
        <v>10380</v>
      </c>
      <c r="G1902" s="36" t="s">
        <v>14</v>
      </c>
      <c r="H1902" s="36" t="str">
        <f>IFERROR(VLOOKUP(Table2[[#This Row], [Ticket]],Okey!A:B,2,0),"")</f>
        <v/>
      </c>
      <c r="I1902" s="36"/>
      <c r="J1902" s="36" t="s">
        <v>19</v>
      </c>
      <c r="K1902" s="36" t="s">
        <v>11488</v>
      </c>
      <c r="L1902" s="36"/>
    </row>
    <row r="1903" spans="1:12" hidden="1">
      <c r="A1903" s="42">
        <f t="shared" si="30"/>
        <v>1902</v>
      </c>
      <c r="B1903" s="36" t="s">
        <v>8</v>
      </c>
      <c r="C1903" s="36" t="s">
        <v>10059</v>
      </c>
      <c r="D1903" s="9" t="s">
        <v>10640</v>
      </c>
      <c r="E1903" s="9" t="s">
        <v>10412</v>
      </c>
      <c r="F1903" s="9" t="s">
        <v>10413</v>
      </c>
      <c r="G1903" s="36" t="s">
        <v>14</v>
      </c>
      <c r="H1903" s="36" t="str">
        <f>IFERROR(VLOOKUP(Table2[[#This Row], [Ticket]],Okey!A:B,2,0),"")</f>
        <v/>
      </c>
      <c r="I1903" s="36"/>
      <c r="J1903" s="36" t="s">
        <v>19</v>
      </c>
      <c r="K1903" s="36" t="s">
        <v>11488</v>
      </c>
      <c r="L1903" s="36"/>
    </row>
    <row r="1904" spans="1:12" hidden="1">
      <c r="A1904" s="42">
        <f t="shared" si="30"/>
        <v>1903</v>
      </c>
      <c r="B1904" s="36" t="s">
        <v>8</v>
      </c>
      <c r="C1904" s="36" t="s">
        <v>10059</v>
      </c>
      <c r="D1904" s="9" t="s">
        <v>10641</v>
      </c>
      <c r="E1904" s="9" t="s">
        <v>10414</v>
      </c>
      <c r="F1904" s="9" t="s">
        <v>10413</v>
      </c>
      <c r="G1904" s="36" t="s">
        <v>14</v>
      </c>
      <c r="H1904" s="36" t="str">
        <f>IFERROR(VLOOKUP(Table2[[#This Row], [Ticket]],Okey!A:B,2,0),"")</f>
        <v/>
      </c>
      <c r="I1904" s="36"/>
      <c r="J1904" s="36" t="s">
        <v>19</v>
      </c>
      <c r="K1904" s="36" t="s">
        <v>11488</v>
      </c>
      <c r="L1904" s="36"/>
    </row>
    <row r="1905" spans="1:12" hidden="1">
      <c r="A1905" s="42">
        <f t="shared" si="30"/>
        <v>1904</v>
      </c>
      <c r="B1905" s="36" t="s">
        <v>8</v>
      </c>
      <c r="C1905" s="36" t="s">
        <v>10059</v>
      </c>
      <c r="D1905" s="9" t="s">
        <v>10642</v>
      </c>
      <c r="E1905" s="9" t="s">
        <v>10415</v>
      </c>
      <c r="F1905" s="9" t="s">
        <v>10413</v>
      </c>
      <c r="G1905" s="36" t="s">
        <v>14</v>
      </c>
      <c r="H1905" s="36" t="str">
        <f>IFERROR(VLOOKUP(Table2[[#This Row], [Ticket]],Okey!A:B,2,0),"")</f>
        <v/>
      </c>
      <c r="I1905" s="36"/>
      <c r="J1905" s="36" t="s">
        <v>19</v>
      </c>
      <c r="K1905" s="36" t="s">
        <v>11488</v>
      </c>
      <c r="L1905" s="36"/>
    </row>
    <row r="1906" spans="1:12" hidden="1">
      <c r="A1906" s="42">
        <f t="shared" si="30"/>
        <v>1905</v>
      </c>
      <c r="B1906" s="36" t="s">
        <v>8</v>
      </c>
      <c r="C1906" s="36" t="s">
        <v>10059</v>
      </c>
      <c r="D1906" s="9" t="s">
        <v>10643</v>
      </c>
      <c r="E1906" s="9" t="s">
        <v>10416</v>
      </c>
      <c r="F1906" s="9" t="s">
        <v>10413</v>
      </c>
      <c r="G1906" s="36" t="s">
        <v>14</v>
      </c>
      <c r="H1906" s="36" t="str">
        <f>IFERROR(VLOOKUP(Table2[[#This Row], [Ticket]],Okey!A:B,2,0),"")</f>
        <v/>
      </c>
      <c r="I1906" s="36"/>
      <c r="J1906" s="36" t="s">
        <v>19</v>
      </c>
      <c r="K1906" s="36" t="s">
        <v>11488</v>
      </c>
      <c r="L1906" s="36"/>
    </row>
    <row r="1907" spans="1:12" hidden="1">
      <c r="A1907" s="42">
        <f t="shared" si="30"/>
        <v>1906</v>
      </c>
      <c r="B1907" s="36" t="s">
        <v>8</v>
      </c>
      <c r="C1907" s="36" t="s">
        <v>10059</v>
      </c>
      <c r="D1907" s="9" t="s">
        <v>10644</v>
      </c>
      <c r="E1907" s="9" t="s">
        <v>10417</v>
      </c>
      <c r="F1907" s="9" t="s">
        <v>10413</v>
      </c>
      <c r="G1907" s="36" t="s">
        <v>14</v>
      </c>
      <c r="H1907" s="36" t="str">
        <f>IFERROR(VLOOKUP(Table2[[#This Row], [Ticket]],Okey!A:B,2,0),"")</f>
        <v/>
      </c>
      <c r="I1907" s="36"/>
      <c r="J1907" s="36" t="s">
        <v>19</v>
      </c>
      <c r="K1907" s="36" t="s">
        <v>11488</v>
      </c>
      <c r="L1907" s="36"/>
    </row>
    <row r="1908" spans="1:12" hidden="1">
      <c r="A1908" s="42">
        <f t="shared" si="30"/>
        <v>1907</v>
      </c>
      <c r="B1908" s="36" t="s">
        <v>8</v>
      </c>
      <c r="C1908" s="36" t="s">
        <v>10059</v>
      </c>
      <c r="D1908" s="9" t="s">
        <v>10645</v>
      </c>
      <c r="E1908" s="9" t="s">
        <v>10418</v>
      </c>
      <c r="F1908" s="9" t="s">
        <v>10413</v>
      </c>
      <c r="G1908" s="36" t="s">
        <v>14</v>
      </c>
      <c r="H1908" s="36" t="str">
        <f>IFERROR(VLOOKUP(Table2[[#This Row], [Ticket]],Okey!A:B,2,0),"")</f>
        <v/>
      </c>
      <c r="I1908" s="36"/>
      <c r="J1908" s="36" t="s">
        <v>19</v>
      </c>
      <c r="K1908" s="36" t="s">
        <v>11488</v>
      </c>
      <c r="L1908" s="36"/>
    </row>
    <row r="1909" spans="1:12" hidden="1">
      <c r="A1909" s="42">
        <f t="shared" si="30"/>
        <v>1908</v>
      </c>
      <c r="B1909" s="36" t="s">
        <v>8</v>
      </c>
      <c r="C1909" s="36" t="s">
        <v>10059</v>
      </c>
      <c r="D1909" s="9" t="s">
        <v>10646</v>
      </c>
      <c r="E1909" s="9" t="s">
        <v>10419</v>
      </c>
      <c r="F1909" s="9" t="s">
        <v>10413</v>
      </c>
      <c r="G1909" s="36" t="s">
        <v>14</v>
      </c>
      <c r="H1909" s="36" t="str">
        <f>IFERROR(VLOOKUP(Table2[[#This Row], [Ticket]],Okey!A:B,2,0),"")</f>
        <v/>
      </c>
      <c r="I1909" s="36"/>
      <c r="J1909" s="36" t="s">
        <v>19</v>
      </c>
      <c r="K1909" s="36" t="s">
        <v>11488</v>
      </c>
      <c r="L1909" s="36"/>
    </row>
    <row r="1910" spans="1:12" hidden="1">
      <c r="A1910" s="42">
        <f t="shared" si="30"/>
        <v>1909</v>
      </c>
      <c r="B1910" s="36" t="s">
        <v>8</v>
      </c>
      <c r="C1910" s="36" t="s">
        <v>10059</v>
      </c>
      <c r="D1910" s="9" t="s">
        <v>10647</v>
      </c>
      <c r="E1910" s="9" t="s">
        <v>10420</v>
      </c>
      <c r="F1910" s="9" t="s">
        <v>10413</v>
      </c>
      <c r="G1910" s="36" t="s">
        <v>14</v>
      </c>
      <c r="H1910" s="36" t="str">
        <f>IFERROR(VLOOKUP(Table2[[#This Row], [Ticket]],Okey!A:B,2,0),"")</f>
        <v/>
      </c>
      <c r="I1910" s="36"/>
      <c r="J1910" s="36" t="s">
        <v>19</v>
      </c>
      <c r="K1910" s="36" t="s">
        <v>11488</v>
      </c>
      <c r="L1910" s="36"/>
    </row>
    <row r="1911" spans="1:12" hidden="1">
      <c r="A1911" s="42">
        <f t="shared" si="30"/>
        <v>1910</v>
      </c>
      <c r="B1911" s="36" t="s">
        <v>8</v>
      </c>
      <c r="C1911" s="36" t="s">
        <v>10059</v>
      </c>
      <c r="D1911" s="9" t="s">
        <v>10648</v>
      </c>
      <c r="E1911" s="9" t="s">
        <v>10421</v>
      </c>
      <c r="F1911" s="9" t="s">
        <v>10413</v>
      </c>
      <c r="G1911" s="36" t="s">
        <v>14</v>
      </c>
      <c r="H1911" s="36" t="str">
        <f>IFERROR(VLOOKUP(Table2[[#This Row], [Ticket]],Okey!A:B,2,0),"")</f>
        <v/>
      </c>
      <c r="I1911" s="36"/>
      <c r="J1911" s="36" t="s">
        <v>19</v>
      </c>
      <c r="K1911" s="36" t="s">
        <v>11488</v>
      </c>
      <c r="L1911" s="36"/>
    </row>
    <row r="1912" spans="1:12" hidden="1">
      <c r="A1912" s="42">
        <f t="shared" si="30"/>
        <v>1911</v>
      </c>
      <c r="B1912" s="36" t="s">
        <v>8</v>
      </c>
      <c r="C1912" s="36" t="s">
        <v>10059</v>
      </c>
      <c r="D1912" s="9" t="s">
        <v>10649</v>
      </c>
      <c r="E1912" s="9" t="s">
        <v>10422</v>
      </c>
      <c r="F1912" s="9" t="s">
        <v>10413</v>
      </c>
      <c r="G1912" s="36" t="s">
        <v>14</v>
      </c>
      <c r="H1912" s="36" t="str">
        <f>IFERROR(VLOOKUP(Table2[[#This Row], [Ticket]],Okey!A:B,2,0),"")</f>
        <v/>
      </c>
      <c r="I1912" s="36"/>
      <c r="J1912" s="36" t="s">
        <v>19</v>
      </c>
      <c r="K1912" s="36" t="s">
        <v>11488</v>
      </c>
      <c r="L1912" s="36"/>
    </row>
    <row r="1913" spans="1:12" hidden="1">
      <c r="A1913" s="42">
        <f t="shared" si="30"/>
        <v>1912</v>
      </c>
      <c r="B1913" s="36" t="s">
        <v>8</v>
      </c>
      <c r="C1913" s="36" t="s">
        <v>10059</v>
      </c>
      <c r="D1913" s="9" t="s">
        <v>10650</v>
      </c>
      <c r="E1913" s="9" t="s">
        <v>10423</v>
      </c>
      <c r="F1913" s="9" t="s">
        <v>10413</v>
      </c>
      <c r="G1913" s="36" t="s">
        <v>14</v>
      </c>
      <c r="H1913" s="36" t="str">
        <f>IFERROR(VLOOKUP(Table2[[#This Row], [Ticket]],Okey!A:B,2,0),"")</f>
        <v/>
      </c>
      <c r="I1913" s="36"/>
      <c r="J1913" s="36" t="s">
        <v>19</v>
      </c>
      <c r="K1913" s="36" t="s">
        <v>11488</v>
      </c>
      <c r="L1913" s="36"/>
    </row>
    <row r="1914" spans="1:12" hidden="1">
      <c r="A1914" s="42">
        <f t="shared" si="30"/>
        <v>1913</v>
      </c>
      <c r="B1914" s="36" t="s">
        <v>8</v>
      </c>
      <c r="C1914" s="36" t="s">
        <v>10059</v>
      </c>
      <c r="D1914" s="9" t="s">
        <v>10651</v>
      </c>
      <c r="E1914" s="9" t="s">
        <v>10424</v>
      </c>
      <c r="F1914" s="9" t="s">
        <v>10413</v>
      </c>
      <c r="G1914" s="36" t="s">
        <v>14</v>
      </c>
      <c r="H1914" s="36" t="str">
        <f>IFERROR(VLOOKUP(Table2[[#This Row], [Ticket]],Okey!A:B,2,0),"")</f>
        <v/>
      </c>
      <c r="I1914" s="36"/>
      <c r="J1914" s="36" t="s">
        <v>19</v>
      </c>
      <c r="K1914" s="36" t="s">
        <v>11488</v>
      </c>
      <c r="L1914" s="36"/>
    </row>
    <row r="1915" spans="1:12" hidden="1">
      <c r="A1915" s="42">
        <f t="shared" si="30"/>
        <v>1914</v>
      </c>
      <c r="B1915" s="36" t="s">
        <v>8</v>
      </c>
      <c r="C1915" s="36" t="s">
        <v>10059</v>
      </c>
      <c r="D1915" s="9" t="s">
        <v>10652</v>
      </c>
      <c r="E1915" s="9" t="s">
        <v>10425</v>
      </c>
      <c r="F1915" s="9" t="s">
        <v>10413</v>
      </c>
      <c r="G1915" s="36" t="s">
        <v>14</v>
      </c>
      <c r="H1915" s="36" t="str">
        <f>IFERROR(VLOOKUP(Table2[[#This Row], [Ticket]],Okey!A:B,2,0),"")</f>
        <v/>
      </c>
      <c r="I1915" s="36"/>
      <c r="J1915" s="36" t="s">
        <v>19</v>
      </c>
      <c r="K1915" s="36" t="s">
        <v>11488</v>
      </c>
      <c r="L1915" s="36"/>
    </row>
    <row r="1916" spans="1:12" hidden="1">
      <c r="A1916" s="42">
        <f t="shared" si="30"/>
        <v>1915</v>
      </c>
      <c r="B1916" s="36" t="s">
        <v>8</v>
      </c>
      <c r="C1916" s="36" t="s">
        <v>10059</v>
      </c>
      <c r="D1916" s="9" t="s">
        <v>10653</v>
      </c>
      <c r="E1916" s="9" t="s">
        <v>10426</v>
      </c>
      <c r="F1916" s="9" t="s">
        <v>10413</v>
      </c>
      <c r="G1916" s="36" t="s">
        <v>14</v>
      </c>
      <c r="H1916" s="36" t="str">
        <f>IFERROR(VLOOKUP(Table2[[#This Row], [Ticket]],Okey!A:B,2,0),"")</f>
        <v/>
      </c>
      <c r="I1916" s="36"/>
      <c r="J1916" s="36" t="s">
        <v>19</v>
      </c>
      <c r="K1916" s="36" t="s">
        <v>11488</v>
      </c>
      <c r="L1916" s="36"/>
    </row>
    <row r="1917" spans="1:12" hidden="1">
      <c r="A1917" s="42">
        <f t="shared" si="30"/>
        <v>1916</v>
      </c>
      <c r="B1917" s="36" t="s">
        <v>8</v>
      </c>
      <c r="C1917" s="36" t="s">
        <v>10059</v>
      </c>
      <c r="D1917" s="9" t="s">
        <v>10654</v>
      </c>
      <c r="E1917" s="9" t="s">
        <v>10427</v>
      </c>
      <c r="F1917" s="9" t="s">
        <v>10413</v>
      </c>
      <c r="G1917" s="36" t="s">
        <v>14</v>
      </c>
      <c r="H1917" s="36" t="str">
        <f>IFERROR(VLOOKUP(Table2[[#This Row], [Ticket]],Okey!A:B,2,0),"")</f>
        <v/>
      </c>
      <c r="I1917" s="36"/>
      <c r="J1917" s="36" t="s">
        <v>19</v>
      </c>
      <c r="K1917" s="36" t="s">
        <v>11488</v>
      </c>
      <c r="L1917" s="36"/>
    </row>
    <row r="1918" spans="1:12" hidden="1">
      <c r="A1918" s="42">
        <f t="shared" si="30"/>
        <v>1917</v>
      </c>
      <c r="B1918" s="36" t="s">
        <v>8</v>
      </c>
      <c r="C1918" s="36" t="s">
        <v>10059</v>
      </c>
      <c r="D1918" s="9" t="s">
        <v>10655</v>
      </c>
      <c r="E1918" s="9" t="s">
        <v>10428</v>
      </c>
      <c r="F1918" s="9" t="s">
        <v>10413</v>
      </c>
      <c r="G1918" s="36" t="s">
        <v>14</v>
      </c>
      <c r="H1918" s="36" t="str">
        <f>IFERROR(VLOOKUP(Table2[[#This Row], [Ticket]],Okey!A:B,2,0),"")</f>
        <v/>
      </c>
      <c r="I1918" s="36"/>
      <c r="J1918" s="36" t="s">
        <v>19</v>
      </c>
      <c r="K1918" s="36" t="s">
        <v>11488</v>
      </c>
      <c r="L1918" s="36"/>
    </row>
    <row r="1919" spans="1:12" hidden="1">
      <c r="A1919" s="42">
        <f t="shared" si="30"/>
        <v>1918</v>
      </c>
      <c r="B1919" s="36" t="s">
        <v>8</v>
      </c>
      <c r="C1919" s="36" t="s">
        <v>10059</v>
      </c>
      <c r="D1919" s="9" t="s">
        <v>10656</v>
      </c>
      <c r="E1919" s="9" t="s">
        <v>10429</v>
      </c>
      <c r="F1919" s="9" t="s">
        <v>10413</v>
      </c>
      <c r="G1919" s="36" t="s">
        <v>14</v>
      </c>
      <c r="H1919" s="36" t="str">
        <f>IFERROR(VLOOKUP(Table2[[#This Row], [Ticket]],Okey!A:B,2,0),"")</f>
        <v/>
      </c>
      <c r="I1919" s="36"/>
      <c r="J1919" s="36" t="s">
        <v>19</v>
      </c>
      <c r="K1919" s="36" t="s">
        <v>11488</v>
      </c>
      <c r="L1919" s="36"/>
    </row>
    <row r="1920" spans="1:12" hidden="1">
      <c r="A1920" s="42">
        <f t="shared" si="30"/>
        <v>1919</v>
      </c>
      <c r="B1920" s="36" t="s">
        <v>8</v>
      </c>
      <c r="C1920" s="36" t="s">
        <v>10059</v>
      </c>
      <c r="D1920" s="9" t="s">
        <v>10657</v>
      </c>
      <c r="E1920" s="9" t="s">
        <v>10430</v>
      </c>
      <c r="F1920" s="9" t="s">
        <v>10413</v>
      </c>
      <c r="G1920" s="36" t="s">
        <v>14</v>
      </c>
      <c r="H1920" s="36" t="str">
        <f>IFERROR(VLOOKUP(Table2[[#This Row], [Ticket]],Okey!A:B,2,0),"")</f>
        <v/>
      </c>
      <c r="I1920" s="36"/>
      <c r="J1920" s="36" t="s">
        <v>19</v>
      </c>
      <c r="K1920" s="36" t="s">
        <v>11488</v>
      </c>
      <c r="L1920" s="36"/>
    </row>
    <row r="1921" spans="1:12" hidden="1">
      <c r="A1921" s="42">
        <f t="shared" si="30"/>
        <v>1920</v>
      </c>
      <c r="B1921" s="36" t="s">
        <v>8</v>
      </c>
      <c r="C1921" s="36" t="s">
        <v>10059</v>
      </c>
      <c r="D1921" s="9" t="s">
        <v>10658</v>
      </c>
      <c r="E1921" s="9" t="s">
        <v>10431</v>
      </c>
      <c r="F1921" s="9" t="s">
        <v>10413</v>
      </c>
      <c r="G1921" s="36" t="s">
        <v>14</v>
      </c>
      <c r="H1921" s="36" t="str">
        <f>IFERROR(VLOOKUP(Table2[[#This Row], [Ticket]],Okey!A:B,2,0),"")</f>
        <v/>
      </c>
      <c r="I1921" s="36"/>
      <c r="J1921" s="36" t="s">
        <v>19</v>
      </c>
      <c r="K1921" s="36" t="s">
        <v>11488</v>
      </c>
      <c r="L1921" s="36"/>
    </row>
    <row r="1922" spans="1:12" hidden="1">
      <c r="A1922" s="42">
        <f t="shared" si="30"/>
        <v>1921</v>
      </c>
      <c r="B1922" s="36" t="s">
        <v>8</v>
      </c>
      <c r="C1922" s="36" t="s">
        <v>10059</v>
      </c>
      <c r="D1922" s="9" t="s">
        <v>10659</v>
      </c>
      <c r="E1922" s="9" t="s">
        <v>10432</v>
      </c>
      <c r="F1922" s="9" t="s">
        <v>10413</v>
      </c>
      <c r="G1922" s="36" t="s">
        <v>14</v>
      </c>
      <c r="H1922" s="36" t="str">
        <f>IFERROR(VLOOKUP(Table2[[#This Row], [Ticket]],Okey!A:B,2,0),"")</f>
        <v/>
      </c>
      <c r="I1922" s="36"/>
      <c r="J1922" s="36" t="s">
        <v>19</v>
      </c>
      <c r="K1922" s="36" t="s">
        <v>11488</v>
      </c>
      <c r="L1922" s="36"/>
    </row>
    <row r="1923" spans="1:12" hidden="1">
      <c r="A1923" s="42">
        <f t="shared" si="30"/>
        <v>1922</v>
      </c>
      <c r="B1923" s="36" t="s">
        <v>8</v>
      </c>
      <c r="C1923" s="36" t="s">
        <v>10059</v>
      </c>
      <c r="D1923" s="9" t="s">
        <v>10660</v>
      </c>
      <c r="E1923" s="9" t="s">
        <v>10433</v>
      </c>
      <c r="F1923" s="9" t="s">
        <v>10434</v>
      </c>
      <c r="G1923" s="36" t="s">
        <v>14</v>
      </c>
      <c r="H1923" s="36" t="str">
        <f>IFERROR(VLOOKUP(Table2[[#This Row], [Ticket]],Okey!A:B,2,0),"")</f>
        <v/>
      </c>
      <c r="I1923" s="36"/>
      <c r="J1923" s="36" t="s">
        <v>19</v>
      </c>
      <c r="K1923" s="36" t="s">
        <v>11488</v>
      </c>
      <c r="L1923" s="36"/>
    </row>
    <row r="1924" spans="1:12" hidden="1">
      <c r="A1924" s="42">
        <f t="shared" si="30"/>
        <v>1923</v>
      </c>
      <c r="B1924" s="36" t="s">
        <v>8</v>
      </c>
      <c r="C1924" s="36" t="s">
        <v>10059</v>
      </c>
      <c r="D1924" s="9" t="s">
        <v>10661</v>
      </c>
      <c r="E1924" s="9" t="s">
        <v>10435</v>
      </c>
      <c r="F1924" s="9" t="s">
        <v>10434</v>
      </c>
      <c r="G1924" s="36" t="s">
        <v>14</v>
      </c>
      <c r="H1924" s="36" t="str">
        <f>IFERROR(VLOOKUP(Table2[[#This Row], [Ticket]],Okey!A:B,2,0),"")</f>
        <v/>
      </c>
      <c r="I1924" s="36"/>
      <c r="J1924" s="36" t="s">
        <v>19</v>
      </c>
      <c r="K1924" s="36" t="s">
        <v>11488</v>
      </c>
      <c r="L1924" s="36"/>
    </row>
    <row r="1925" spans="1:12" hidden="1">
      <c r="A1925" s="42">
        <f t="shared" si="30"/>
        <v>1924</v>
      </c>
      <c r="B1925" s="36" t="s">
        <v>8</v>
      </c>
      <c r="C1925" s="36" t="s">
        <v>10059</v>
      </c>
      <c r="D1925" s="9" t="s">
        <v>10662</v>
      </c>
      <c r="E1925" s="9" t="s">
        <v>10436</v>
      </c>
      <c r="F1925" s="9" t="s">
        <v>10434</v>
      </c>
      <c r="G1925" s="36" t="s">
        <v>14</v>
      </c>
      <c r="H1925" s="36" t="str">
        <f>IFERROR(VLOOKUP(Table2[[#This Row], [Ticket]],Okey!A:B,2,0),"")</f>
        <v/>
      </c>
      <c r="I1925" s="36"/>
      <c r="J1925" s="36" t="s">
        <v>19</v>
      </c>
      <c r="K1925" s="36" t="s">
        <v>11488</v>
      </c>
      <c r="L1925" s="36"/>
    </row>
    <row r="1926" spans="1:12" hidden="1">
      <c r="A1926" s="42">
        <f t="shared" si="30"/>
        <v>1925</v>
      </c>
      <c r="B1926" s="36" t="s">
        <v>8</v>
      </c>
      <c r="C1926" s="36" t="s">
        <v>10059</v>
      </c>
      <c r="D1926" s="9" t="s">
        <v>10663</v>
      </c>
      <c r="E1926" s="9" t="s">
        <v>10437</v>
      </c>
      <c r="F1926" s="9" t="s">
        <v>10438</v>
      </c>
      <c r="G1926" s="36" t="s">
        <v>14</v>
      </c>
      <c r="H1926" s="36" t="str">
        <f>IFERROR(VLOOKUP(Table2[[#This Row], [Ticket]],Okey!A:B,2,0),"")</f>
        <v/>
      </c>
      <c r="I1926" s="36"/>
      <c r="J1926" s="36" t="s">
        <v>19</v>
      </c>
      <c r="K1926" s="36" t="s">
        <v>11488</v>
      </c>
      <c r="L1926" s="36"/>
    </row>
    <row r="1927" spans="1:12" hidden="1">
      <c r="A1927" s="42">
        <f t="shared" si="30"/>
        <v>1926</v>
      </c>
      <c r="B1927" s="36" t="s">
        <v>8</v>
      </c>
      <c r="C1927" s="36" t="s">
        <v>10059</v>
      </c>
      <c r="D1927" s="9" t="s">
        <v>10664</v>
      </c>
      <c r="E1927" s="9" t="s">
        <v>10439</v>
      </c>
      <c r="F1927" s="9" t="s">
        <v>10438</v>
      </c>
      <c r="G1927" s="36" t="s">
        <v>14</v>
      </c>
      <c r="H1927" s="36" t="str">
        <f>IFERROR(VLOOKUP(Table2[[#This Row], [Ticket]],Okey!A:B,2,0),"")</f>
        <v/>
      </c>
      <c r="I1927" s="36"/>
      <c r="J1927" s="36" t="s">
        <v>19</v>
      </c>
      <c r="K1927" s="36" t="s">
        <v>11488</v>
      </c>
      <c r="L1927" s="36"/>
    </row>
    <row r="1928" spans="1:12" hidden="1">
      <c r="A1928" s="42">
        <f t="shared" si="30"/>
        <v>1927</v>
      </c>
      <c r="B1928" s="36" t="s">
        <v>8</v>
      </c>
      <c r="C1928" s="36" t="s">
        <v>10059</v>
      </c>
      <c r="D1928" s="9" t="s">
        <v>10665</v>
      </c>
      <c r="E1928" s="9" t="s">
        <v>10440</v>
      </c>
      <c r="F1928" s="9" t="s">
        <v>10438</v>
      </c>
      <c r="G1928" s="36" t="s">
        <v>14</v>
      </c>
      <c r="H1928" s="36" t="str">
        <f>IFERROR(VLOOKUP(Table2[[#This Row], [Ticket]],Okey!A:B,2,0),"")</f>
        <v/>
      </c>
      <c r="I1928" s="36"/>
      <c r="J1928" s="36" t="s">
        <v>19</v>
      </c>
      <c r="K1928" s="36" t="s">
        <v>11488</v>
      </c>
      <c r="L1928" s="36"/>
    </row>
    <row r="1929" spans="1:12" hidden="1">
      <c r="A1929" s="42">
        <f t="shared" si="30"/>
        <v>1928</v>
      </c>
      <c r="B1929" s="36" t="s">
        <v>8</v>
      </c>
      <c r="C1929" s="36" t="s">
        <v>10059</v>
      </c>
      <c r="D1929" s="9" t="s">
        <v>10666</v>
      </c>
      <c r="E1929" s="9" t="s">
        <v>10441</v>
      </c>
      <c r="F1929" s="9" t="s">
        <v>10438</v>
      </c>
      <c r="G1929" s="36" t="s">
        <v>14</v>
      </c>
      <c r="H1929" s="36" t="str">
        <f>IFERROR(VLOOKUP(Table2[[#This Row], [Ticket]],Okey!A:B,2,0),"")</f>
        <v/>
      </c>
      <c r="I1929" s="36"/>
      <c r="J1929" s="36" t="s">
        <v>19</v>
      </c>
      <c r="K1929" s="36" t="s">
        <v>11488</v>
      </c>
      <c r="L1929" s="36"/>
    </row>
    <row r="1930" spans="1:12" hidden="1">
      <c r="A1930" s="42">
        <f t="shared" si="30"/>
        <v>1929</v>
      </c>
      <c r="B1930" s="36" t="s">
        <v>8</v>
      </c>
      <c r="C1930" s="36" t="s">
        <v>10059</v>
      </c>
      <c r="D1930" s="9" t="s">
        <v>10667</v>
      </c>
      <c r="E1930" s="9" t="s">
        <v>10442</v>
      </c>
      <c r="F1930" s="9" t="s">
        <v>10438</v>
      </c>
      <c r="G1930" s="36" t="s">
        <v>14</v>
      </c>
      <c r="H1930" s="36" t="str">
        <f>IFERROR(VLOOKUP(Table2[[#This Row], [Ticket]],Okey!A:B,2,0),"")</f>
        <v/>
      </c>
      <c r="I1930" s="36"/>
      <c r="J1930" s="36" t="s">
        <v>19</v>
      </c>
      <c r="K1930" s="36" t="s">
        <v>11488</v>
      </c>
      <c r="L1930" s="36"/>
    </row>
    <row r="1931" spans="1:12" hidden="1">
      <c r="A1931" s="42">
        <f t="shared" si="30"/>
        <v>1930</v>
      </c>
      <c r="B1931" s="36" t="s">
        <v>8</v>
      </c>
      <c r="C1931" s="36" t="s">
        <v>10059</v>
      </c>
      <c r="D1931" s="9" t="s">
        <v>10668</v>
      </c>
      <c r="E1931" s="9" t="s">
        <v>10443</v>
      </c>
      <c r="F1931" s="9" t="s">
        <v>10444</v>
      </c>
      <c r="G1931" s="36" t="s">
        <v>14</v>
      </c>
      <c r="H1931" s="36" t="str">
        <f>IFERROR(VLOOKUP(Table2[[#This Row], [Ticket]],Okey!A:B,2,0),"")</f>
        <v/>
      </c>
      <c r="I1931" s="36"/>
      <c r="J1931" s="36" t="s">
        <v>19</v>
      </c>
      <c r="K1931" s="36" t="s">
        <v>11488</v>
      </c>
      <c r="L1931" s="36"/>
    </row>
    <row r="1932" spans="1:12" hidden="1">
      <c r="A1932" s="42">
        <f t="shared" si="30"/>
        <v>1931</v>
      </c>
      <c r="B1932" s="36" t="s">
        <v>8</v>
      </c>
      <c r="C1932" s="36" t="s">
        <v>10059</v>
      </c>
      <c r="D1932" s="9" t="s">
        <v>10669</v>
      </c>
      <c r="E1932" s="9" t="s">
        <v>10445</v>
      </c>
      <c r="F1932" s="9" t="s">
        <v>10444</v>
      </c>
      <c r="G1932" s="36" t="s">
        <v>14</v>
      </c>
      <c r="H1932" s="36" t="str">
        <f>IFERROR(VLOOKUP(Table2[[#This Row], [Ticket]],Okey!A:B,2,0),"")</f>
        <v/>
      </c>
      <c r="I1932" s="36"/>
      <c r="J1932" s="36" t="s">
        <v>19</v>
      </c>
      <c r="K1932" s="36" t="s">
        <v>11488</v>
      </c>
      <c r="L1932" s="36"/>
    </row>
    <row r="1933" spans="1:12" hidden="1">
      <c r="A1933" s="42">
        <f t="shared" si="30"/>
        <v>1932</v>
      </c>
      <c r="B1933" s="36" t="s">
        <v>8</v>
      </c>
      <c r="C1933" s="36" t="s">
        <v>10059</v>
      </c>
      <c r="D1933" s="9" t="s">
        <v>10670</v>
      </c>
      <c r="E1933" s="9" t="s">
        <v>10446</v>
      </c>
      <c r="F1933" s="9" t="s">
        <v>10444</v>
      </c>
      <c r="G1933" s="36" t="s">
        <v>14</v>
      </c>
      <c r="H1933" s="36" t="str">
        <f>IFERROR(VLOOKUP(Table2[[#This Row], [Ticket]],Okey!A:B,2,0),"")</f>
        <v/>
      </c>
      <c r="I1933" s="36"/>
      <c r="J1933" s="36" t="s">
        <v>19</v>
      </c>
      <c r="K1933" s="36" t="s">
        <v>11488</v>
      </c>
      <c r="L1933" s="36"/>
    </row>
    <row r="1934" spans="1:12" hidden="1">
      <c r="A1934" s="42">
        <f t="shared" si="30"/>
        <v>1933</v>
      </c>
      <c r="B1934" s="36" t="s">
        <v>8</v>
      </c>
      <c r="C1934" s="36" t="s">
        <v>10059</v>
      </c>
      <c r="D1934" s="9" t="s">
        <v>10671</v>
      </c>
      <c r="E1934" s="9" t="s">
        <v>10447</v>
      </c>
      <c r="F1934" s="9" t="s">
        <v>10444</v>
      </c>
      <c r="G1934" s="36" t="s">
        <v>14</v>
      </c>
      <c r="H1934" s="36" t="str">
        <f>IFERROR(VLOOKUP(Table2[[#This Row], [Ticket]],Okey!A:B,2,0),"")</f>
        <v/>
      </c>
      <c r="I1934" s="36"/>
      <c r="J1934" s="36" t="s">
        <v>19</v>
      </c>
      <c r="K1934" s="36" t="s">
        <v>11488</v>
      </c>
      <c r="L1934" s="36"/>
    </row>
    <row r="1935" spans="1:12" hidden="1">
      <c r="A1935" s="42">
        <f t="shared" si="30"/>
        <v>1934</v>
      </c>
      <c r="B1935" s="36" t="s">
        <v>8</v>
      </c>
      <c r="C1935" s="36" t="s">
        <v>10059</v>
      </c>
      <c r="D1935" s="9" t="s">
        <v>10672</v>
      </c>
      <c r="E1935" s="9" t="s">
        <v>10448</v>
      </c>
      <c r="F1935" s="9" t="s">
        <v>10444</v>
      </c>
      <c r="G1935" s="36" t="s">
        <v>14</v>
      </c>
      <c r="H1935" s="36" t="str">
        <f>IFERROR(VLOOKUP(Table2[[#This Row], [Ticket]],Okey!A:B,2,0),"")</f>
        <v/>
      </c>
      <c r="I1935" s="36"/>
      <c r="J1935" s="36" t="s">
        <v>19</v>
      </c>
      <c r="K1935" s="36" t="s">
        <v>11488</v>
      </c>
      <c r="L1935" s="36"/>
    </row>
    <row r="1936" spans="1:12" hidden="1">
      <c r="A1936" s="42">
        <f t="shared" si="30"/>
        <v>1935</v>
      </c>
      <c r="B1936" s="36" t="s">
        <v>8</v>
      </c>
      <c r="C1936" s="36" t="s">
        <v>10059</v>
      </c>
      <c r="D1936" s="9" t="s">
        <v>10673</v>
      </c>
      <c r="E1936" s="9" t="s">
        <v>10449</v>
      </c>
      <c r="F1936" s="9" t="s">
        <v>10444</v>
      </c>
      <c r="G1936" s="36" t="s">
        <v>14</v>
      </c>
      <c r="H1936" s="36" t="str">
        <f>IFERROR(VLOOKUP(Table2[[#This Row], [Ticket]],Okey!A:B,2,0),"")</f>
        <v/>
      </c>
      <c r="I1936" s="36"/>
      <c r="J1936" s="36" t="s">
        <v>19</v>
      </c>
      <c r="K1936" s="36" t="s">
        <v>11488</v>
      </c>
      <c r="L1936" s="36"/>
    </row>
    <row r="1937" spans="1:12" hidden="1">
      <c r="A1937" s="42">
        <f t="shared" si="30"/>
        <v>1936</v>
      </c>
      <c r="B1937" s="36" t="s">
        <v>8</v>
      </c>
      <c r="C1937" s="36" t="s">
        <v>10059</v>
      </c>
      <c r="D1937" s="9" t="s">
        <v>10674</v>
      </c>
      <c r="E1937" s="9" t="s">
        <v>10450</v>
      </c>
      <c r="F1937" s="9" t="s">
        <v>10444</v>
      </c>
      <c r="G1937" s="36" t="s">
        <v>14</v>
      </c>
      <c r="H1937" s="36" t="str">
        <f>IFERROR(VLOOKUP(Table2[[#This Row], [Ticket]],Okey!A:B,2,0),"")</f>
        <v/>
      </c>
      <c r="I1937" s="36"/>
      <c r="J1937" s="36" t="s">
        <v>19</v>
      </c>
      <c r="K1937" s="36" t="s">
        <v>11488</v>
      </c>
      <c r="L1937" s="36"/>
    </row>
    <row r="1938" spans="1:12" hidden="1">
      <c r="A1938" s="42">
        <f t="shared" si="30"/>
        <v>1937</v>
      </c>
      <c r="B1938" s="36" t="s">
        <v>8</v>
      </c>
      <c r="C1938" s="36" t="s">
        <v>11027</v>
      </c>
      <c r="D1938" s="9" t="s">
        <v>10829</v>
      </c>
      <c r="E1938" s="9" t="s">
        <v>10675</v>
      </c>
      <c r="F1938" s="9" t="s">
        <v>10983</v>
      </c>
      <c r="G1938" s="36" t="s">
        <v>14</v>
      </c>
      <c r="H1938" s="36" t="str">
        <f>IFERROR(VLOOKUP(Table2[[#This Row], [Ticket]],Okey!A:B,2,0),"")</f>
        <v/>
      </c>
      <c r="I1938" s="36"/>
      <c r="J1938" s="36" t="s">
        <v>19</v>
      </c>
      <c r="K1938" s="36" t="s">
        <v>11488</v>
      </c>
      <c r="L1938" s="36"/>
    </row>
    <row r="1939" spans="1:12" hidden="1">
      <c r="A1939" s="42">
        <f t="shared" si="30"/>
        <v>1938</v>
      </c>
      <c r="B1939" s="36" t="s">
        <v>8</v>
      </c>
      <c r="C1939" s="36" t="s">
        <v>11027</v>
      </c>
      <c r="D1939" s="9" t="s">
        <v>10830</v>
      </c>
      <c r="E1939" s="9" t="s">
        <v>10676</v>
      </c>
      <c r="F1939" s="9" t="s">
        <v>10829</v>
      </c>
      <c r="G1939" s="36" t="s">
        <v>14</v>
      </c>
      <c r="H1939" s="36" t="str">
        <f>IFERROR(VLOOKUP(Table2[[#This Row], [Ticket]],Okey!A:B,2,0),"")</f>
        <v/>
      </c>
      <c r="I1939" s="36"/>
      <c r="J1939" s="36" t="s">
        <v>19</v>
      </c>
      <c r="K1939" s="36" t="s">
        <v>11488</v>
      </c>
      <c r="L1939" s="36"/>
    </row>
    <row r="1940" spans="1:12" hidden="1">
      <c r="A1940" s="42">
        <f t="shared" si="30"/>
        <v>1939</v>
      </c>
      <c r="B1940" s="36" t="s">
        <v>8</v>
      </c>
      <c r="C1940" s="36" t="s">
        <v>11027</v>
      </c>
      <c r="D1940" s="9" t="s">
        <v>10831</v>
      </c>
      <c r="E1940" s="9" t="s">
        <v>10677</v>
      </c>
      <c r="F1940" s="9" t="s">
        <v>10829</v>
      </c>
      <c r="G1940" s="36" t="s">
        <v>14</v>
      </c>
      <c r="H1940" s="36" t="str">
        <f>IFERROR(VLOOKUP(Table2[[#This Row], [Ticket]],Okey!A:B,2,0),"")</f>
        <v/>
      </c>
      <c r="I1940" s="36"/>
      <c r="J1940" s="36" t="s">
        <v>19</v>
      </c>
      <c r="K1940" s="36" t="s">
        <v>11488</v>
      </c>
      <c r="L1940" s="36"/>
    </row>
    <row r="1941" spans="1:12" hidden="1">
      <c r="A1941" s="42">
        <f t="shared" si="30"/>
        <v>1940</v>
      </c>
      <c r="B1941" s="36" t="s">
        <v>8</v>
      </c>
      <c r="C1941" s="36" t="s">
        <v>11027</v>
      </c>
      <c r="D1941" s="9" t="s">
        <v>10832</v>
      </c>
      <c r="E1941" s="9" t="s">
        <v>10678</v>
      </c>
      <c r="F1941" s="9" t="s">
        <v>10829</v>
      </c>
      <c r="G1941" s="36" t="s">
        <v>14</v>
      </c>
      <c r="H1941" s="36" t="str">
        <f>IFERROR(VLOOKUP(Table2[[#This Row], [Ticket]],Okey!A:B,2,0),"")</f>
        <v/>
      </c>
      <c r="I1941" s="36"/>
      <c r="J1941" s="36" t="s">
        <v>19</v>
      </c>
      <c r="K1941" s="36" t="s">
        <v>11488</v>
      </c>
      <c r="L1941" s="36"/>
    </row>
    <row r="1942" spans="1:12" hidden="1">
      <c r="A1942" s="42">
        <f t="shared" ref="A1942:A2005" si="31">1+A1941</f>
        <v>1941</v>
      </c>
      <c r="B1942" s="36" t="s">
        <v>8</v>
      </c>
      <c r="C1942" s="36" t="s">
        <v>11027</v>
      </c>
      <c r="D1942" s="9" t="s">
        <v>10833</v>
      </c>
      <c r="E1942" s="9" t="s">
        <v>10679</v>
      </c>
      <c r="F1942" s="9" t="s">
        <v>10984</v>
      </c>
      <c r="G1942" s="36" t="s">
        <v>14</v>
      </c>
      <c r="H1942" s="36" t="str">
        <f>IFERROR(VLOOKUP(Table2[[#This Row], [Ticket]],Okey!A:B,2,0),"")</f>
        <v/>
      </c>
      <c r="I1942" s="36"/>
      <c r="J1942" s="36" t="s">
        <v>19</v>
      </c>
      <c r="K1942" s="36" t="s">
        <v>11488</v>
      </c>
      <c r="L1942" s="36"/>
    </row>
    <row r="1943" spans="1:12" hidden="1">
      <c r="A1943" s="42">
        <f t="shared" si="31"/>
        <v>1942</v>
      </c>
      <c r="B1943" s="36" t="s">
        <v>8</v>
      </c>
      <c r="C1943" s="36" t="s">
        <v>11027</v>
      </c>
      <c r="D1943" s="9" t="s">
        <v>10834</v>
      </c>
      <c r="E1943" s="9" t="s">
        <v>10680</v>
      </c>
      <c r="F1943" s="9" t="s">
        <v>10833</v>
      </c>
      <c r="G1943" s="36" t="s">
        <v>14</v>
      </c>
      <c r="H1943" s="36" t="str">
        <f>IFERROR(VLOOKUP(Table2[[#This Row], [Ticket]],Okey!A:B,2,0),"")</f>
        <v/>
      </c>
      <c r="I1943" s="36"/>
      <c r="J1943" s="36" t="s">
        <v>19</v>
      </c>
      <c r="K1943" s="36" t="s">
        <v>11488</v>
      </c>
      <c r="L1943" s="36"/>
    </row>
    <row r="1944" spans="1:12" hidden="1">
      <c r="A1944" s="42">
        <f t="shared" si="31"/>
        <v>1943</v>
      </c>
      <c r="B1944" s="36" t="s">
        <v>8</v>
      </c>
      <c r="C1944" s="36" t="s">
        <v>11027</v>
      </c>
      <c r="D1944" s="9" t="s">
        <v>10835</v>
      </c>
      <c r="E1944" s="9" t="s">
        <v>10681</v>
      </c>
      <c r="F1944" s="9" t="s">
        <v>10833</v>
      </c>
      <c r="G1944" s="36" t="s">
        <v>14</v>
      </c>
      <c r="H1944" s="36" t="str">
        <f>IFERROR(VLOOKUP(Table2[[#This Row], [Ticket]],Okey!A:B,2,0),"")</f>
        <v/>
      </c>
      <c r="I1944" s="36"/>
      <c r="J1944" s="36" t="s">
        <v>19</v>
      </c>
      <c r="K1944" s="36" t="s">
        <v>11488</v>
      </c>
      <c r="L1944" s="36"/>
    </row>
    <row r="1945" spans="1:12" hidden="1">
      <c r="A1945" s="42">
        <f t="shared" si="31"/>
        <v>1944</v>
      </c>
      <c r="B1945" s="36" t="s">
        <v>8</v>
      </c>
      <c r="C1945" s="36" t="s">
        <v>11027</v>
      </c>
      <c r="D1945" s="9" t="s">
        <v>10836</v>
      </c>
      <c r="E1945" s="9" t="s">
        <v>10682</v>
      </c>
      <c r="F1945" s="9" t="s">
        <v>10985</v>
      </c>
      <c r="G1945" s="36" t="s">
        <v>14</v>
      </c>
      <c r="H1945" s="36" t="str">
        <f>IFERROR(VLOOKUP(Table2[[#This Row], [Ticket]],Okey!A:B,2,0),"")</f>
        <v/>
      </c>
      <c r="I1945" s="36"/>
      <c r="J1945" s="36" t="s">
        <v>19</v>
      </c>
      <c r="K1945" s="36" t="s">
        <v>11488</v>
      </c>
      <c r="L1945" s="36"/>
    </row>
    <row r="1946" spans="1:12" hidden="1">
      <c r="A1946" s="42">
        <f t="shared" si="31"/>
        <v>1945</v>
      </c>
      <c r="B1946" s="36" t="s">
        <v>8</v>
      </c>
      <c r="C1946" s="36" t="s">
        <v>11027</v>
      </c>
      <c r="D1946" s="9" t="s">
        <v>10837</v>
      </c>
      <c r="E1946" s="9" t="s">
        <v>10683</v>
      </c>
      <c r="F1946" s="9" t="s">
        <v>10836</v>
      </c>
      <c r="G1946" s="36" t="s">
        <v>14</v>
      </c>
      <c r="H1946" s="36" t="str">
        <f>IFERROR(VLOOKUP(Table2[[#This Row], [Ticket]],Okey!A:B,2,0),"")</f>
        <v/>
      </c>
      <c r="I1946" s="36"/>
      <c r="J1946" s="36" t="s">
        <v>19</v>
      </c>
      <c r="K1946" s="36" t="s">
        <v>11488</v>
      </c>
      <c r="L1946" s="36"/>
    </row>
    <row r="1947" spans="1:12" hidden="1">
      <c r="A1947" s="42">
        <f t="shared" si="31"/>
        <v>1946</v>
      </c>
      <c r="B1947" s="36" t="s">
        <v>8</v>
      </c>
      <c r="C1947" s="36" t="s">
        <v>11027</v>
      </c>
      <c r="D1947" s="9" t="s">
        <v>10838</v>
      </c>
      <c r="E1947" s="9" t="s">
        <v>10684</v>
      </c>
      <c r="F1947" s="9" t="s">
        <v>10836</v>
      </c>
      <c r="G1947" s="36" t="s">
        <v>14</v>
      </c>
      <c r="H1947" s="36" t="str">
        <f>IFERROR(VLOOKUP(Table2[[#This Row], [Ticket]],Okey!A:B,2,0),"")</f>
        <v/>
      </c>
      <c r="I1947" s="36"/>
      <c r="J1947" s="36" t="s">
        <v>19</v>
      </c>
      <c r="K1947" s="36" t="s">
        <v>11488</v>
      </c>
      <c r="L1947" s="36"/>
    </row>
    <row r="1948" spans="1:12" hidden="1">
      <c r="A1948" s="42">
        <f t="shared" si="31"/>
        <v>1947</v>
      </c>
      <c r="B1948" s="36" t="s">
        <v>8</v>
      </c>
      <c r="C1948" s="36" t="s">
        <v>11027</v>
      </c>
      <c r="D1948" s="9" t="s">
        <v>10839</v>
      </c>
      <c r="E1948" s="9" t="s">
        <v>10685</v>
      </c>
      <c r="F1948" s="9" t="s">
        <v>10836</v>
      </c>
      <c r="G1948" s="36" t="s">
        <v>14</v>
      </c>
      <c r="H1948" s="36" t="str">
        <f>IFERROR(VLOOKUP(Table2[[#This Row], [Ticket]],Okey!A:B,2,0),"")</f>
        <v/>
      </c>
      <c r="I1948" s="36"/>
      <c r="J1948" s="36" t="s">
        <v>19</v>
      </c>
      <c r="K1948" s="36" t="s">
        <v>11488</v>
      </c>
      <c r="L1948" s="36"/>
    </row>
    <row r="1949" spans="1:12" hidden="1">
      <c r="A1949" s="42">
        <f t="shared" si="31"/>
        <v>1948</v>
      </c>
      <c r="B1949" s="36" t="s">
        <v>8</v>
      </c>
      <c r="C1949" s="36" t="s">
        <v>11027</v>
      </c>
      <c r="D1949" s="9" t="s">
        <v>10840</v>
      </c>
      <c r="E1949" s="9" t="s">
        <v>10686</v>
      </c>
      <c r="F1949" s="9" t="s">
        <v>10986</v>
      </c>
      <c r="G1949" s="36" t="s">
        <v>14</v>
      </c>
      <c r="H1949" s="36" t="str">
        <f>IFERROR(VLOOKUP(Table2[[#This Row], [Ticket]],Okey!A:B,2,0),"")</f>
        <v/>
      </c>
      <c r="I1949" s="36"/>
      <c r="J1949" s="36" t="s">
        <v>19</v>
      </c>
      <c r="K1949" s="36" t="s">
        <v>11488</v>
      </c>
      <c r="L1949" s="36"/>
    </row>
    <row r="1950" spans="1:12" hidden="1">
      <c r="A1950" s="42">
        <f t="shared" si="31"/>
        <v>1949</v>
      </c>
      <c r="B1950" s="36" t="s">
        <v>8</v>
      </c>
      <c r="C1950" s="36" t="s">
        <v>11027</v>
      </c>
      <c r="D1950" s="9" t="s">
        <v>10841</v>
      </c>
      <c r="E1950" s="9" t="s">
        <v>10687</v>
      </c>
      <c r="F1950" s="9" t="s">
        <v>10840</v>
      </c>
      <c r="G1950" s="36" t="s">
        <v>14</v>
      </c>
      <c r="H1950" s="36" t="str">
        <f>IFERROR(VLOOKUP(Table2[[#This Row], [Ticket]],Okey!A:B,2,0),"")</f>
        <v/>
      </c>
      <c r="I1950" s="36"/>
      <c r="J1950" s="36" t="s">
        <v>19</v>
      </c>
      <c r="K1950" s="36" t="s">
        <v>11488</v>
      </c>
      <c r="L1950" s="36"/>
    </row>
    <row r="1951" spans="1:12" hidden="1">
      <c r="A1951" s="42">
        <f t="shared" si="31"/>
        <v>1950</v>
      </c>
      <c r="B1951" s="36" t="s">
        <v>8</v>
      </c>
      <c r="C1951" s="36" t="s">
        <v>11027</v>
      </c>
      <c r="D1951" s="9" t="s">
        <v>10842</v>
      </c>
      <c r="E1951" s="9" t="s">
        <v>10688</v>
      </c>
      <c r="F1951" s="9" t="s">
        <v>10840</v>
      </c>
      <c r="G1951" s="36" t="s">
        <v>14</v>
      </c>
      <c r="H1951" s="36" t="str">
        <f>IFERROR(VLOOKUP(Table2[[#This Row], [Ticket]],Okey!A:B,2,0),"")</f>
        <v/>
      </c>
      <c r="I1951" s="36"/>
      <c r="J1951" s="36" t="s">
        <v>19</v>
      </c>
      <c r="K1951" s="36" t="s">
        <v>11488</v>
      </c>
      <c r="L1951" s="36"/>
    </row>
    <row r="1952" spans="1:12" hidden="1">
      <c r="A1952" s="42">
        <f t="shared" si="31"/>
        <v>1951</v>
      </c>
      <c r="B1952" s="36" t="s">
        <v>8</v>
      </c>
      <c r="C1952" s="36" t="s">
        <v>11027</v>
      </c>
      <c r="D1952" s="9" t="s">
        <v>10843</v>
      </c>
      <c r="E1952" s="9" t="s">
        <v>10689</v>
      </c>
      <c r="F1952" s="9" t="s">
        <v>10987</v>
      </c>
      <c r="G1952" s="36" t="s">
        <v>14</v>
      </c>
      <c r="H1952" s="36" t="str">
        <f>IFERROR(VLOOKUP(Table2[[#This Row], [Ticket]],Okey!A:B,2,0),"")</f>
        <v/>
      </c>
      <c r="I1952" s="36"/>
      <c r="J1952" s="36" t="s">
        <v>19</v>
      </c>
      <c r="K1952" s="36" t="s">
        <v>11488</v>
      </c>
      <c r="L1952" s="36"/>
    </row>
    <row r="1953" spans="1:12" hidden="1">
      <c r="A1953" s="42">
        <f t="shared" si="31"/>
        <v>1952</v>
      </c>
      <c r="B1953" s="36" t="s">
        <v>8</v>
      </c>
      <c r="C1953" s="36" t="s">
        <v>11027</v>
      </c>
      <c r="D1953" s="9" t="s">
        <v>10844</v>
      </c>
      <c r="E1953" s="9" t="s">
        <v>10690</v>
      </c>
      <c r="F1953" s="9" t="s">
        <v>10843</v>
      </c>
      <c r="G1953" s="36" t="s">
        <v>14</v>
      </c>
      <c r="H1953" s="36" t="str">
        <f>IFERROR(VLOOKUP(Table2[[#This Row], [Ticket]],Okey!A:B,2,0),"")</f>
        <v/>
      </c>
      <c r="I1953" s="36"/>
      <c r="J1953" s="36" t="s">
        <v>19</v>
      </c>
      <c r="K1953" s="36" t="s">
        <v>11488</v>
      </c>
      <c r="L1953" s="36"/>
    </row>
    <row r="1954" spans="1:12" hidden="1">
      <c r="A1954" s="42">
        <f t="shared" si="31"/>
        <v>1953</v>
      </c>
      <c r="B1954" s="36" t="s">
        <v>8</v>
      </c>
      <c r="C1954" s="36" t="s">
        <v>11027</v>
      </c>
      <c r="D1954" s="9" t="s">
        <v>10845</v>
      </c>
      <c r="E1954" s="9" t="s">
        <v>10691</v>
      </c>
      <c r="F1954" s="9" t="s">
        <v>10843</v>
      </c>
      <c r="G1954" s="36" t="s">
        <v>14</v>
      </c>
      <c r="H1954" s="36" t="str">
        <f>IFERROR(VLOOKUP(Table2[[#This Row], [Ticket]],Okey!A:B,2,0),"")</f>
        <v/>
      </c>
      <c r="I1954" s="36"/>
      <c r="J1954" s="36" t="s">
        <v>19</v>
      </c>
      <c r="K1954" s="36" t="s">
        <v>11488</v>
      </c>
      <c r="L1954" s="36"/>
    </row>
    <row r="1955" spans="1:12" hidden="1">
      <c r="A1955" s="42">
        <f t="shared" si="31"/>
        <v>1954</v>
      </c>
      <c r="B1955" s="36" t="s">
        <v>8</v>
      </c>
      <c r="C1955" s="36" t="s">
        <v>11027</v>
      </c>
      <c r="D1955" s="9" t="s">
        <v>10846</v>
      </c>
      <c r="E1955" s="9" t="s">
        <v>10692</v>
      </c>
      <c r="F1955" s="9" t="s">
        <v>10843</v>
      </c>
      <c r="G1955" s="36" t="s">
        <v>14</v>
      </c>
      <c r="H1955" s="36" t="str">
        <f>IFERROR(VLOOKUP(Table2[[#This Row], [Ticket]],Okey!A:B,2,0),"")</f>
        <v/>
      </c>
      <c r="I1955" s="36"/>
      <c r="J1955" s="36" t="s">
        <v>19</v>
      </c>
      <c r="K1955" s="36" t="s">
        <v>11488</v>
      </c>
      <c r="L1955" s="36"/>
    </row>
    <row r="1956" spans="1:12" hidden="1">
      <c r="A1956" s="42">
        <f t="shared" si="31"/>
        <v>1955</v>
      </c>
      <c r="B1956" s="36" t="s">
        <v>8</v>
      </c>
      <c r="C1956" s="36" t="s">
        <v>11027</v>
      </c>
      <c r="D1956" s="9" t="s">
        <v>10847</v>
      </c>
      <c r="E1956" s="9" t="s">
        <v>10693</v>
      </c>
      <c r="F1956" s="9" t="s">
        <v>10988</v>
      </c>
      <c r="G1956" s="36" t="s">
        <v>14</v>
      </c>
      <c r="H1956" s="36" t="str">
        <f>IFERROR(VLOOKUP(Table2[[#This Row], [Ticket]],Okey!A:B,2,0),"")</f>
        <v/>
      </c>
      <c r="I1956" s="36"/>
      <c r="J1956" s="36" t="s">
        <v>19</v>
      </c>
      <c r="K1956" s="36" t="s">
        <v>11488</v>
      </c>
      <c r="L1956" s="36"/>
    </row>
    <row r="1957" spans="1:12" hidden="1">
      <c r="A1957" s="42">
        <f t="shared" si="31"/>
        <v>1956</v>
      </c>
      <c r="B1957" s="36" t="s">
        <v>8</v>
      </c>
      <c r="C1957" s="36" t="s">
        <v>11027</v>
      </c>
      <c r="D1957" s="9" t="s">
        <v>10848</v>
      </c>
      <c r="E1957" s="9" t="s">
        <v>10694</v>
      </c>
      <c r="F1957" s="9" t="s">
        <v>10847</v>
      </c>
      <c r="G1957" s="36" t="s">
        <v>14</v>
      </c>
      <c r="H1957" s="36" t="str">
        <f>IFERROR(VLOOKUP(Table2[[#This Row], [Ticket]],Okey!A:B,2,0),"")</f>
        <v/>
      </c>
      <c r="I1957" s="36"/>
      <c r="J1957" s="36" t="s">
        <v>19</v>
      </c>
      <c r="K1957" s="36" t="s">
        <v>11488</v>
      </c>
      <c r="L1957" s="36"/>
    </row>
    <row r="1958" spans="1:12" hidden="1">
      <c r="A1958" s="42">
        <f t="shared" si="31"/>
        <v>1957</v>
      </c>
      <c r="B1958" s="36" t="s">
        <v>8</v>
      </c>
      <c r="C1958" s="36" t="s">
        <v>11027</v>
      </c>
      <c r="D1958" s="9" t="s">
        <v>10849</v>
      </c>
      <c r="E1958" s="9" t="s">
        <v>10695</v>
      </c>
      <c r="F1958" s="9" t="s">
        <v>10847</v>
      </c>
      <c r="G1958" s="36" t="s">
        <v>14</v>
      </c>
      <c r="H1958" s="36" t="str">
        <f>IFERROR(VLOOKUP(Table2[[#This Row], [Ticket]],Okey!A:B,2,0),"")</f>
        <v/>
      </c>
      <c r="I1958" s="36"/>
      <c r="J1958" s="36" t="s">
        <v>19</v>
      </c>
      <c r="K1958" s="36" t="s">
        <v>11488</v>
      </c>
      <c r="L1958" s="36"/>
    </row>
    <row r="1959" spans="1:12" hidden="1">
      <c r="A1959" s="42">
        <f t="shared" si="31"/>
        <v>1958</v>
      </c>
      <c r="B1959" s="36" t="s">
        <v>8</v>
      </c>
      <c r="C1959" s="36" t="s">
        <v>11027</v>
      </c>
      <c r="D1959" s="9" t="s">
        <v>10850</v>
      </c>
      <c r="E1959" s="9" t="s">
        <v>10696</v>
      </c>
      <c r="F1959" s="9" t="s">
        <v>10989</v>
      </c>
      <c r="G1959" s="36" t="s">
        <v>14</v>
      </c>
      <c r="H1959" s="36" t="str">
        <f>IFERROR(VLOOKUP(Table2[[#This Row], [Ticket]],Okey!A:B,2,0),"")</f>
        <v/>
      </c>
      <c r="I1959" s="36"/>
      <c r="J1959" s="36" t="s">
        <v>19</v>
      </c>
      <c r="K1959" s="36" t="s">
        <v>11488</v>
      </c>
      <c r="L1959" s="36"/>
    </row>
    <row r="1960" spans="1:12" hidden="1">
      <c r="A1960" s="42">
        <f t="shared" si="31"/>
        <v>1959</v>
      </c>
      <c r="B1960" s="36" t="s">
        <v>8</v>
      </c>
      <c r="C1960" s="36" t="s">
        <v>11027</v>
      </c>
      <c r="D1960" s="9" t="s">
        <v>10851</v>
      </c>
      <c r="E1960" s="9" t="s">
        <v>10697</v>
      </c>
      <c r="F1960" s="9" t="s">
        <v>10850</v>
      </c>
      <c r="G1960" s="36" t="s">
        <v>14</v>
      </c>
      <c r="H1960" s="36" t="str">
        <f>IFERROR(VLOOKUP(Table2[[#This Row], [Ticket]],Okey!A:B,2,0),"")</f>
        <v/>
      </c>
      <c r="I1960" s="36"/>
      <c r="J1960" s="36" t="s">
        <v>19</v>
      </c>
      <c r="K1960" s="36" t="s">
        <v>11488</v>
      </c>
      <c r="L1960" s="36"/>
    </row>
    <row r="1961" spans="1:12" hidden="1">
      <c r="A1961" s="42">
        <f t="shared" si="31"/>
        <v>1960</v>
      </c>
      <c r="B1961" s="36" t="s">
        <v>8</v>
      </c>
      <c r="C1961" s="36" t="s">
        <v>11027</v>
      </c>
      <c r="D1961" s="9" t="s">
        <v>10852</v>
      </c>
      <c r="E1961" s="9" t="s">
        <v>10698</v>
      </c>
      <c r="F1961" s="9" t="s">
        <v>10850</v>
      </c>
      <c r="G1961" s="36" t="s">
        <v>14</v>
      </c>
      <c r="H1961" s="36" t="str">
        <f>IFERROR(VLOOKUP(Table2[[#This Row], [Ticket]],Okey!A:B,2,0),"")</f>
        <v/>
      </c>
      <c r="I1961" s="36"/>
      <c r="J1961" s="36" t="s">
        <v>19</v>
      </c>
      <c r="K1961" s="36" t="s">
        <v>11488</v>
      </c>
      <c r="L1961" s="36"/>
    </row>
    <row r="1962" spans="1:12" hidden="1">
      <c r="A1962" s="42">
        <f t="shared" si="31"/>
        <v>1961</v>
      </c>
      <c r="B1962" s="36" t="s">
        <v>8</v>
      </c>
      <c r="C1962" s="36" t="s">
        <v>11027</v>
      </c>
      <c r="D1962" s="9" t="s">
        <v>10853</v>
      </c>
      <c r="E1962" s="9" t="s">
        <v>10699</v>
      </c>
      <c r="F1962" s="9" t="s">
        <v>10850</v>
      </c>
      <c r="G1962" s="36" t="s">
        <v>14</v>
      </c>
      <c r="H1962" s="36" t="str">
        <f>IFERROR(VLOOKUP(Table2[[#This Row], [Ticket]],Okey!A:B,2,0),"")</f>
        <v/>
      </c>
      <c r="I1962" s="36"/>
      <c r="J1962" s="36" t="s">
        <v>19</v>
      </c>
      <c r="K1962" s="36" t="s">
        <v>11488</v>
      </c>
      <c r="L1962" s="36"/>
    </row>
    <row r="1963" spans="1:12" hidden="1">
      <c r="A1963" s="42">
        <f t="shared" si="31"/>
        <v>1962</v>
      </c>
      <c r="B1963" s="36" t="s">
        <v>8</v>
      </c>
      <c r="C1963" s="36" t="s">
        <v>11027</v>
      </c>
      <c r="D1963" s="9" t="s">
        <v>10854</v>
      </c>
      <c r="E1963" s="9" t="s">
        <v>10700</v>
      </c>
      <c r="F1963" s="9" t="s">
        <v>10990</v>
      </c>
      <c r="G1963" s="36" t="s">
        <v>14</v>
      </c>
      <c r="H1963" s="36" t="str">
        <f>IFERROR(VLOOKUP(Table2[[#This Row], [Ticket]],Okey!A:B,2,0),"")</f>
        <v/>
      </c>
      <c r="I1963" s="36"/>
      <c r="J1963" s="36" t="s">
        <v>19</v>
      </c>
      <c r="K1963" s="36" t="s">
        <v>11488</v>
      </c>
      <c r="L1963" s="36"/>
    </row>
    <row r="1964" spans="1:12" hidden="1">
      <c r="A1964" s="42">
        <f t="shared" si="31"/>
        <v>1963</v>
      </c>
      <c r="B1964" s="36" t="s">
        <v>8</v>
      </c>
      <c r="C1964" s="36" t="s">
        <v>11027</v>
      </c>
      <c r="D1964" s="9" t="s">
        <v>10855</v>
      </c>
      <c r="E1964" s="9" t="s">
        <v>10701</v>
      </c>
      <c r="F1964" s="9" t="s">
        <v>10854</v>
      </c>
      <c r="G1964" s="36" t="s">
        <v>14</v>
      </c>
      <c r="H1964" s="36" t="str">
        <f>IFERROR(VLOOKUP(Table2[[#This Row], [Ticket]],Okey!A:B,2,0),"")</f>
        <v/>
      </c>
      <c r="I1964" s="36"/>
      <c r="J1964" s="36" t="s">
        <v>19</v>
      </c>
      <c r="K1964" s="36" t="s">
        <v>11488</v>
      </c>
      <c r="L1964" s="36"/>
    </row>
    <row r="1965" spans="1:12" hidden="1">
      <c r="A1965" s="42">
        <f t="shared" si="31"/>
        <v>1964</v>
      </c>
      <c r="B1965" s="36" t="s">
        <v>8</v>
      </c>
      <c r="C1965" s="36" t="s">
        <v>11027</v>
      </c>
      <c r="D1965" s="9" t="s">
        <v>10856</v>
      </c>
      <c r="E1965" s="9" t="s">
        <v>10702</v>
      </c>
      <c r="F1965" s="9" t="s">
        <v>10854</v>
      </c>
      <c r="G1965" s="36" t="s">
        <v>14</v>
      </c>
      <c r="H1965" s="36" t="str">
        <f>IFERROR(VLOOKUP(Table2[[#This Row], [Ticket]],Okey!A:B,2,0),"")</f>
        <v/>
      </c>
      <c r="I1965" s="36"/>
      <c r="J1965" s="36" t="s">
        <v>19</v>
      </c>
      <c r="K1965" s="36" t="s">
        <v>11488</v>
      </c>
      <c r="L1965" s="36"/>
    </row>
    <row r="1966" spans="1:12" hidden="1">
      <c r="A1966" s="42">
        <f t="shared" si="31"/>
        <v>1965</v>
      </c>
      <c r="B1966" s="36" t="s">
        <v>8</v>
      </c>
      <c r="C1966" s="36" t="s">
        <v>11027</v>
      </c>
      <c r="D1966" s="9" t="s">
        <v>10857</v>
      </c>
      <c r="E1966" s="9" t="s">
        <v>10703</v>
      </c>
      <c r="F1966" s="9" t="s">
        <v>10991</v>
      </c>
      <c r="G1966" s="36" t="s">
        <v>14</v>
      </c>
      <c r="H1966" s="36" t="str">
        <f>IFERROR(VLOOKUP(Table2[[#This Row], [Ticket]],Okey!A:B,2,0),"")</f>
        <v/>
      </c>
      <c r="I1966" s="36"/>
      <c r="J1966" s="36" t="s">
        <v>19</v>
      </c>
      <c r="K1966" s="36" t="s">
        <v>11488</v>
      </c>
      <c r="L1966" s="36"/>
    </row>
    <row r="1967" spans="1:12" hidden="1">
      <c r="A1967" s="42">
        <f t="shared" si="31"/>
        <v>1966</v>
      </c>
      <c r="B1967" s="36" t="s">
        <v>8</v>
      </c>
      <c r="C1967" s="36" t="s">
        <v>11027</v>
      </c>
      <c r="D1967" s="9" t="s">
        <v>10858</v>
      </c>
      <c r="E1967" s="9" t="s">
        <v>10704</v>
      </c>
      <c r="F1967" s="9" t="s">
        <v>10857</v>
      </c>
      <c r="G1967" s="36" t="s">
        <v>14</v>
      </c>
      <c r="H1967" s="36" t="str">
        <f>IFERROR(VLOOKUP(Table2[[#This Row], [Ticket]],Okey!A:B,2,0),"")</f>
        <v/>
      </c>
      <c r="I1967" s="36"/>
      <c r="J1967" s="36" t="s">
        <v>19</v>
      </c>
      <c r="K1967" s="36" t="s">
        <v>11488</v>
      </c>
      <c r="L1967" s="36"/>
    </row>
    <row r="1968" spans="1:12" hidden="1">
      <c r="A1968" s="42">
        <f t="shared" si="31"/>
        <v>1967</v>
      </c>
      <c r="B1968" s="36" t="s">
        <v>8</v>
      </c>
      <c r="C1968" s="36" t="s">
        <v>11027</v>
      </c>
      <c r="D1968" s="9" t="s">
        <v>10859</v>
      </c>
      <c r="E1968" s="9" t="s">
        <v>10705</v>
      </c>
      <c r="F1968" s="9" t="s">
        <v>10857</v>
      </c>
      <c r="G1968" s="36" t="s">
        <v>14</v>
      </c>
      <c r="H1968" s="36" t="str">
        <f>IFERROR(VLOOKUP(Table2[[#This Row], [Ticket]],Okey!A:B,2,0),"")</f>
        <v/>
      </c>
      <c r="I1968" s="36"/>
      <c r="J1968" s="36" t="s">
        <v>19</v>
      </c>
      <c r="K1968" s="36" t="s">
        <v>11488</v>
      </c>
      <c r="L1968" s="36"/>
    </row>
    <row r="1969" spans="1:12" hidden="1">
      <c r="A1969" s="42">
        <f t="shared" si="31"/>
        <v>1968</v>
      </c>
      <c r="B1969" s="36" t="s">
        <v>8</v>
      </c>
      <c r="C1969" s="36" t="s">
        <v>11027</v>
      </c>
      <c r="D1969" s="9" t="s">
        <v>10860</v>
      </c>
      <c r="E1969" s="9" t="s">
        <v>10706</v>
      </c>
      <c r="F1969" s="9" t="s">
        <v>10857</v>
      </c>
      <c r="G1969" s="36" t="s">
        <v>14</v>
      </c>
      <c r="H1969" s="36" t="str">
        <f>IFERROR(VLOOKUP(Table2[[#This Row], [Ticket]],Okey!A:B,2,0),"")</f>
        <v/>
      </c>
      <c r="I1969" s="36"/>
      <c r="J1969" s="36" t="s">
        <v>19</v>
      </c>
      <c r="K1969" s="36" t="s">
        <v>11488</v>
      </c>
      <c r="L1969" s="36"/>
    </row>
    <row r="1970" spans="1:12" hidden="1">
      <c r="A1970" s="42">
        <f t="shared" si="31"/>
        <v>1969</v>
      </c>
      <c r="B1970" s="36" t="s">
        <v>8</v>
      </c>
      <c r="C1970" s="36" t="s">
        <v>11027</v>
      </c>
      <c r="D1970" s="9" t="s">
        <v>10861</v>
      </c>
      <c r="E1970" s="9" t="s">
        <v>10707</v>
      </c>
      <c r="F1970" s="9" t="s">
        <v>10992</v>
      </c>
      <c r="G1970" s="36" t="s">
        <v>14</v>
      </c>
      <c r="H1970" s="36" t="str">
        <f>IFERROR(VLOOKUP(Table2[[#This Row], [Ticket]],Okey!A:B,2,0),"")</f>
        <v/>
      </c>
      <c r="I1970" s="36"/>
      <c r="J1970" s="36" t="s">
        <v>19</v>
      </c>
      <c r="K1970" s="36" t="s">
        <v>11488</v>
      </c>
      <c r="L1970" s="36"/>
    </row>
    <row r="1971" spans="1:12" hidden="1">
      <c r="A1971" s="42">
        <f t="shared" si="31"/>
        <v>1970</v>
      </c>
      <c r="B1971" s="36" t="s">
        <v>8</v>
      </c>
      <c r="C1971" s="36" t="s">
        <v>11027</v>
      </c>
      <c r="D1971" s="9" t="s">
        <v>10862</v>
      </c>
      <c r="E1971" s="9" t="s">
        <v>10708</v>
      </c>
      <c r="F1971" s="9" t="s">
        <v>10861</v>
      </c>
      <c r="G1971" s="36" t="s">
        <v>14</v>
      </c>
      <c r="H1971" s="36" t="str">
        <f>IFERROR(VLOOKUP(Table2[[#This Row], [Ticket]],Okey!A:B,2,0),"")</f>
        <v/>
      </c>
      <c r="I1971" s="36"/>
      <c r="J1971" s="36" t="s">
        <v>19</v>
      </c>
      <c r="K1971" s="36" t="s">
        <v>11488</v>
      </c>
      <c r="L1971" s="36"/>
    </row>
    <row r="1972" spans="1:12" hidden="1">
      <c r="A1972" s="42">
        <f t="shared" si="31"/>
        <v>1971</v>
      </c>
      <c r="B1972" s="36" t="s">
        <v>8</v>
      </c>
      <c r="C1972" s="36" t="s">
        <v>11027</v>
      </c>
      <c r="D1972" s="9" t="s">
        <v>10863</v>
      </c>
      <c r="E1972" s="9" t="s">
        <v>10709</v>
      </c>
      <c r="F1972" s="9" t="s">
        <v>10861</v>
      </c>
      <c r="G1972" s="36" t="s">
        <v>14</v>
      </c>
      <c r="H1972" s="36" t="str">
        <f>IFERROR(VLOOKUP(Table2[[#This Row], [Ticket]],Okey!A:B,2,0),"")</f>
        <v/>
      </c>
      <c r="I1972" s="36"/>
      <c r="J1972" s="36" t="s">
        <v>19</v>
      </c>
      <c r="K1972" s="36" t="s">
        <v>11488</v>
      </c>
      <c r="L1972" s="36"/>
    </row>
    <row r="1973" spans="1:12" hidden="1">
      <c r="A1973" s="42">
        <f t="shared" si="31"/>
        <v>1972</v>
      </c>
      <c r="B1973" s="36" t="s">
        <v>8</v>
      </c>
      <c r="C1973" s="36" t="s">
        <v>11027</v>
      </c>
      <c r="D1973" s="9" t="s">
        <v>10864</v>
      </c>
      <c r="E1973" s="9" t="s">
        <v>10710</v>
      </c>
      <c r="F1973" s="9" t="s">
        <v>10993</v>
      </c>
      <c r="G1973" s="36" t="s">
        <v>14</v>
      </c>
      <c r="H1973" s="36" t="str">
        <f>IFERROR(VLOOKUP(Table2[[#This Row], [Ticket]],Okey!A:B,2,0),"")</f>
        <v/>
      </c>
      <c r="I1973" s="36"/>
      <c r="J1973" s="36" t="s">
        <v>19</v>
      </c>
      <c r="K1973" s="36" t="s">
        <v>11488</v>
      </c>
      <c r="L1973" s="36"/>
    </row>
    <row r="1974" spans="1:12" hidden="1">
      <c r="A1974" s="42">
        <f t="shared" si="31"/>
        <v>1973</v>
      </c>
      <c r="B1974" s="36" t="s">
        <v>8</v>
      </c>
      <c r="C1974" s="36" t="s">
        <v>11027</v>
      </c>
      <c r="D1974" s="9" t="s">
        <v>10865</v>
      </c>
      <c r="E1974" s="9" t="s">
        <v>10711</v>
      </c>
      <c r="F1974" s="9" t="s">
        <v>10864</v>
      </c>
      <c r="G1974" s="36" t="s">
        <v>14</v>
      </c>
      <c r="H1974" s="36" t="str">
        <f>IFERROR(VLOOKUP(Table2[[#This Row], [Ticket]],Okey!A:B,2,0),"")</f>
        <v/>
      </c>
      <c r="I1974" s="36"/>
      <c r="J1974" s="36" t="s">
        <v>19</v>
      </c>
      <c r="K1974" s="36" t="s">
        <v>11488</v>
      </c>
      <c r="L1974" s="36"/>
    </row>
    <row r="1975" spans="1:12" hidden="1">
      <c r="A1975" s="42">
        <f t="shared" si="31"/>
        <v>1974</v>
      </c>
      <c r="B1975" s="36" t="s">
        <v>8</v>
      </c>
      <c r="C1975" s="36" t="s">
        <v>11027</v>
      </c>
      <c r="D1975" s="9" t="s">
        <v>10866</v>
      </c>
      <c r="E1975" s="9" t="s">
        <v>10712</v>
      </c>
      <c r="F1975" s="9" t="s">
        <v>10864</v>
      </c>
      <c r="G1975" s="36" t="s">
        <v>14</v>
      </c>
      <c r="H1975" s="36" t="str">
        <f>IFERROR(VLOOKUP(Table2[[#This Row], [Ticket]],Okey!A:B,2,0),"")</f>
        <v/>
      </c>
      <c r="I1975" s="36"/>
      <c r="J1975" s="36" t="s">
        <v>19</v>
      </c>
      <c r="K1975" s="36" t="s">
        <v>11488</v>
      </c>
      <c r="L1975" s="36"/>
    </row>
    <row r="1976" spans="1:12" hidden="1">
      <c r="A1976" s="42">
        <f t="shared" si="31"/>
        <v>1975</v>
      </c>
      <c r="B1976" s="36" t="s">
        <v>8</v>
      </c>
      <c r="C1976" s="36" t="s">
        <v>11027</v>
      </c>
      <c r="D1976" s="9" t="s">
        <v>10867</v>
      </c>
      <c r="E1976" s="9" t="s">
        <v>10713</v>
      </c>
      <c r="F1976" s="9" t="s">
        <v>10864</v>
      </c>
      <c r="G1976" s="36" t="s">
        <v>14</v>
      </c>
      <c r="H1976" s="36" t="str">
        <f>IFERROR(VLOOKUP(Table2[[#This Row], [Ticket]],Okey!A:B,2,0),"")</f>
        <v/>
      </c>
      <c r="I1976" s="36"/>
      <c r="J1976" s="36" t="s">
        <v>19</v>
      </c>
      <c r="K1976" s="36" t="s">
        <v>11488</v>
      </c>
      <c r="L1976" s="36"/>
    </row>
    <row r="1977" spans="1:12" hidden="1">
      <c r="A1977" s="42">
        <f t="shared" si="31"/>
        <v>1976</v>
      </c>
      <c r="B1977" s="36" t="s">
        <v>8</v>
      </c>
      <c r="C1977" s="36" t="s">
        <v>11027</v>
      </c>
      <c r="D1977" s="9" t="s">
        <v>10868</v>
      </c>
      <c r="E1977" s="9" t="s">
        <v>10714</v>
      </c>
      <c r="F1977" s="9" t="s">
        <v>10994</v>
      </c>
      <c r="G1977" s="36" t="s">
        <v>14</v>
      </c>
      <c r="H1977" s="36" t="str">
        <f>IFERROR(VLOOKUP(Table2[[#This Row], [Ticket]],Okey!A:B,2,0),"")</f>
        <v/>
      </c>
      <c r="I1977" s="36"/>
      <c r="J1977" s="36" t="s">
        <v>19</v>
      </c>
      <c r="K1977" s="36" t="s">
        <v>11488</v>
      </c>
      <c r="L1977" s="36"/>
    </row>
    <row r="1978" spans="1:12" hidden="1">
      <c r="A1978" s="42">
        <f t="shared" si="31"/>
        <v>1977</v>
      </c>
      <c r="B1978" s="36" t="s">
        <v>8</v>
      </c>
      <c r="C1978" s="36" t="s">
        <v>11027</v>
      </c>
      <c r="D1978" s="9" t="s">
        <v>10869</v>
      </c>
      <c r="E1978" s="9" t="s">
        <v>10715</v>
      </c>
      <c r="F1978" s="9" t="s">
        <v>10868</v>
      </c>
      <c r="G1978" s="36" t="s">
        <v>14</v>
      </c>
      <c r="H1978" s="36" t="str">
        <f>IFERROR(VLOOKUP(Table2[[#This Row], [Ticket]],Okey!A:B,2,0),"")</f>
        <v/>
      </c>
      <c r="I1978" s="36"/>
      <c r="J1978" s="36" t="s">
        <v>19</v>
      </c>
      <c r="K1978" s="36" t="s">
        <v>11488</v>
      </c>
      <c r="L1978" s="36"/>
    </row>
    <row r="1979" spans="1:12" hidden="1">
      <c r="A1979" s="42">
        <f t="shared" si="31"/>
        <v>1978</v>
      </c>
      <c r="B1979" s="36" t="s">
        <v>8</v>
      </c>
      <c r="C1979" s="36" t="s">
        <v>11027</v>
      </c>
      <c r="D1979" s="9" t="s">
        <v>10870</v>
      </c>
      <c r="E1979" s="9" t="s">
        <v>10716</v>
      </c>
      <c r="F1979" s="9" t="s">
        <v>10868</v>
      </c>
      <c r="G1979" s="36" t="s">
        <v>14</v>
      </c>
      <c r="H1979" s="36" t="str">
        <f>IFERROR(VLOOKUP(Table2[[#This Row], [Ticket]],Okey!A:B,2,0),"")</f>
        <v/>
      </c>
      <c r="I1979" s="36"/>
      <c r="J1979" s="36" t="s">
        <v>19</v>
      </c>
      <c r="K1979" s="36" t="s">
        <v>11488</v>
      </c>
      <c r="L1979" s="36"/>
    </row>
    <row r="1980" spans="1:12" hidden="1">
      <c r="A1980" s="42">
        <f t="shared" si="31"/>
        <v>1979</v>
      </c>
      <c r="B1980" s="36" t="s">
        <v>8</v>
      </c>
      <c r="C1980" s="36" t="s">
        <v>11027</v>
      </c>
      <c r="D1980" s="9" t="s">
        <v>10871</v>
      </c>
      <c r="E1980" s="9" t="s">
        <v>10717</v>
      </c>
      <c r="F1980" s="9" t="s">
        <v>10995</v>
      </c>
      <c r="G1980" s="36" t="s">
        <v>14</v>
      </c>
      <c r="H1980" s="36" t="str">
        <f>IFERROR(VLOOKUP(Table2[[#This Row], [Ticket]],Okey!A:B,2,0),"")</f>
        <v/>
      </c>
      <c r="I1980" s="36"/>
      <c r="J1980" s="36" t="s">
        <v>19</v>
      </c>
      <c r="K1980" s="36" t="s">
        <v>11488</v>
      </c>
      <c r="L1980" s="36"/>
    </row>
    <row r="1981" spans="1:12" hidden="1">
      <c r="A1981" s="42">
        <f t="shared" si="31"/>
        <v>1980</v>
      </c>
      <c r="B1981" s="36" t="s">
        <v>8</v>
      </c>
      <c r="C1981" s="36" t="s">
        <v>11027</v>
      </c>
      <c r="D1981" s="9" t="s">
        <v>10872</v>
      </c>
      <c r="E1981" s="9" t="s">
        <v>10718</v>
      </c>
      <c r="F1981" s="9" t="s">
        <v>10871</v>
      </c>
      <c r="G1981" s="36" t="s">
        <v>14</v>
      </c>
      <c r="H1981" s="36" t="str">
        <f>IFERROR(VLOOKUP(Table2[[#This Row], [Ticket]],Okey!A:B,2,0),"")</f>
        <v/>
      </c>
      <c r="I1981" s="36"/>
      <c r="J1981" s="36" t="s">
        <v>19</v>
      </c>
      <c r="K1981" s="36" t="s">
        <v>11488</v>
      </c>
      <c r="L1981" s="36"/>
    </row>
    <row r="1982" spans="1:12" hidden="1">
      <c r="A1982" s="42">
        <f t="shared" si="31"/>
        <v>1981</v>
      </c>
      <c r="B1982" s="36" t="s">
        <v>8</v>
      </c>
      <c r="C1982" s="36" t="s">
        <v>11027</v>
      </c>
      <c r="D1982" s="9" t="s">
        <v>10873</v>
      </c>
      <c r="E1982" s="9" t="s">
        <v>10719</v>
      </c>
      <c r="F1982" s="9" t="s">
        <v>10871</v>
      </c>
      <c r="G1982" s="36" t="s">
        <v>14</v>
      </c>
      <c r="H1982" s="36" t="str">
        <f>IFERROR(VLOOKUP(Table2[[#This Row], [Ticket]],Okey!A:B,2,0),"")</f>
        <v/>
      </c>
      <c r="I1982" s="36"/>
      <c r="J1982" s="36" t="s">
        <v>19</v>
      </c>
      <c r="K1982" s="36" t="s">
        <v>11488</v>
      </c>
      <c r="L1982" s="36"/>
    </row>
    <row r="1983" spans="1:12" hidden="1">
      <c r="A1983" s="42">
        <f t="shared" si="31"/>
        <v>1982</v>
      </c>
      <c r="B1983" s="36" t="s">
        <v>8</v>
      </c>
      <c r="C1983" s="36" t="s">
        <v>11027</v>
      </c>
      <c r="D1983" s="9" t="s">
        <v>10874</v>
      </c>
      <c r="E1983" s="9" t="s">
        <v>10720</v>
      </c>
      <c r="F1983" s="9" t="s">
        <v>10871</v>
      </c>
      <c r="G1983" s="36" t="s">
        <v>14</v>
      </c>
      <c r="H1983" s="36" t="str">
        <f>IFERROR(VLOOKUP(Table2[[#This Row], [Ticket]],Okey!A:B,2,0),"")</f>
        <v/>
      </c>
      <c r="I1983" s="36"/>
      <c r="J1983" s="36" t="s">
        <v>19</v>
      </c>
      <c r="K1983" s="36" t="s">
        <v>11488</v>
      </c>
      <c r="L1983" s="36"/>
    </row>
    <row r="1984" spans="1:12" hidden="1">
      <c r="A1984" s="42">
        <f t="shared" si="31"/>
        <v>1983</v>
      </c>
      <c r="B1984" s="36" t="s">
        <v>8</v>
      </c>
      <c r="C1984" s="36" t="s">
        <v>11027</v>
      </c>
      <c r="D1984" s="9" t="s">
        <v>10875</v>
      </c>
      <c r="E1984" s="9" t="s">
        <v>10721</v>
      </c>
      <c r="F1984" s="9" t="s">
        <v>10996</v>
      </c>
      <c r="G1984" s="36" t="s">
        <v>14</v>
      </c>
      <c r="H1984" s="36" t="str">
        <f>IFERROR(VLOOKUP(Table2[[#This Row], [Ticket]],Okey!A:B,2,0),"")</f>
        <v/>
      </c>
      <c r="I1984" s="36"/>
      <c r="J1984" s="36" t="s">
        <v>19</v>
      </c>
      <c r="K1984" s="36" t="s">
        <v>11488</v>
      </c>
      <c r="L1984" s="36"/>
    </row>
    <row r="1985" spans="1:12" hidden="1">
      <c r="A1985" s="42">
        <f t="shared" si="31"/>
        <v>1984</v>
      </c>
      <c r="B1985" s="36" t="s">
        <v>8</v>
      </c>
      <c r="C1985" s="36" t="s">
        <v>11027</v>
      </c>
      <c r="D1985" s="9" t="s">
        <v>10876</v>
      </c>
      <c r="E1985" s="9" t="s">
        <v>10722</v>
      </c>
      <c r="F1985" s="9" t="s">
        <v>10875</v>
      </c>
      <c r="G1985" s="36" t="s">
        <v>14</v>
      </c>
      <c r="H1985" s="36" t="str">
        <f>IFERROR(VLOOKUP(Table2[[#This Row], [Ticket]],Okey!A:B,2,0),"")</f>
        <v/>
      </c>
      <c r="I1985" s="36"/>
      <c r="J1985" s="36" t="s">
        <v>19</v>
      </c>
      <c r="K1985" s="36" t="s">
        <v>11488</v>
      </c>
      <c r="L1985" s="36"/>
    </row>
    <row r="1986" spans="1:12" hidden="1">
      <c r="A1986" s="42">
        <f t="shared" si="31"/>
        <v>1985</v>
      </c>
      <c r="B1986" s="36" t="s">
        <v>8</v>
      </c>
      <c r="C1986" s="36" t="s">
        <v>11027</v>
      </c>
      <c r="D1986" s="9" t="s">
        <v>10877</v>
      </c>
      <c r="E1986" s="9" t="s">
        <v>10723</v>
      </c>
      <c r="F1986" s="9" t="s">
        <v>10875</v>
      </c>
      <c r="G1986" s="36" t="s">
        <v>14</v>
      </c>
      <c r="H1986" s="36" t="str">
        <f>IFERROR(VLOOKUP(Table2[[#This Row], [Ticket]],Okey!A:B,2,0),"")</f>
        <v/>
      </c>
      <c r="I1986" s="36"/>
      <c r="J1986" s="36" t="s">
        <v>19</v>
      </c>
      <c r="K1986" s="36" t="s">
        <v>11488</v>
      </c>
      <c r="L1986" s="36"/>
    </row>
    <row r="1987" spans="1:12" hidden="1">
      <c r="A1987" s="42">
        <f t="shared" si="31"/>
        <v>1986</v>
      </c>
      <c r="B1987" s="36" t="s">
        <v>8</v>
      </c>
      <c r="C1987" s="36" t="s">
        <v>11027</v>
      </c>
      <c r="D1987" s="9" t="s">
        <v>10878</v>
      </c>
      <c r="E1987" s="9" t="s">
        <v>10724</v>
      </c>
      <c r="F1987" s="9" t="s">
        <v>10997</v>
      </c>
      <c r="G1987" s="36" t="s">
        <v>14</v>
      </c>
      <c r="H1987" s="36" t="str">
        <f>IFERROR(VLOOKUP(Table2[[#This Row], [Ticket]],Okey!A:B,2,0),"")</f>
        <v/>
      </c>
      <c r="I1987" s="36"/>
      <c r="J1987" s="36" t="s">
        <v>19</v>
      </c>
      <c r="K1987" s="36" t="s">
        <v>11488</v>
      </c>
      <c r="L1987" s="36"/>
    </row>
    <row r="1988" spans="1:12" hidden="1">
      <c r="A1988" s="42">
        <f t="shared" si="31"/>
        <v>1987</v>
      </c>
      <c r="B1988" s="36" t="s">
        <v>8</v>
      </c>
      <c r="C1988" s="36" t="s">
        <v>11027</v>
      </c>
      <c r="D1988" s="9" t="s">
        <v>10879</v>
      </c>
      <c r="E1988" s="9" t="s">
        <v>10725</v>
      </c>
      <c r="F1988" s="9" t="s">
        <v>10878</v>
      </c>
      <c r="G1988" s="36" t="s">
        <v>14</v>
      </c>
      <c r="H1988" s="36" t="str">
        <f>IFERROR(VLOOKUP(Table2[[#This Row], [Ticket]],Okey!A:B,2,0),"")</f>
        <v/>
      </c>
      <c r="I1988" s="36"/>
      <c r="J1988" s="36" t="s">
        <v>19</v>
      </c>
      <c r="K1988" s="36" t="s">
        <v>11488</v>
      </c>
      <c r="L1988" s="36"/>
    </row>
    <row r="1989" spans="1:12" hidden="1">
      <c r="A1989" s="42">
        <f t="shared" si="31"/>
        <v>1988</v>
      </c>
      <c r="B1989" s="36" t="s">
        <v>8</v>
      </c>
      <c r="C1989" s="36" t="s">
        <v>11027</v>
      </c>
      <c r="D1989" s="9" t="s">
        <v>10880</v>
      </c>
      <c r="E1989" s="9" t="s">
        <v>10726</v>
      </c>
      <c r="F1989" s="9" t="s">
        <v>10878</v>
      </c>
      <c r="G1989" s="36" t="s">
        <v>14</v>
      </c>
      <c r="H1989" s="36" t="str">
        <f>IFERROR(VLOOKUP(Table2[[#This Row], [Ticket]],Okey!A:B,2,0),"")</f>
        <v/>
      </c>
      <c r="I1989" s="36"/>
      <c r="J1989" s="36" t="s">
        <v>19</v>
      </c>
      <c r="K1989" s="36" t="s">
        <v>11488</v>
      </c>
      <c r="L1989" s="36"/>
    </row>
    <row r="1990" spans="1:12" hidden="1">
      <c r="A1990" s="42">
        <f t="shared" si="31"/>
        <v>1989</v>
      </c>
      <c r="B1990" s="36" t="s">
        <v>8</v>
      </c>
      <c r="C1990" s="36" t="s">
        <v>11027</v>
      </c>
      <c r="D1990" s="9" t="s">
        <v>10881</v>
      </c>
      <c r="E1990" s="9" t="s">
        <v>10727</v>
      </c>
      <c r="F1990" s="9" t="s">
        <v>10878</v>
      </c>
      <c r="G1990" s="36" t="s">
        <v>14</v>
      </c>
      <c r="H1990" s="36" t="str">
        <f>IFERROR(VLOOKUP(Table2[[#This Row], [Ticket]],Okey!A:B,2,0),"")</f>
        <v/>
      </c>
      <c r="I1990" s="36"/>
      <c r="J1990" s="36" t="s">
        <v>19</v>
      </c>
      <c r="K1990" s="36" t="s">
        <v>11488</v>
      </c>
      <c r="L1990" s="36"/>
    </row>
    <row r="1991" spans="1:12" hidden="1">
      <c r="A1991" s="42">
        <f t="shared" si="31"/>
        <v>1990</v>
      </c>
      <c r="B1991" s="36" t="s">
        <v>8</v>
      </c>
      <c r="C1991" s="36" t="s">
        <v>11027</v>
      </c>
      <c r="D1991" s="9" t="s">
        <v>10882</v>
      </c>
      <c r="E1991" s="9" t="s">
        <v>10728</v>
      </c>
      <c r="F1991" s="9" t="s">
        <v>10998</v>
      </c>
      <c r="G1991" s="36" t="s">
        <v>14</v>
      </c>
      <c r="H1991" s="36" t="str">
        <f>IFERROR(VLOOKUP(Table2[[#This Row], [Ticket]],Okey!A:B,2,0),"")</f>
        <v/>
      </c>
      <c r="I1991" s="36"/>
      <c r="J1991" s="36" t="s">
        <v>19</v>
      </c>
      <c r="K1991" s="36" t="s">
        <v>11488</v>
      </c>
      <c r="L1991" s="36"/>
    </row>
    <row r="1992" spans="1:12" hidden="1">
      <c r="A1992" s="42">
        <f t="shared" si="31"/>
        <v>1991</v>
      </c>
      <c r="B1992" s="36" t="s">
        <v>8</v>
      </c>
      <c r="C1992" s="36" t="s">
        <v>11027</v>
      </c>
      <c r="D1992" s="9" t="s">
        <v>10883</v>
      </c>
      <c r="E1992" s="9" t="s">
        <v>10729</v>
      </c>
      <c r="F1992" s="9" t="s">
        <v>10882</v>
      </c>
      <c r="G1992" s="36" t="s">
        <v>14</v>
      </c>
      <c r="H1992" s="36" t="str">
        <f>IFERROR(VLOOKUP(Table2[[#This Row], [Ticket]],Okey!A:B,2,0),"")</f>
        <v/>
      </c>
      <c r="I1992" s="36"/>
      <c r="J1992" s="36" t="s">
        <v>19</v>
      </c>
      <c r="K1992" s="36" t="s">
        <v>11488</v>
      </c>
      <c r="L1992" s="36"/>
    </row>
    <row r="1993" spans="1:12" hidden="1">
      <c r="A1993" s="42">
        <f t="shared" si="31"/>
        <v>1992</v>
      </c>
      <c r="B1993" s="36" t="s">
        <v>8</v>
      </c>
      <c r="C1993" s="36" t="s">
        <v>11027</v>
      </c>
      <c r="D1993" s="9" t="s">
        <v>10884</v>
      </c>
      <c r="E1993" s="9" t="s">
        <v>10730</v>
      </c>
      <c r="F1993" s="9" t="s">
        <v>10882</v>
      </c>
      <c r="G1993" s="36" t="s">
        <v>14</v>
      </c>
      <c r="H1993" s="36" t="str">
        <f>IFERROR(VLOOKUP(Table2[[#This Row], [Ticket]],Okey!A:B,2,0),"")</f>
        <v/>
      </c>
      <c r="I1993" s="36"/>
      <c r="J1993" s="36" t="s">
        <v>19</v>
      </c>
      <c r="K1993" s="36" t="s">
        <v>11488</v>
      </c>
      <c r="L1993" s="36"/>
    </row>
    <row r="1994" spans="1:12" hidden="1">
      <c r="A1994" s="42">
        <f t="shared" si="31"/>
        <v>1993</v>
      </c>
      <c r="B1994" s="36" t="s">
        <v>8</v>
      </c>
      <c r="C1994" s="36" t="s">
        <v>11027</v>
      </c>
      <c r="D1994" s="9" t="s">
        <v>10885</v>
      </c>
      <c r="E1994" s="9" t="s">
        <v>10731</v>
      </c>
      <c r="F1994" s="9" t="s">
        <v>10999</v>
      </c>
      <c r="G1994" s="36" t="s">
        <v>14</v>
      </c>
      <c r="H1994" s="36" t="str">
        <f>IFERROR(VLOOKUP(Table2[[#This Row], [Ticket]],Okey!A:B,2,0),"")</f>
        <v/>
      </c>
      <c r="I1994" s="36"/>
      <c r="J1994" s="36" t="s">
        <v>19</v>
      </c>
      <c r="K1994" s="36" t="s">
        <v>11488</v>
      </c>
      <c r="L1994" s="36"/>
    </row>
    <row r="1995" spans="1:12" hidden="1">
      <c r="A1995" s="42">
        <f t="shared" si="31"/>
        <v>1994</v>
      </c>
      <c r="B1995" s="36" t="s">
        <v>8</v>
      </c>
      <c r="C1995" s="36" t="s">
        <v>11027</v>
      </c>
      <c r="D1995" s="9" t="s">
        <v>10886</v>
      </c>
      <c r="E1995" s="9" t="s">
        <v>10732</v>
      </c>
      <c r="F1995" s="9" t="s">
        <v>10885</v>
      </c>
      <c r="G1995" s="36" t="s">
        <v>14</v>
      </c>
      <c r="H1995" s="36" t="str">
        <f>IFERROR(VLOOKUP(Table2[[#This Row], [Ticket]],Okey!A:B,2,0),"")</f>
        <v/>
      </c>
      <c r="I1995" s="36"/>
      <c r="J1995" s="36" t="s">
        <v>19</v>
      </c>
      <c r="K1995" s="36" t="s">
        <v>11488</v>
      </c>
      <c r="L1995" s="36"/>
    </row>
    <row r="1996" spans="1:12" hidden="1">
      <c r="A1996" s="42">
        <f t="shared" si="31"/>
        <v>1995</v>
      </c>
      <c r="B1996" s="36" t="s">
        <v>8</v>
      </c>
      <c r="C1996" s="36" t="s">
        <v>11027</v>
      </c>
      <c r="D1996" s="9" t="s">
        <v>10887</v>
      </c>
      <c r="E1996" s="9" t="s">
        <v>10733</v>
      </c>
      <c r="F1996" s="9" t="s">
        <v>10885</v>
      </c>
      <c r="G1996" s="36" t="s">
        <v>14</v>
      </c>
      <c r="H1996" s="36" t="str">
        <f>IFERROR(VLOOKUP(Table2[[#This Row], [Ticket]],Okey!A:B,2,0),"")</f>
        <v/>
      </c>
      <c r="I1996" s="36"/>
      <c r="J1996" s="36" t="s">
        <v>19</v>
      </c>
      <c r="K1996" s="36" t="s">
        <v>11488</v>
      </c>
      <c r="L1996" s="36"/>
    </row>
    <row r="1997" spans="1:12" hidden="1">
      <c r="A1997" s="42">
        <f t="shared" si="31"/>
        <v>1996</v>
      </c>
      <c r="B1997" s="36" t="s">
        <v>8</v>
      </c>
      <c r="C1997" s="36" t="s">
        <v>11027</v>
      </c>
      <c r="D1997" s="9" t="s">
        <v>10888</v>
      </c>
      <c r="E1997" s="9" t="s">
        <v>10734</v>
      </c>
      <c r="F1997" s="9" t="s">
        <v>10885</v>
      </c>
      <c r="G1997" s="36" t="s">
        <v>14</v>
      </c>
      <c r="H1997" s="36" t="str">
        <f>IFERROR(VLOOKUP(Table2[[#This Row], [Ticket]],Okey!A:B,2,0),"")</f>
        <v/>
      </c>
      <c r="I1997" s="36"/>
      <c r="J1997" s="36" t="s">
        <v>19</v>
      </c>
      <c r="K1997" s="36" t="s">
        <v>11488</v>
      </c>
      <c r="L1997" s="36"/>
    </row>
    <row r="1998" spans="1:12" hidden="1">
      <c r="A1998" s="42">
        <f t="shared" si="31"/>
        <v>1997</v>
      </c>
      <c r="B1998" s="36" t="s">
        <v>8</v>
      </c>
      <c r="C1998" s="36" t="s">
        <v>11027</v>
      </c>
      <c r="D1998" s="9" t="s">
        <v>10889</v>
      </c>
      <c r="E1998" s="9" t="s">
        <v>10735</v>
      </c>
      <c r="F1998" s="9" t="s">
        <v>11000</v>
      </c>
      <c r="G1998" s="36" t="s">
        <v>14</v>
      </c>
      <c r="H1998" s="36" t="str">
        <f>IFERROR(VLOOKUP(Table2[[#This Row], [Ticket]],Okey!A:B,2,0),"")</f>
        <v/>
      </c>
      <c r="I1998" s="36"/>
      <c r="J1998" s="36" t="s">
        <v>19</v>
      </c>
      <c r="K1998" s="36" t="s">
        <v>11488</v>
      </c>
      <c r="L1998" s="36"/>
    </row>
    <row r="1999" spans="1:12" hidden="1">
      <c r="A1999" s="42">
        <f t="shared" si="31"/>
        <v>1998</v>
      </c>
      <c r="B1999" s="36" t="s">
        <v>8</v>
      </c>
      <c r="C1999" s="36" t="s">
        <v>11027</v>
      </c>
      <c r="D1999" s="9" t="s">
        <v>10890</v>
      </c>
      <c r="E1999" s="9" t="s">
        <v>10736</v>
      </c>
      <c r="F1999" s="9" t="s">
        <v>10889</v>
      </c>
      <c r="G1999" s="36" t="s">
        <v>14</v>
      </c>
      <c r="H1999" s="36" t="str">
        <f>IFERROR(VLOOKUP(Table2[[#This Row], [Ticket]],Okey!A:B,2,0),"")</f>
        <v/>
      </c>
      <c r="I1999" s="36"/>
      <c r="J1999" s="36" t="s">
        <v>19</v>
      </c>
      <c r="K1999" s="36" t="s">
        <v>11488</v>
      </c>
      <c r="L1999" s="36"/>
    </row>
    <row r="2000" spans="1:12" hidden="1">
      <c r="A2000" s="42">
        <f t="shared" si="31"/>
        <v>1999</v>
      </c>
      <c r="B2000" s="36" t="s">
        <v>8</v>
      </c>
      <c r="C2000" s="36" t="s">
        <v>11027</v>
      </c>
      <c r="D2000" s="9" t="s">
        <v>10891</v>
      </c>
      <c r="E2000" s="9" t="s">
        <v>10737</v>
      </c>
      <c r="F2000" s="9" t="s">
        <v>10889</v>
      </c>
      <c r="G2000" s="36" t="s">
        <v>14</v>
      </c>
      <c r="H2000" s="36" t="str">
        <f>IFERROR(VLOOKUP(Table2[[#This Row], [Ticket]],Okey!A:B,2,0),"")</f>
        <v/>
      </c>
      <c r="I2000" s="36"/>
      <c r="J2000" s="36" t="s">
        <v>19</v>
      </c>
      <c r="K2000" s="36" t="s">
        <v>11488</v>
      </c>
      <c r="L2000" s="36"/>
    </row>
    <row r="2001" spans="1:12" hidden="1">
      <c r="A2001" s="42">
        <f t="shared" si="31"/>
        <v>2000</v>
      </c>
      <c r="B2001" s="36" t="s">
        <v>8</v>
      </c>
      <c r="C2001" s="36" t="s">
        <v>11027</v>
      </c>
      <c r="D2001" s="9" t="s">
        <v>10892</v>
      </c>
      <c r="E2001" s="9" t="s">
        <v>10738</v>
      </c>
      <c r="F2001" s="9" t="s">
        <v>11001</v>
      </c>
      <c r="G2001" s="36" t="s">
        <v>14</v>
      </c>
      <c r="H2001" s="36" t="str">
        <f>IFERROR(VLOOKUP(Table2[[#This Row], [Ticket]],Okey!A:B,2,0),"")</f>
        <v/>
      </c>
      <c r="I2001" s="36"/>
      <c r="J2001" s="36" t="s">
        <v>19</v>
      </c>
      <c r="K2001" s="36" t="s">
        <v>11488</v>
      </c>
      <c r="L2001" s="36"/>
    </row>
    <row r="2002" spans="1:12" hidden="1">
      <c r="A2002" s="42">
        <f t="shared" si="31"/>
        <v>2001</v>
      </c>
      <c r="B2002" s="36" t="s">
        <v>8</v>
      </c>
      <c r="C2002" s="36" t="s">
        <v>11027</v>
      </c>
      <c r="D2002" s="9" t="s">
        <v>10893</v>
      </c>
      <c r="E2002" s="9" t="s">
        <v>10739</v>
      </c>
      <c r="F2002" s="9" t="s">
        <v>10892</v>
      </c>
      <c r="G2002" s="36" t="s">
        <v>14</v>
      </c>
      <c r="H2002" s="36" t="str">
        <f>IFERROR(VLOOKUP(Table2[[#This Row], [Ticket]],Okey!A:B,2,0),"")</f>
        <v/>
      </c>
      <c r="I2002" s="36"/>
      <c r="J2002" s="36" t="s">
        <v>19</v>
      </c>
      <c r="K2002" s="36" t="s">
        <v>11488</v>
      </c>
      <c r="L2002" s="36"/>
    </row>
    <row r="2003" spans="1:12" hidden="1">
      <c r="A2003" s="42">
        <f t="shared" si="31"/>
        <v>2002</v>
      </c>
      <c r="B2003" s="36" t="s">
        <v>8</v>
      </c>
      <c r="C2003" s="36" t="s">
        <v>11027</v>
      </c>
      <c r="D2003" s="9" t="s">
        <v>10894</v>
      </c>
      <c r="E2003" s="9" t="s">
        <v>10740</v>
      </c>
      <c r="F2003" s="9" t="s">
        <v>10892</v>
      </c>
      <c r="G2003" s="36" t="s">
        <v>14</v>
      </c>
      <c r="H2003" s="36" t="str">
        <f>IFERROR(VLOOKUP(Table2[[#This Row], [Ticket]],Okey!A:B,2,0),"")</f>
        <v/>
      </c>
      <c r="I2003" s="36"/>
      <c r="J2003" s="36" t="s">
        <v>19</v>
      </c>
      <c r="K2003" s="36" t="s">
        <v>11488</v>
      </c>
      <c r="L2003" s="36"/>
    </row>
    <row r="2004" spans="1:12" hidden="1">
      <c r="A2004" s="42">
        <f t="shared" si="31"/>
        <v>2003</v>
      </c>
      <c r="B2004" s="36" t="s">
        <v>8</v>
      </c>
      <c r="C2004" s="36" t="s">
        <v>11027</v>
      </c>
      <c r="D2004" s="9" t="s">
        <v>10895</v>
      </c>
      <c r="E2004" s="9" t="s">
        <v>10741</v>
      </c>
      <c r="F2004" s="9" t="s">
        <v>10892</v>
      </c>
      <c r="G2004" s="36" t="s">
        <v>14</v>
      </c>
      <c r="H2004" s="36" t="str">
        <f>IFERROR(VLOOKUP(Table2[[#This Row], [Ticket]],Okey!A:B,2,0),"")</f>
        <v/>
      </c>
      <c r="I2004" s="36"/>
      <c r="J2004" s="36" t="s">
        <v>19</v>
      </c>
      <c r="K2004" s="36" t="s">
        <v>11488</v>
      </c>
      <c r="L2004" s="36"/>
    </row>
    <row r="2005" spans="1:12" hidden="1">
      <c r="A2005" s="42">
        <f t="shared" si="31"/>
        <v>2004</v>
      </c>
      <c r="B2005" s="36" t="s">
        <v>8</v>
      </c>
      <c r="C2005" s="36" t="s">
        <v>11027</v>
      </c>
      <c r="D2005" s="9" t="s">
        <v>10896</v>
      </c>
      <c r="E2005" s="9" t="s">
        <v>10742</v>
      </c>
      <c r="F2005" s="9" t="s">
        <v>11002</v>
      </c>
      <c r="G2005" s="36" t="s">
        <v>14</v>
      </c>
      <c r="H2005" s="36" t="str">
        <f>IFERROR(VLOOKUP(Table2[[#This Row], [Ticket]],Okey!A:B,2,0),"")</f>
        <v/>
      </c>
      <c r="I2005" s="36"/>
      <c r="J2005" s="36" t="s">
        <v>19</v>
      </c>
      <c r="K2005" s="36" t="s">
        <v>11488</v>
      </c>
      <c r="L2005" s="36"/>
    </row>
    <row r="2006" spans="1:12" hidden="1">
      <c r="A2006" s="42">
        <f t="shared" ref="A2006:A2069" si="32">1+A2005</f>
        <v>2005</v>
      </c>
      <c r="B2006" s="36" t="s">
        <v>8</v>
      </c>
      <c r="C2006" s="36" t="s">
        <v>11027</v>
      </c>
      <c r="D2006" s="9" t="s">
        <v>10897</v>
      </c>
      <c r="E2006" s="9" t="s">
        <v>10743</v>
      </c>
      <c r="F2006" s="9" t="s">
        <v>10896</v>
      </c>
      <c r="G2006" s="36" t="s">
        <v>14</v>
      </c>
      <c r="H2006" s="36" t="str">
        <f>IFERROR(VLOOKUP(Table2[[#This Row], [Ticket]],Okey!A:B,2,0),"")</f>
        <v/>
      </c>
      <c r="I2006" s="36"/>
      <c r="J2006" s="36" t="s">
        <v>19</v>
      </c>
      <c r="K2006" s="36" t="s">
        <v>11488</v>
      </c>
      <c r="L2006" s="36"/>
    </row>
    <row r="2007" spans="1:12" hidden="1">
      <c r="A2007" s="42">
        <f t="shared" si="32"/>
        <v>2006</v>
      </c>
      <c r="B2007" s="36" t="s">
        <v>8</v>
      </c>
      <c r="C2007" s="36" t="s">
        <v>11027</v>
      </c>
      <c r="D2007" s="9" t="s">
        <v>10898</v>
      </c>
      <c r="E2007" s="9" t="s">
        <v>10744</v>
      </c>
      <c r="F2007" s="9" t="s">
        <v>10896</v>
      </c>
      <c r="G2007" s="36" t="s">
        <v>14</v>
      </c>
      <c r="H2007" s="36" t="str">
        <f>IFERROR(VLOOKUP(Table2[[#This Row], [Ticket]],Okey!A:B,2,0),"")</f>
        <v/>
      </c>
      <c r="I2007" s="36"/>
      <c r="J2007" s="36" t="s">
        <v>19</v>
      </c>
      <c r="K2007" s="36" t="s">
        <v>11488</v>
      </c>
      <c r="L2007" s="36"/>
    </row>
    <row r="2008" spans="1:12" hidden="1">
      <c r="A2008" s="42">
        <f t="shared" si="32"/>
        <v>2007</v>
      </c>
      <c r="B2008" s="36" t="s">
        <v>8</v>
      </c>
      <c r="C2008" s="36" t="s">
        <v>11027</v>
      </c>
      <c r="D2008" s="9" t="s">
        <v>10899</v>
      </c>
      <c r="E2008" s="9" t="s">
        <v>10745</v>
      </c>
      <c r="F2008" s="9" t="s">
        <v>11003</v>
      </c>
      <c r="G2008" s="36" t="s">
        <v>14</v>
      </c>
      <c r="H2008" s="36" t="str">
        <f>IFERROR(VLOOKUP(Table2[[#This Row], [Ticket]],Okey!A:B,2,0),"")</f>
        <v/>
      </c>
      <c r="I2008" s="36"/>
      <c r="J2008" s="36" t="s">
        <v>19</v>
      </c>
      <c r="K2008" s="36" t="s">
        <v>11488</v>
      </c>
      <c r="L2008" s="36"/>
    </row>
    <row r="2009" spans="1:12" hidden="1">
      <c r="A2009" s="42">
        <f t="shared" si="32"/>
        <v>2008</v>
      </c>
      <c r="B2009" s="36" t="s">
        <v>8</v>
      </c>
      <c r="C2009" s="36" t="s">
        <v>11027</v>
      </c>
      <c r="D2009" s="9" t="s">
        <v>10900</v>
      </c>
      <c r="E2009" s="9" t="s">
        <v>10746</v>
      </c>
      <c r="F2009" s="9" t="s">
        <v>10899</v>
      </c>
      <c r="G2009" s="36" t="s">
        <v>14</v>
      </c>
      <c r="H2009" s="36" t="str">
        <f>IFERROR(VLOOKUP(Table2[[#This Row], [Ticket]],Okey!A:B,2,0),"")</f>
        <v/>
      </c>
      <c r="I2009" s="36"/>
      <c r="J2009" s="36" t="s">
        <v>19</v>
      </c>
      <c r="K2009" s="36" t="s">
        <v>11488</v>
      </c>
      <c r="L2009" s="36"/>
    </row>
    <row r="2010" spans="1:12" hidden="1">
      <c r="A2010" s="42">
        <f t="shared" si="32"/>
        <v>2009</v>
      </c>
      <c r="B2010" s="36" t="s">
        <v>8</v>
      </c>
      <c r="C2010" s="36" t="s">
        <v>11027</v>
      </c>
      <c r="D2010" s="9" t="s">
        <v>10901</v>
      </c>
      <c r="E2010" s="9" t="s">
        <v>10747</v>
      </c>
      <c r="F2010" s="9" t="s">
        <v>10899</v>
      </c>
      <c r="G2010" s="36" t="s">
        <v>14</v>
      </c>
      <c r="H2010" s="36" t="str">
        <f>IFERROR(VLOOKUP(Table2[[#This Row], [Ticket]],Okey!A:B,2,0),"")</f>
        <v/>
      </c>
      <c r="I2010" s="36"/>
      <c r="J2010" s="36" t="s">
        <v>19</v>
      </c>
      <c r="K2010" s="36" t="s">
        <v>11488</v>
      </c>
      <c r="L2010" s="36"/>
    </row>
    <row r="2011" spans="1:12" hidden="1">
      <c r="A2011" s="42">
        <f t="shared" si="32"/>
        <v>2010</v>
      </c>
      <c r="B2011" s="36" t="s">
        <v>8</v>
      </c>
      <c r="C2011" s="36" t="s">
        <v>11027</v>
      </c>
      <c r="D2011" s="9" t="s">
        <v>10902</v>
      </c>
      <c r="E2011" s="9" t="s">
        <v>10748</v>
      </c>
      <c r="F2011" s="9" t="s">
        <v>10899</v>
      </c>
      <c r="G2011" s="36" t="s">
        <v>14</v>
      </c>
      <c r="H2011" s="36" t="str">
        <f>IFERROR(VLOOKUP(Table2[[#This Row], [Ticket]],Okey!A:B,2,0),"")</f>
        <v/>
      </c>
      <c r="I2011" s="36"/>
      <c r="J2011" s="36" t="s">
        <v>19</v>
      </c>
      <c r="K2011" s="36" t="s">
        <v>11488</v>
      </c>
      <c r="L2011" s="36"/>
    </row>
    <row r="2012" spans="1:12" hidden="1">
      <c r="A2012" s="42">
        <f t="shared" si="32"/>
        <v>2011</v>
      </c>
      <c r="B2012" s="36" t="s">
        <v>8</v>
      </c>
      <c r="C2012" s="36" t="s">
        <v>11027</v>
      </c>
      <c r="D2012" s="9" t="s">
        <v>10903</v>
      </c>
      <c r="E2012" s="9" t="s">
        <v>10749</v>
      </c>
      <c r="F2012" s="9" t="s">
        <v>11004</v>
      </c>
      <c r="G2012" s="36" t="s">
        <v>14</v>
      </c>
      <c r="H2012" s="36" t="str">
        <f>IFERROR(VLOOKUP(Table2[[#This Row], [Ticket]],Okey!A:B,2,0),"")</f>
        <v/>
      </c>
      <c r="I2012" s="36"/>
      <c r="J2012" s="36" t="s">
        <v>19</v>
      </c>
      <c r="K2012" s="36" t="s">
        <v>11488</v>
      </c>
      <c r="L2012" s="36"/>
    </row>
    <row r="2013" spans="1:12" hidden="1">
      <c r="A2013" s="42">
        <f t="shared" si="32"/>
        <v>2012</v>
      </c>
      <c r="B2013" s="36" t="s">
        <v>8</v>
      </c>
      <c r="C2013" s="36" t="s">
        <v>11027</v>
      </c>
      <c r="D2013" s="9" t="s">
        <v>10904</v>
      </c>
      <c r="E2013" s="9" t="s">
        <v>10750</v>
      </c>
      <c r="F2013" s="9" t="s">
        <v>10903</v>
      </c>
      <c r="G2013" s="36" t="s">
        <v>14</v>
      </c>
      <c r="H2013" s="36" t="str">
        <f>IFERROR(VLOOKUP(Table2[[#This Row], [Ticket]],Okey!A:B,2,0),"")</f>
        <v/>
      </c>
      <c r="I2013" s="36"/>
      <c r="J2013" s="36" t="s">
        <v>19</v>
      </c>
      <c r="K2013" s="36" t="s">
        <v>11488</v>
      </c>
      <c r="L2013" s="36"/>
    </row>
    <row r="2014" spans="1:12" hidden="1">
      <c r="A2014" s="42">
        <f t="shared" si="32"/>
        <v>2013</v>
      </c>
      <c r="B2014" s="36" t="s">
        <v>8</v>
      </c>
      <c r="C2014" s="36" t="s">
        <v>11027</v>
      </c>
      <c r="D2014" s="9" t="s">
        <v>10905</v>
      </c>
      <c r="E2014" s="9" t="s">
        <v>10751</v>
      </c>
      <c r="F2014" s="9" t="s">
        <v>10903</v>
      </c>
      <c r="G2014" s="36" t="s">
        <v>14</v>
      </c>
      <c r="H2014" s="36" t="str">
        <f>IFERROR(VLOOKUP(Table2[[#This Row], [Ticket]],Okey!A:B,2,0),"")</f>
        <v/>
      </c>
      <c r="I2014" s="36"/>
      <c r="J2014" s="36" t="s">
        <v>19</v>
      </c>
      <c r="K2014" s="36" t="s">
        <v>11488</v>
      </c>
      <c r="L2014" s="36"/>
    </row>
    <row r="2015" spans="1:12" hidden="1">
      <c r="A2015" s="42">
        <f t="shared" si="32"/>
        <v>2014</v>
      </c>
      <c r="B2015" s="36" t="s">
        <v>8</v>
      </c>
      <c r="C2015" s="36" t="s">
        <v>11027</v>
      </c>
      <c r="D2015" s="9" t="s">
        <v>10906</v>
      </c>
      <c r="E2015" s="9" t="s">
        <v>10752</v>
      </c>
      <c r="F2015" s="9" t="s">
        <v>11005</v>
      </c>
      <c r="G2015" s="36" t="s">
        <v>14</v>
      </c>
      <c r="H2015" s="36" t="str">
        <f>IFERROR(VLOOKUP(Table2[[#This Row], [Ticket]],Okey!A:B,2,0),"")</f>
        <v/>
      </c>
      <c r="I2015" s="36"/>
      <c r="J2015" s="36" t="s">
        <v>19</v>
      </c>
      <c r="K2015" s="36" t="s">
        <v>11488</v>
      </c>
      <c r="L2015" s="36"/>
    </row>
    <row r="2016" spans="1:12" hidden="1">
      <c r="A2016" s="42">
        <f t="shared" si="32"/>
        <v>2015</v>
      </c>
      <c r="B2016" s="36" t="s">
        <v>8</v>
      </c>
      <c r="C2016" s="36" t="s">
        <v>11027</v>
      </c>
      <c r="D2016" s="9" t="s">
        <v>10907</v>
      </c>
      <c r="E2016" s="9" t="s">
        <v>10753</v>
      </c>
      <c r="F2016" s="9" t="s">
        <v>10906</v>
      </c>
      <c r="G2016" s="36" t="s">
        <v>14</v>
      </c>
      <c r="H2016" s="36" t="str">
        <f>IFERROR(VLOOKUP(Table2[[#This Row], [Ticket]],Okey!A:B,2,0),"")</f>
        <v/>
      </c>
      <c r="I2016" s="36"/>
      <c r="J2016" s="36" t="s">
        <v>19</v>
      </c>
      <c r="K2016" s="36" t="s">
        <v>11488</v>
      </c>
      <c r="L2016" s="36"/>
    </row>
    <row r="2017" spans="1:12" hidden="1">
      <c r="A2017" s="42">
        <f t="shared" si="32"/>
        <v>2016</v>
      </c>
      <c r="B2017" s="36" t="s">
        <v>8</v>
      </c>
      <c r="C2017" s="36" t="s">
        <v>11027</v>
      </c>
      <c r="D2017" s="9" t="s">
        <v>10908</v>
      </c>
      <c r="E2017" s="9" t="s">
        <v>10754</v>
      </c>
      <c r="F2017" s="9" t="s">
        <v>10906</v>
      </c>
      <c r="G2017" s="36" t="s">
        <v>14</v>
      </c>
      <c r="H2017" s="36" t="str">
        <f>IFERROR(VLOOKUP(Table2[[#This Row], [Ticket]],Okey!A:B,2,0),"")</f>
        <v/>
      </c>
      <c r="I2017" s="36"/>
      <c r="J2017" s="36" t="s">
        <v>19</v>
      </c>
      <c r="K2017" s="36" t="s">
        <v>11488</v>
      </c>
      <c r="L2017" s="36"/>
    </row>
    <row r="2018" spans="1:12" hidden="1">
      <c r="A2018" s="42">
        <f t="shared" si="32"/>
        <v>2017</v>
      </c>
      <c r="B2018" s="36" t="s">
        <v>8</v>
      </c>
      <c r="C2018" s="36" t="s">
        <v>11027</v>
      </c>
      <c r="D2018" s="9" t="s">
        <v>10909</v>
      </c>
      <c r="E2018" s="9" t="s">
        <v>10755</v>
      </c>
      <c r="F2018" s="9" t="s">
        <v>10906</v>
      </c>
      <c r="G2018" s="36" t="s">
        <v>14</v>
      </c>
      <c r="H2018" s="36" t="str">
        <f>IFERROR(VLOOKUP(Table2[[#This Row], [Ticket]],Okey!A:B,2,0),"")</f>
        <v/>
      </c>
      <c r="I2018" s="36"/>
      <c r="J2018" s="36" t="s">
        <v>19</v>
      </c>
      <c r="K2018" s="36" t="s">
        <v>11488</v>
      </c>
      <c r="L2018" s="36"/>
    </row>
    <row r="2019" spans="1:12" hidden="1">
      <c r="A2019" s="42">
        <f t="shared" si="32"/>
        <v>2018</v>
      </c>
      <c r="B2019" s="36" t="s">
        <v>8</v>
      </c>
      <c r="C2019" s="36" t="s">
        <v>11027</v>
      </c>
      <c r="D2019" s="9" t="s">
        <v>10910</v>
      </c>
      <c r="E2019" s="9" t="s">
        <v>10756</v>
      </c>
      <c r="F2019" s="9" t="s">
        <v>11006</v>
      </c>
      <c r="G2019" s="36" t="s">
        <v>14</v>
      </c>
      <c r="H2019" s="36" t="str">
        <f>IFERROR(VLOOKUP(Table2[[#This Row], [Ticket]],Okey!A:B,2,0),"")</f>
        <v/>
      </c>
      <c r="I2019" s="36"/>
      <c r="J2019" s="36" t="s">
        <v>19</v>
      </c>
      <c r="K2019" s="36" t="s">
        <v>11488</v>
      </c>
      <c r="L2019" s="36"/>
    </row>
    <row r="2020" spans="1:12" hidden="1">
      <c r="A2020" s="42">
        <f t="shared" si="32"/>
        <v>2019</v>
      </c>
      <c r="B2020" s="36" t="s">
        <v>8</v>
      </c>
      <c r="C2020" s="36" t="s">
        <v>11027</v>
      </c>
      <c r="D2020" s="9" t="s">
        <v>10911</v>
      </c>
      <c r="E2020" s="9" t="s">
        <v>10757</v>
      </c>
      <c r="F2020" s="9" t="s">
        <v>10910</v>
      </c>
      <c r="G2020" s="36" t="s">
        <v>14</v>
      </c>
      <c r="H2020" s="36" t="str">
        <f>IFERROR(VLOOKUP(Table2[[#This Row], [Ticket]],Okey!A:B,2,0),"")</f>
        <v/>
      </c>
      <c r="I2020" s="36"/>
      <c r="J2020" s="36" t="s">
        <v>19</v>
      </c>
      <c r="K2020" s="36" t="s">
        <v>11488</v>
      </c>
      <c r="L2020" s="36"/>
    </row>
    <row r="2021" spans="1:12" hidden="1">
      <c r="A2021" s="42">
        <f t="shared" si="32"/>
        <v>2020</v>
      </c>
      <c r="B2021" s="36" t="s">
        <v>8</v>
      </c>
      <c r="C2021" s="36" t="s">
        <v>11027</v>
      </c>
      <c r="D2021" s="9" t="s">
        <v>10912</v>
      </c>
      <c r="E2021" s="9" t="s">
        <v>10758</v>
      </c>
      <c r="F2021" s="9" t="s">
        <v>10910</v>
      </c>
      <c r="G2021" s="36" t="s">
        <v>14</v>
      </c>
      <c r="H2021" s="36" t="str">
        <f>IFERROR(VLOOKUP(Table2[[#This Row], [Ticket]],Okey!A:B,2,0),"")</f>
        <v/>
      </c>
      <c r="I2021" s="36"/>
      <c r="J2021" s="36" t="s">
        <v>19</v>
      </c>
      <c r="K2021" s="36" t="s">
        <v>11488</v>
      </c>
      <c r="L2021" s="36"/>
    </row>
    <row r="2022" spans="1:12" hidden="1">
      <c r="A2022" s="42">
        <f t="shared" si="32"/>
        <v>2021</v>
      </c>
      <c r="B2022" s="36" t="s">
        <v>8</v>
      </c>
      <c r="C2022" s="36" t="s">
        <v>11027</v>
      </c>
      <c r="D2022" s="9" t="s">
        <v>10913</v>
      </c>
      <c r="E2022" s="9" t="s">
        <v>10759</v>
      </c>
      <c r="F2022" s="9" t="s">
        <v>11007</v>
      </c>
      <c r="G2022" s="36" t="s">
        <v>14</v>
      </c>
      <c r="H2022" s="36" t="str">
        <f>IFERROR(VLOOKUP(Table2[[#This Row], [Ticket]],Okey!A:B,2,0),"")</f>
        <v/>
      </c>
      <c r="I2022" s="36"/>
      <c r="J2022" s="36" t="s">
        <v>19</v>
      </c>
      <c r="K2022" s="36" t="s">
        <v>11488</v>
      </c>
      <c r="L2022" s="36"/>
    </row>
    <row r="2023" spans="1:12" hidden="1">
      <c r="A2023" s="42">
        <f t="shared" si="32"/>
        <v>2022</v>
      </c>
      <c r="B2023" s="36" t="s">
        <v>8</v>
      </c>
      <c r="C2023" s="36" t="s">
        <v>11027</v>
      </c>
      <c r="D2023" s="9" t="s">
        <v>10914</v>
      </c>
      <c r="E2023" s="9" t="s">
        <v>10760</v>
      </c>
      <c r="F2023" s="9" t="s">
        <v>10913</v>
      </c>
      <c r="G2023" s="36" t="s">
        <v>14</v>
      </c>
      <c r="H2023" s="36" t="str">
        <f>IFERROR(VLOOKUP(Table2[[#This Row], [Ticket]],Okey!A:B,2,0),"")</f>
        <v/>
      </c>
      <c r="I2023" s="36"/>
      <c r="J2023" s="36" t="s">
        <v>19</v>
      </c>
      <c r="K2023" s="36" t="s">
        <v>11488</v>
      </c>
      <c r="L2023" s="36"/>
    </row>
    <row r="2024" spans="1:12" hidden="1">
      <c r="A2024" s="42">
        <f t="shared" si="32"/>
        <v>2023</v>
      </c>
      <c r="B2024" s="36" t="s">
        <v>8</v>
      </c>
      <c r="C2024" s="36" t="s">
        <v>11027</v>
      </c>
      <c r="D2024" s="9" t="s">
        <v>10915</v>
      </c>
      <c r="E2024" s="9" t="s">
        <v>10761</v>
      </c>
      <c r="F2024" s="9" t="s">
        <v>10913</v>
      </c>
      <c r="G2024" s="36" t="s">
        <v>14</v>
      </c>
      <c r="H2024" s="36" t="str">
        <f>IFERROR(VLOOKUP(Table2[[#This Row], [Ticket]],Okey!A:B,2,0),"")</f>
        <v/>
      </c>
      <c r="I2024" s="36"/>
      <c r="J2024" s="36" t="s">
        <v>19</v>
      </c>
      <c r="K2024" s="36" t="s">
        <v>11488</v>
      </c>
      <c r="L2024" s="36"/>
    </row>
    <row r="2025" spans="1:12" hidden="1">
      <c r="A2025" s="42">
        <f t="shared" si="32"/>
        <v>2024</v>
      </c>
      <c r="B2025" s="36" t="s">
        <v>8</v>
      </c>
      <c r="C2025" s="36" t="s">
        <v>11027</v>
      </c>
      <c r="D2025" s="9" t="s">
        <v>10916</v>
      </c>
      <c r="E2025" s="9" t="s">
        <v>10762</v>
      </c>
      <c r="F2025" s="9" t="s">
        <v>10913</v>
      </c>
      <c r="G2025" s="36" t="s">
        <v>14</v>
      </c>
      <c r="H2025" s="36" t="str">
        <f>IFERROR(VLOOKUP(Table2[[#This Row], [Ticket]],Okey!A:B,2,0),"")</f>
        <v/>
      </c>
      <c r="I2025" s="36"/>
      <c r="J2025" s="36" t="s">
        <v>19</v>
      </c>
      <c r="K2025" s="36" t="s">
        <v>11488</v>
      </c>
      <c r="L2025" s="36"/>
    </row>
    <row r="2026" spans="1:12" hidden="1">
      <c r="A2026" s="42">
        <f t="shared" si="32"/>
        <v>2025</v>
      </c>
      <c r="B2026" s="36" t="s">
        <v>8</v>
      </c>
      <c r="C2026" s="36" t="s">
        <v>11027</v>
      </c>
      <c r="D2026" s="9" t="s">
        <v>10917</v>
      </c>
      <c r="E2026" s="9" t="s">
        <v>10763</v>
      </c>
      <c r="F2026" s="9" t="s">
        <v>11008</v>
      </c>
      <c r="G2026" s="36" t="s">
        <v>14</v>
      </c>
      <c r="H2026" s="36" t="str">
        <f>IFERROR(VLOOKUP(Table2[[#This Row], [Ticket]],Okey!A:B,2,0),"")</f>
        <v/>
      </c>
      <c r="I2026" s="36"/>
      <c r="J2026" s="36" t="s">
        <v>19</v>
      </c>
      <c r="K2026" s="36" t="s">
        <v>11488</v>
      </c>
      <c r="L2026" s="36"/>
    </row>
    <row r="2027" spans="1:12" hidden="1">
      <c r="A2027" s="42">
        <f t="shared" si="32"/>
        <v>2026</v>
      </c>
      <c r="B2027" s="36" t="s">
        <v>8</v>
      </c>
      <c r="C2027" s="36" t="s">
        <v>11027</v>
      </c>
      <c r="D2027" s="9" t="s">
        <v>10918</v>
      </c>
      <c r="E2027" s="9" t="s">
        <v>10764</v>
      </c>
      <c r="F2027" s="9" t="s">
        <v>10917</v>
      </c>
      <c r="G2027" s="36" t="s">
        <v>14</v>
      </c>
      <c r="H2027" s="36" t="str">
        <f>IFERROR(VLOOKUP(Table2[[#This Row], [Ticket]],Okey!A:B,2,0),"")</f>
        <v/>
      </c>
      <c r="I2027" s="36"/>
      <c r="J2027" s="36" t="s">
        <v>19</v>
      </c>
      <c r="K2027" s="36" t="s">
        <v>11488</v>
      </c>
      <c r="L2027" s="36"/>
    </row>
    <row r="2028" spans="1:12" hidden="1">
      <c r="A2028" s="42">
        <f t="shared" si="32"/>
        <v>2027</v>
      </c>
      <c r="B2028" s="36" t="s">
        <v>8</v>
      </c>
      <c r="C2028" s="36" t="s">
        <v>11027</v>
      </c>
      <c r="D2028" s="9" t="s">
        <v>10919</v>
      </c>
      <c r="E2028" s="9" t="s">
        <v>10765</v>
      </c>
      <c r="F2028" s="9" t="s">
        <v>10917</v>
      </c>
      <c r="G2028" s="36" t="s">
        <v>14</v>
      </c>
      <c r="H2028" s="36" t="str">
        <f>IFERROR(VLOOKUP(Table2[[#This Row], [Ticket]],Okey!A:B,2,0),"")</f>
        <v/>
      </c>
      <c r="I2028" s="36"/>
      <c r="J2028" s="36" t="s">
        <v>19</v>
      </c>
      <c r="K2028" s="36" t="s">
        <v>11488</v>
      </c>
      <c r="L2028" s="36"/>
    </row>
    <row r="2029" spans="1:12" hidden="1">
      <c r="A2029" s="42">
        <f t="shared" si="32"/>
        <v>2028</v>
      </c>
      <c r="B2029" s="36" t="s">
        <v>8</v>
      </c>
      <c r="C2029" s="36" t="s">
        <v>11027</v>
      </c>
      <c r="D2029" s="9" t="s">
        <v>10920</v>
      </c>
      <c r="E2029" s="9" t="s">
        <v>10766</v>
      </c>
      <c r="F2029" s="9" t="s">
        <v>11009</v>
      </c>
      <c r="G2029" s="36" t="s">
        <v>14</v>
      </c>
      <c r="H2029" s="36" t="str">
        <f>IFERROR(VLOOKUP(Table2[[#This Row], [Ticket]],Okey!A:B,2,0),"")</f>
        <v/>
      </c>
      <c r="I2029" s="36"/>
      <c r="J2029" s="36" t="s">
        <v>19</v>
      </c>
      <c r="K2029" s="36" t="s">
        <v>11488</v>
      </c>
      <c r="L2029" s="36"/>
    </row>
    <row r="2030" spans="1:12" hidden="1">
      <c r="A2030" s="42">
        <f t="shared" si="32"/>
        <v>2029</v>
      </c>
      <c r="B2030" s="36" t="s">
        <v>8</v>
      </c>
      <c r="C2030" s="36" t="s">
        <v>11027</v>
      </c>
      <c r="D2030" s="9" t="s">
        <v>10921</v>
      </c>
      <c r="E2030" s="9" t="s">
        <v>10767</v>
      </c>
      <c r="F2030" s="9" t="s">
        <v>10920</v>
      </c>
      <c r="G2030" s="36" t="s">
        <v>14</v>
      </c>
      <c r="H2030" s="36" t="str">
        <f>IFERROR(VLOOKUP(Table2[[#This Row], [Ticket]],Okey!A:B,2,0),"")</f>
        <v/>
      </c>
      <c r="I2030" s="36"/>
      <c r="J2030" s="36" t="s">
        <v>19</v>
      </c>
      <c r="K2030" s="36" t="s">
        <v>11488</v>
      </c>
      <c r="L2030" s="36"/>
    </row>
    <row r="2031" spans="1:12" hidden="1">
      <c r="A2031" s="42">
        <f t="shared" si="32"/>
        <v>2030</v>
      </c>
      <c r="B2031" s="36" t="s">
        <v>8</v>
      </c>
      <c r="C2031" s="36" t="s">
        <v>11027</v>
      </c>
      <c r="D2031" s="9" t="s">
        <v>10922</v>
      </c>
      <c r="E2031" s="9" t="s">
        <v>10768</v>
      </c>
      <c r="F2031" s="9" t="s">
        <v>10920</v>
      </c>
      <c r="G2031" s="36" t="s">
        <v>14</v>
      </c>
      <c r="H2031" s="36" t="str">
        <f>IFERROR(VLOOKUP(Table2[[#This Row], [Ticket]],Okey!A:B,2,0),"")</f>
        <v/>
      </c>
      <c r="I2031" s="36"/>
      <c r="J2031" s="36" t="s">
        <v>19</v>
      </c>
      <c r="K2031" s="36" t="s">
        <v>11488</v>
      </c>
      <c r="L2031" s="36"/>
    </row>
    <row r="2032" spans="1:12" hidden="1">
      <c r="A2032" s="42">
        <f t="shared" si="32"/>
        <v>2031</v>
      </c>
      <c r="B2032" s="36" t="s">
        <v>8</v>
      </c>
      <c r="C2032" s="36" t="s">
        <v>11027</v>
      </c>
      <c r="D2032" s="9" t="s">
        <v>10923</v>
      </c>
      <c r="E2032" s="9" t="s">
        <v>10769</v>
      </c>
      <c r="F2032" s="9" t="s">
        <v>10920</v>
      </c>
      <c r="G2032" s="36" t="s">
        <v>14</v>
      </c>
      <c r="H2032" s="36" t="str">
        <f>IFERROR(VLOOKUP(Table2[[#This Row], [Ticket]],Okey!A:B,2,0),"")</f>
        <v/>
      </c>
      <c r="I2032" s="36"/>
      <c r="J2032" s="36" t="s">
        <v>19</v>
      </c>
      <c r="K2032" s="36" t="s">
        <v>11488</v>
      </c>
      <c r="L2032" s="36"/>
    </row>
    <row r="2033" spans="1:12" hidden="1">
      <c r="A2033" s="42">
        <f t="shared" si="32"/>
        <v>2032</v>
      </c>
      <c r="B2033" s="36" t="s">
        <v>8</v>
      </c>
      <c r="C2033" s="36" t="s">
        <v>11027</v>
      </c>
      <c r="D2033" s="9" t="s">
        <v>10924</v>
      </c>
      <c r="E2033" s="9" t="s">
        <v>10770</v>
      </c>
      <c r="F2033" s="9" t="s">
        <v>11010</v>
      </c>
      <c r="G2033" s="36" t="s">
        <v>14</v>
      </c>
      <c r="H2033" s="36" t="str">
        <f>IFERROR(VLOOKUP(Table2[[#This Row], [Ticket]],Okey!A:B,2,0),"")</f>
        <v/>
      </c>
      <c r="I2033" s="36"/>
      <c r="J2033" s="36" t="s">
        <v>19</v>
      </c>
      <c r="K2033" s="36" t="s">
        <v>11488</v>
      </c>
      <c r="L2033" s="36"/>
    </row>
    <row r="2034" spans="1:12" hidden="1">
      <c r="A2034" s="42">
        <f t="shared" si="32"/>
        <v>2033</v>
      </c>
      <c r="B2034" s="36" t="s">
        <v>8</v>
      </c>
      <c r="C2034" s="36" t="s">
        <v>11027</v>
      </c>
      <c r="D2034" s="9" t="s">
        <v>10925</v>
      </c>
      <c r="E2034" s="9" t="s">
        <v>10771</v>
      </c>
      <c r="F2034" s="9" t="s">
        <v>10924</v>
      </c>
      <c r="G2034" s="36" t="s">
        <v>14</v>
      </c>
      <c r="H2034" s="36" t="str">
        <f>IFERROR(VLOOKUP(Table2[[#This Row], [Ticket]],Okey!A:B,2,0),"")</f>
        <v/>
      </c>
      <c r="I2034" s="36"/>
      <c r="J2034" s="36" t="s">
        <v>19</v>
      </c>
      <c r="K2034" s="36" t="s">
        <v>11488</v>
      </c>
      <c r="L2034" s="36"/>
    </row>
    <row r="2035" spans="1:12" hidden="1">
      <c r="A2035" s="42">
        <f t="shared" si="32"/>
        <v>2034</v>
      </c>
      <c r="B2035" s="36" t="s">
        <v>8</v>
      </c>
      <c r="C2035" s="36" t="s">
        <v>11027</v>
      </c>
      <c r="D2035" s="9" t="s">
        <v>10926</v>
      </c>
      <c r="E2035" s="9" t="s">
        <v>10772</v>
      </c>
      <c r="F2035" s="9" t="s">
        <v>10924</v>
      </c>
      <c r="G2035" s="36" t="s">
        <v>14</v>
      </c>
      <c r="H2035" s="36" t="str">
        <f>IFERROR(VLOOKUP(Table2[[#This Row], [Ticket]],Okey!A:B,2,0),"")</f>
        <v/>
      </c>
      <c r="I2035" s="36"/>
      <c r="J2035" s="36" t="s">
        <v>19</v>
      </c>
      <c r="K2035" s="36" t="s">
        <v>11488</v>
      </c>
      <c r="L2035" s="36"/>
    </row>
    <row r="2036" spans="1:12" hidden="1">
      <c r="A2036" s="42">
        <f t="shared" si="32"/>
        <v>2035</v>
      </c>
      <c r="B2036" s="36" t="s">
        <v>8</v>
      </c>
      <c r="C2036" s="36" t="s">
        <v>11027</v>
      </c>
      <c r="D2036" s="9" t="s">
        <v>10927</v>
      </c>
      <c r="E2036" s="9" t="s">
        <v>10773</v>
      </c>
      <c r="F2036" s="9" t="s">
        <v>11011</v>
      </c>
      <c r="G2036" s="36" t="s">
        <v>14</v>
      </c>
      <c r="H2036" s="36" t="str">
        <f>IFERROR(VLOOKUP(Table2[[#This Row], [Ticket]],Okey!A:B,2,0),"")</f>
        <v/>
      </c>
      <c r="I2036" s="36"/>
      <c r="J2036" s="36" t="s">
        <v>19</v>
      </c>
      <c r="K2036" s="36" t="s">
        <v>11488</v>
      </c>
      <c r="L2036" s="36"/>
    </row>
    <row r="2037" spans="1:12" hidden="1">
      <c r="A2037" s="42">
        <f t="shared" si="32"/>
        <v>2036</v>
      </c>
      <c r="B2037" s="36" t="s">
        <v>8</v>
      </c>
      <c r="C2037" s="36" t="s">
        <v>11027</v>
      </c>
      <c r="D2037" s="9" t="s">
        <v>10928</v>
      </c>
      <c r="E2037" s="9" t="s">
        <v>10774</v>
      </c>
      <c r="F2037" s="9" t="s">
        <v>10927</v>
      </c>
      <c r="G2037" s="36" t="s">
        <v>14</v>
      </c>
      <c r="H2037" s="36" t="str">
        <f>IFERROR(VLOOKUP(Table2[[#This Row], [Ticket]],Okey!A:B,2,0),"")</f>
        <v/>
      </c>
      <c r="I2037" s="36"/>
      <c r="J2037" s="36" t="s">
        <v>19</v>
      </c>
      <c r="K2037" s="36" t="s">
        <v>11488</v>
      </c>
      <c r="L2037" s="36"/>
    </row>
    <row r="2038" spans="1:12" hidden="1">
      <c r="A2038" s="42">
        <f t="shared" si="32"/>
        <v>2037</v>
      </c>
      <c r="B2038" s="36" t="s">
        <v>8</v>
      </c>
      <c r="C2038" s="36" t="s">
        <v>11027</v>
      </c>
      <c r="D2038" s="9" t="s">
        <v>10929</v>
      </c>
      <c r="E2038" s="9" t="s">
        <v>10775</v>
      </c>
      <c r="F2038" s="9" t="s">
        <v>10927</v>
      </c>
      <c r="G2038" s="36" t="s">
        <v>14</v>
      </c>
      <c r="H2038" s="36" t="str">
        <f>IFERROR(VLOOKUP(Table2[[#This Row], [Ticket]],Okey!A:B,2,0),"")</f>
        <v/>
      </c>
      <c r="I2038" s="36"/>
      <c r="J2038" s="36" t="s">
        <v>19</v>
      </c>
      <c r="K2038" s="36" t="s">
        <v>11488</v>
      </c>
      <c r="L2038" s="36"/>
    </row>
    <row r="2039" spans="1:12" hidden="1">
      <c r="A2039" s="42">
        <f t="shared" si="32"/>
        <v>2038</v>
      </c>
      <c r="B2039" s="36" t="s">
        <v>8</v>
      </c>
      <c r="C2039" s="36" t="s">
        <v>11027</v>
      </c>
      <c r="D2039" s="9" t="s">
        <v>10930</v>
      </c>
      <c r="E2039" s="9" t="s">
        <v>10776</v>
      </c>
      <c r="F2039" s="9" t="s">
        <v>10927</v>
      </c>
      <c r="G2039" s="36" t="s">
        <v>14</v>
      </c>
      <c r="H2039" s="36" t="str">
        <f>IFERROR(VLOOKUP(Table2[[#This Row], [Ticket]],Okey!A:B,2,0),"")</f>
        <v/>
      </c>
      <c r="I2039" s="36"/>
      <c r="J2039" s="36" t="s">
        <v>19</v>
      </c>
      <c r="K2039" s="36" t="s">
        <v>11488</v>
      </c>
      <c r="L2039" s="36"/>
    </row>
    <row r="2040" spans="1:12" hidden="1">
      <c r="A2040" s="42">
        <f t="shared" si="32"/>
        <v>2039</v>
      </c>
      <c r="B2040" s="36" t="s">
        <v>8</v>
      </c>
      <c r="C2040" s="36" t="s">
        <v>11027</v>
      </c>
      <c r="D2040" s="9" t="s">
        <v>10931</v>
      </c>
      <c r="E2040" s="9" t="s">
        <v>10777</v>
      </c>
      <c r="F2040" s="9" t="s">
        <v>11012</v>
      </c>
      <c r="G2040" s="36" t="s">
        <v>14</v>
      </c>
      <c r="H2040" s="36" t="str">
        <f>IFERROR(VLOOKUP(Table2[[#This Row], [Ticket]],Okey!A:B,2,0),"")</f>
        <v/>
      </c>
      <c r="I2040" s="36"/>
      <c r="J2040" s="36" t="s">
        <v>19</v>
      </c>
      <c r="K2040" s="36" t="s">
        <v>11488</v>
      </c>
      <c r="L2040" s="36"/>
    </row>
    <row r="2041" spans="1:12" hidden="1">
      <c r="A2041" s="42">
        <f t="shared" si="32"/>
        <v>2040</v>
      </c>
      <c r="B2041" s="36" t="s">
        <v>8</v>
      </c>
      <c r="C2041" s="36" t="s">
        <v>11027</v>
      </c>
      <c r="D2041" s="9" t="s">
        <v>10932</v>
      </c>
      <c r="E2041" s="9" t="s">
        <v>10778</v>
      </c>
      <c r="F2041" s="9" t="s">
        <v>10931</v>
      </c>
      <c r="G2041" s="36" t="s">
        <v>14</v>
      </c>
      <c r="H2041" s="36" t="str">
        <f>IFERROR(VLOOKUP(Table2[[#This Row], [Ticket]],Okey!A:B,2,0),"")</f>
        <v/>
      </c>
      <c r="I2041" s="36"/>
      <c r="J2041" s="36" t="s">
        <v>19</v>
      </c>
      <c r="K2041" s="36" t="s">
        <v>11488</v>
      </c>
      <c r="L2041" s="36"/>
    </row>
    <row r="2042" spans="1:12" hidden="1">
      <c r="A2042" s="42">
        <f t="shared" si="32"/>
        <v>2041</v>
      </c>
      <c r="B2042" s="36" t="s">
        <v>8</v>
      </c>
      <c r="C2042" s="36" t="s">
        <v>11027</v>
      </c>
      <c r="D2042" s="9" t="s">
        <v>10933</v>
      </c>
      <c r="E2042" s="9" t="s">
        <v>10779</v>
      </c>
      <c r="F2042" s="9" t="s">
        <v>10931</v>
      </c>
      <c r="G2042" s="36" t="s">
        <v>14</v>
      </c>
      <c r="H2042" s="36" t="str">
        <f>IFERROR(VLOOKUP(Table2[[#This Row], [Ticket]],Okey!A:B,2,0),"")</f>
        <v/>
      </c>
      <c r="I2042" s="36"/>
      <c r="J2042" s="36" t="s">
        <v>19</v>
      </c>
      <c r="K2042" s="36" t="s">
        <v>11488</v>
      </c>
      <c r="L2042" s="36"/>
    </row>
    <row r="2043" spans="1:12" hidden="1">
      <c r="A2043" s="42">
        <f t="shared" si="32"/>
        <v>2042</v>
      </c>
      <c r="B2043" s="36" t="s">
        <v>8</v>
      </c>
      <c r="C2043" s="36" t="s">
        <v>11027</v>
      </c>
      <c r="D2043" s="9" t="s">
        <v>10934</v>
      </c>
      <c r="E2043" s="9" t="s">
        <v>10780</v>
      </c>
      <c r="F2043" s="9" t="s">
        <v>11013</v>
      </c>
      <c r="G2043" s="36" t="s">
        <v>14</v>
      </c>
      <c r="H2043" s="36" t="str">
        <f>IFERROR(VLOOKUP(Table2[[#This Row], [Ticket]],Okey!A:B,2,0),"")</f>
        <v/>
      </c>
      <c r="I2043" s="36"/>
      <c r="J2043" s="36" t="s">
        <v>19</v>
      </c>
      <c r="K2043" s="36" t="s">
        <v>11488</v>
      </c>
      <c r="L2043" s="36"/>
    </row>
    <row r="2044" spans="1:12" hidden="1">
      <c r="A2044" s="42">
        <f t="shared" si="32"/>
        <v>2043</v>
      </c>
      <c r="B2044" s="36" t="s">
        <v>8</v>
      </c>
      <c r="C2044" s="36" t="s">
        <v>11027</v>
      </c>
      <c r="D2044" s="9" t="s">
        <v>10935</v>
      </c>
      <c r="E2044" s="9" t="s">
        <v>10781</v>
      </c>
      <c r="F2044" s="9" t="s">
        <v>10934</v>
      </c>
      <c r="G2044" s="36" t="s">
        <v>14</v>
      </c>
      <c r="H2044" s="36" t="str">
        <f>IFERROR(VLOOKUP(Table2[[#This Row], [Ticket]],Okey!A:B,2,0),"")</f>
        <v/>
      </c>
      <c r="I2044" s="36"/>
      <c r="J2044" s="36" t="s">
        <v>19</v>
      </c>
      <c r="K2044" s="36" t="s">
        <v>11488</v>
      </c>
      <c r="L2044" s="36"/>
    </row>
    <row r="2045" spans="1:12" hidden="1">
      <c r="A2045" s="42">
        <f t="shared" si="32"/>
        <v>2044</v>
      </c>
      <c r="B2045" s="36" t="s">
        <v>8</v>
      </c>
      <c r="C2045" s="36" t="s">
        <v>11027</v>
      </c>
      <c r="D2045" s="9" t="s">
        <v>10936</v>
      </c>
      <c r="E2045" s="9" t="s">
        <v>10782</v>
      </c>
      <c r="F2045" s="9" t="s">
        <v>10934</v>
      </c>
      <c r="G2045" s="36" t="s">
        <v>14</v>
      </c>
      <c r="H2045" s="36" t="str">
        <f>IFERROR(VLOOKUP(Table2[[#This Row], [Ticket]],Okey!A:B,2,0),"")</f>
        <v/>
      </c>
      <c r="I2045" s="36"/>
      <c r="J2045" s="36" t="s">
        <v>19</v>
      </c>
      <c r="K2045" s="36" t="s">
        <v>11488</v>
      </c>
      <c r="L2045" s="36"/>
    </row>
    <row r="2046" spans="1:12" hidden="1">
      <c r="A2046" s="42">
        <f t="shared" si="32"/>
        <v>2045</v>
      </c>
      <c r="B2046" s="36" t="s">
        <v>8</v>
      </c>
      <c r="C2046" s="36" t="s">
        <v>11027</v>
      </c>
      <c r="D2046" s="9" t="s">
        <v>10937</v>
      </c>
      <c r="E2046" s="9" t="s">
        <v>10783</v>
      </c>
      <c r="F2046" s="9" t="s">
        <v>10934</v>
      </c>
      <c r="G2046" s="36" t="s">
        <v>14</v>
      </c>
      <c r="H2046" s="36" t="str">
        <f>IFERROR(VLOOKUP(Table2[[#This Row], [Ticket]],Okey!A:B,2,0),"")</f>
        <v/>
      </c>
      <c r="I2046" s="36"/>
      <c r="J2046" s="36" t="s">
        <v>19</v>
      </c>
      <c r="K2046" s="36" t="s">
        <v>11488</v>
      </c>
      <c r="L2046" s="36"/>
    </row>
    <row r="2047" spans="1:12" hidden="1">
      <c r="A2047" s="42">
        <f t="shared" si="32"/>
        <v>2046</v>
      </c>
      <c r="B2047" s="36" t="s">
        <v>8</v>
      </c>
      <c r="C2047" s="36" t="s">
        <v>11027</v>
      </c>
      <c r="D2047" s="9" t="s">
        <v>10938</v>
      </c>
      <c r="E2047" s="9" t="s">
        <v>10784</v>
      </c>
      <c r="F2047" s="9" t="s">
        <v>11014</v>
      </c>
      <c r="G2047" s="36" t="s">
        <v>14</v>
      </c>
      <c r="H2047" s="36" t="str">
        <f>IFERROR(VLOOKUP(Table2[[#This Row], [Ticket]],Okey!A:B,2,0),"")</f>
        <v/>
      </c>
      <c r="I2047" s="36"/>
      <c r="J2047" s="36" t="s">
        <v>19</v>
      </c>
      <c r="K2047" s="36" t="s">
        <v>11488</v>
      </c>
      <c r="L2047" s="36"/>
    </row>
    <row r="2048" spans="1:12" hidden="1">
      <c r="A2048" s="42">
        <f t="shared" si="32"/>
        <v>2047</v>
      </c>
      <c r="B2048" s="36" t="s">
        <v>8</v>
      </c>
      <c r="C2048" s="36" t="s">
        <v>11027</v>
      </c>
      <c r="D2048" s="9" t="s">
        <v>10939</v>
      </c>
      <c r="E2048" s="9" t="s">
        <v>10785</v>
      </c>
      <c r="F2048" s="9" t="s">
        <v>10938</v>
      </c>
      <c r="G2048" s="36" t="s">
        <v>14</v>
      </c>
      <c r="H2048" s="36" t="str">
        <f>IFERROR(VLOOKUP(Table2[[#This Row], [Ticket]],Okey!A:B,2,0),"")</f>
        <v/>
      </c>
      <c r="I2048" s="36"/>
      <c r="J2048" s="36" t="s">
        <v>19</v>
      </c>
      <c r="K2048" s="36" t="s">
        <v>11488</v>
      </c>
      <c r="L2048" s="36"/>
    </row>
    <row r="2049" spans="1:12" hidden="1">
      <c r="A2049" s="42">
        <f t="shared" si="32"/>
        <v>2048</v>
      </c>
      <c r="B2049" s="36" t="s">
        <v>8</v>
      </c>
      <c r="C2049" s="36" t="s">
        <v>11027</v>
      </c>
      <c r="D2049" s="9" t="s">
        <v>10940</v>
      </c>
      <c r="E2049" s="9" t="s">
        <v>10786</v>
      </c>
      <c r="F2049" s="9" t="s">
        <v>10938</v>
      </c>
      <c r="G2049" s="36" t="s">
        <v>14</v>
      </c>
      <c r="H2049" s="36" t="str">
        <f>IFERROR(VLOOKUP(Table2[[#This Row], [Ticket]],Okey!A:B,2,0),"")</f>
        <v/>
      </c>
      <c r="I2049" s="36"/>
      <c r="J2049" s="36" t="s">
        <v>19</v>
      </c>
      <c r="K2049" s="36" t="s">
        <v>11488</v>
      </c>
      <c r="L2049" s="36"/>
    </row>
    <row r="2050" spans="1:12" hidden="1">
      <c r="A2050" s="42">
        <f t="shared" si="32"/>
        <v>2049</v>
      </c>
      <c r="B2050" s="36" t="s">
        <v>8</v>
      </c>
      <c r="C2050" s="36" t="s">
        <v>11027</v>
      </c>
      <c r="D2050" s="9" t="s">
        <v>10941</v>
      </c>
      <c r="E2050" s="9" t="s">
        <v>10787</v>
      </c>
      <c r="F2050" s="9" t="s">
        <v>11015</v>
      </c>
      <c r="G2050" s="36" t="s">
        <v>14</v>
      </c>
      <c r="H2050" s="36" t="str">
        <f>IFERROR(VLOOKUP(Table2[[#This Row], [Ticket]],Okey!A:B,2,0),"")</f>
        <v/>
      </c>
      <c r="I2050" s="36"/>
      <c r="J2050" s="36" t="s">
        <v>19</v>
      </c>
      <c r="K2050" s="36" t="s">
        <v>11488</v>
      </c>
      <c r="L2050" s="36"/>
    </row>
    <row r="2051" spans="1:12" hidden="1">
      <c r="A2051" s="42">
        <f t="shared" si="32"/>
        <v>2050</v>
      </c>
      <c r="B2051" s="36" t="s">
        <v>8</v>
      </c>
      <c r="C2051" s="36" t="s">
        <v>11027</v>
      </c>
      <c r="D2051" s="9" t="s">
        <v>10942</v>
      </c>
      <c r="E2051" s="9" t="s">
        <v>10788</v>
      </c>
      <c r="F2051" s="9" t="s">
        <v>10941</v>
      </c>
      <c r="G2051" s="36" t="s">
        <v>14</v>
      </c>
      <c r="H2051" s="36" t="str">
        <f>IFERROR(VLOOKUP(Table2[[#This Row], [Ticket]],Okey!A:B,2,0),"")</f>
        <v/>
      </c>
      <c r="I2051" s="36"/>
      <c r="J2051" s="36" t="s">
        <v>19</v>
      </c>
      <c r="K2051" s="36" t="s">
        <v>11488</v>
      </c>
      <c r="L2051" s="36"/>
    </row>
    <row r="2052" spans="1:12" hidden="1">
      <c r="A2052" s="42">
        <f t="shared" si="32"/>
        <v>2051</v>
      </c>
      <c r="B2052" s="36" t="s">
        <v>8</v>
      </c>
      <c r="C2052" s="36" t="s">
        <v>11027</v>
      </c>
      <c r="D2052" s="9" t="s">
        <v>10943</v>
      </c>
      <c r="E2052" s="9" t="s">
        <v>10789</v>
      </c>
      <c r="F2052" s="9" t="s">
        <v>10941</v>
      </c>
      <c r="G2052" s="36" t="s">
        <v>14</v>
      </c>
      <c r="H2052" s="36" t="str">
        <f>IFERROR(VLOOKUP(Table2[[#This Row], [Ticket]],Okey!A:B,2,0),"")</f>
        <v/>
      </c>
      <c r="I2052" s="36"/>
      <c r="J2052" s="36" t="s">
        <v>19</v>
      </c>
      <c r="K2052" s="36" t="s">
        <v>11488</v>
      </c>
      <c r="L2052" s="36"/>
    </row>
    <row r="2053" spans="1:12" hidden="1">
      <c r="A2053" s="42">
        <f t="shared" si="32"/>
        <v>2052</v>
      </c>
      <c r="B2053" s="36" t="s">
        <v>8</v>
      </c>
      <c r="C2053" s="36" t="s">
        <v>11027</v>
      </c>
      <c r="D2053" s="9" t="s">
        <v>10944</v>
      </c>
      <c r="E2053" s="9" t="s">
        <v>10790</v>
      </c>
      <c r="F2053" s="9" t="s">
        <v>10941</v>
      </c>
      <c r="G2053" s="36" t="s">
        <v>14</v>
      </c>
      <c r="H2053" s="36" t="str">
        <f>IFERROR(VLOOKUP(Table2[[#This Row], [Ticket]],Okey!A:B,2,0),"")</f>
        <v/>
      </c>
      <c r="I2053" s="36"/>
      <c r="J2053" s="36" t="s">
        <v>19</v>
      </c>
      <c r="K2053" s="36" t="s">
        <v>11488</v>
      </c>
      <c r="L2053" s="36"/>
    </row>
    <row r="2054" spans="1:12" hidden="1">
      <c r="A2054" s="42">
        <f t="shared" si="32"/>
        <v>2053</v>
      </c>
      <c r="B2054" s="36" t="s">
        <v>8</v>
      </c>
      <c r="C2054" s="36" t="s">
        <v>11027</v>
      </c>
      <c r="D2054" s="9" t="s">
        <v>10945</v>
      </c>
      <c r="E2054" s="9" t="s">
        <v>10791</v>
      </c>
      <c r="F2054" s="9" t="s">
        <v>11016</v>
      </c>
      <c r="G2054" s="36" t="s">
        <v>14</v>
      </c>
      <c r="H2054" s="36" t="str">
        <f>IFERROR(VLOOKUP(Table2[[#This Row], [Ticket]],Okey!A:B,2,0),"")</f>
        <v/>
      </c>
      <c r="I2054" s="36"/>
      <c r="J2054" s="36" t="s">
        <v>19</v>
      </c>
      <c r="K2054" s="36" t="s">
        <v>11488</v>
      </c>
      <c r="L2054" s="36"/>
    </row>
    <row r="2055" spans="1:12" hidden="1">
      <c r="A2055" s="42">
        <f t="shared" si="32"/>
        <v>2054</v>
      </c>
      <c r="B2055" s="36" t="s">
        <v>8</v>
      </c>
      <c r="C2055" s="36" t="s">
        <v>11027</v>
      </c>
      <c r="D2055" s="9" t="s">
        <v>10946</v>
      </c>
      <c r="E2055" s="9" t="s">
        <v>10792</v>
      </c>
      <c r="F2055" s="9" t="s">
        <v>10945</v>
      </c>
      <c r="G2055" s="36" t="s">
        <v>14</v>
      </c>
      <c r="H2055" s="36" t="str">
        <f>IFERROR(VLOOKUP(Table2[[#This Row], [Ticket]],Okey!A:B,2,0),"")</f>
        <v/>
      </c>
      <c r="I2055" s="36"/>
      <c r="J2055" s="36" t="s">
        <v>19</v>
      </c>
      <c r="K2055" s="36" t="s">
        <v>11488</v>
      </c>
      <c r="L2055" s="36"/>
    </row>
    <row r="2056" spans="1:12" hidden="1">
      <c r="A2056" s="42">
        <f t="shared" si="32"/>
        <v>2055</v>
      </c>
      <c r="B2056" s="36" t="s">
        <v>8</v>
      </c>
      <c r="C2056" s="36" t="s">
        <v>11027</v>
      </c>
      <c r="D2056" s="9" t="s">
        <v>10947</v>
      </c>
      <c r="E2056" s="9" t="s">
        <v>10793</v>
      </c>
      <c r="F2056" s="9" t="s">
        <v>10945</v>
      </c>
      <c r="G2056" s="36" t="s">
        <v>14</v>
      </c>
      <c r="H2056" s="36" t="str">
        <f>IFERROR(VLOOKUP(Table2[[#This Row], [Ticket]],Okey!A:B,2,0),"")</f>
        <v/>
      </c>
      <c r="I2056" s="36"/>
      <c r="J2056" s="36" t="s">
        <v>19</v>
      </c>
      <c r="K2056" s="36" t="s">
        <v>11488</v>
      </c>
      <c r="L2056" s="36"/>
    </row>
    <row r="2057" spans="1:12" hidden="1">
      <c r="A2057" s="42">
        <f t="shared" si="32"/>
        <v>2056</v>
      </c>
      <c r="B2057" s="36" t="s">
        <v>8</v>
      </c>
      <c r="C2057" s="36" t="s">
        <v>11027</v>
      </c>
      <c r="D2057" s="9" t="s">
        <v>10948</v>
      </c>
      <c r="E2057" s="9" t="s">
        <v>10794</v>
      </c>
      <c r="F2057" s="9" t="s">
        <v>11017</v>
      </c>
      <c r="G2057" s="36" t="s">
        <v>14</v>
      </c>
      <c r="H2057" s="36" t="str">
        <f>IFERROR(VLOOKUP(Table2[[#This Row], [Ticket]],Okey!A:B,2,0),"")</f>
        <v/>
      </c>
      <c r="I2057" s="36"/>
      <c r="J2057" s="36" t="s">
        <v>19</v>
      </c>
      <c r="K2057" s="36" t="s">
        <v>11488</v>
      </c>
      <c r="L2057" s="36"/>
    </row>
    <row r="2058" spans="1:12" hidden="1">
      <c r="A2058" s="42">
        <f t="shared" si="32"/>
        <v>2057</v>
      </c>
      <c r="B2058" s="36" t="s">
        <v>8</v>
      </c>
      <c r="C2058" s="36" t="s">
        <v>11027</v>
      </c>
      <c r="D2058" s="9" t="s">
        <v>10949</v>
      </c>
      <c r="E2058" s="9" t="s">
        <v>10795</v>
      </c>
      <c r="F2058" s="9" t="s">
        <v>10948</v>
      </c>
      <c r="G2058" s="36" t="s">
        <v>14</v>
      </c>
      <c r="H2058" s="36" t="str">
        <f>IFERROR(VLOOKUP(Table2[[#This Row], [Ticket]],Okey!A:B,2,0),"")</f>
        <v/>
      </c>
      <c r="I2058" s="36"/>
      <c r="J2058" s="36" t="s">
        <v>19</v>
      </c>
      <c r="K2058" s="36" t="s">
        <v>11488</v>
      </c>
      <c r="L2058" s="36"/>
    </row>
    <row r="2059" spans="1:12" hidden="1">
      <c r="A2059" s="42">
        <f t="shared" si="32"/>
        <v>2058</v>
      </c>
      <c r="B2059" s="36" t="s">
        <v>8</v>
      </c>
      <c r="C2059" s="36" t="s">
        <v>11027</v>
      </c>
      <c r="D2059" s="9" t="s">
        <v>10950</v>
      </c>
      <c r="E2059" s="9" t="s">
        <v>10796</v>
      </c>
      <c r="F2059" s="9" t="s">
        <v>10948</v>
      </c>
      <c r="G2059" s="36" t="s">
        <v>14</v>
      </c>
      <c r="H2059" s="36" t="str">
        <f>IFERROR(VLOOKUP(Table2[[#This Row], [Ticket]],Okey!A:B,2,0),"")</f>
        <v/>
      </c>
      <c r="I2059" s="36"/>
      <c r="J2059" s="36" t="s">
        <v>19</v>
      </c>
      <c r="K2059" s="36" t="s">
        <v>11488</v>
      </c>
      <c r="L2059" s="36"/>
    </row>
    <row r="2060" spans="1:12" hidden="1">
      <c r="A2060" s="42">
        <f t="shared" si="32"/>
        <v>2059</v>
      </c>
      <c r="B2060" s="36" t="s">
        <v>8</v>
      </c>
      <c r="C2060" s="36" t="s">
        <v>11027</v>
      </c>
      <c r="D2060" s="9" t="s">
        <v>10951</v>
      </c>
      <c r="E2060" s="9" t="s">
        <v>10797</v>
      </c>
      <c r="F2060" s="9" t="s">
        <v>10948</v>
      </c>
      <c r="G2060" s="36" t="s">
        <v>14</v>
      </c>
      <c r="H2060" s="36" t="str">
        <f>IFERROR(VLOOKUP(Table2[[#This Row], [Ticket]],Okey!A:B,2,0),"")</f>
        <v/>
      </c>
      <c r="I2060" s="36"/>
      <c r="J2060" s="36" t="s">
        <v>19</v>
      </c>
      <c r="K2060" s="36" t="s">
        <v>11488</v>
      </c>
      <c r="L2060" s="36"/>
    </row>
    <row r="2061" spans="1:12" hidden="1">
      <c r="A2061" s="42">
        <f t="shared" si="32"/>
        <v>2060</v>
      </c>
      <c r="B2061" s="36" t="s">
        <v>8</v>
      </c>
      <c r="C2061" s="36" t="s">
        <v>11027</v>
      </c>
      <c r="D2061" s="9" t="s">
        <v>10952</v>
      </c>
      <c r="E2061" s="9" t="s">
        <v>10798</v>
      </c>
      <c r="F2061" s="9" t="s">
        <v>11018</v>
      </c>
      <c r="G2061" s="36" t="s">
        <v>14</v>
      </c>
      <c r="H2061" s="36" t="str">
        <f>IFERROR(VLOOKUP(Table2[[#This Row], [Ticket]],Okey!A:B,2,0),"")</f>
        <v/>
      </c>
      <c r="I2061" s="36"/>
      <c r="J2061" s="36" t="s">
        <v>19</v>
      </c>
      <c r="K2061" s="36" t="s">
        <v>11488</v>
      </c>
      <c r="L2061" s="36"/>
    </row>
    <row r="2062" spans="1:12" hidden="1">
      <c r="A2062" s="42">
        <f t="shared" si="32"/>
        <v>2061</v>
      </c>
      <c r="B2062" s="36" t="s">
        <v>8</v>
      </c>
      <c r="C2062" s="36" t="s">
        <v>11027</v>
      </c>
      <c r="D2062" s="9" t="s">
        <v>10953</v>
      </c>
      <c r="E2062" s="9" t="s">
        <v>10799</v>
      </c>
      <c r="F2062" s="9" t="s">
        <v>10952</v>
      </c>
      <c r="G2062" s="36" t="s">
        <v>14</v>
      </c>
      <c r="H2062" s="36" t="str">
        <f>IFERROR(VLOOKUP(Table2[[#This Row], [Ticket]],Okey!A:B,2,0),"")</f>
        <v/>
      </c>
      <c r="I2062" s="36"/>
      <c r="J2062" s="36" t="s">
        <v>19</v>
      </c>
      <c r="K2062" s="36" t="s">
        <v>11488</v>
      </c>
      <c r="L2062" s="36"/>
    </row>
    <row r="2063" spans="1:12" hidden="1">
      <c r="A2063" s="42">
        <f t="shared" si="32"/>
        <v>2062</v>
      </c>
      <c r="B2063" s="36" t="s">
        <v>8</v>
      </c>
      <c r="C2063" s="36" t="s">
        <v>11027</v>
      </c>
      <c r="D2063" s="9" t="s">
        <v>10954</v>
      </c>
      <c r="E2063" s="9" t="s">
        <v>10800</v>
      </c>
      <c r="F2063" s="9" t="s">
        <v>10952</v>
      </c>
      <c r="G2063" s="36" t="s">
        <v>14</v>
      </c>
      <c r="H2063" s="36" t="str">
        <f>IFERROR(VLOOKUP(Table2[[#This Row], [Ticket]],Okey!A:B,2,0),"")</f>
        <v/>
      </c>
      <c r="I2063" s="36"/>
      <c r="J2063" s="36" t="s">
        <v>19</v>
      </c>
      <c r="K2063" s="36" t="s">
        <v>11488</v>
      </c>
      <c r="L2063" s="36"/>
    </row>
    <row r="2064" spans="1:12" hidden="1">
      <c r="A2064" s="42">
        <f t="shared" si="32"/>
        <v>2063</v>
      </c>
      <c r="B2064" s="36" t="s">
        <v>8</v>
      </c>
      <c r="C2064" s="36" t="s">
        <v>11027</v>
      </c>
      <c r="D2064" s="9" t="s">
        <v>10955</v>
      </c>
      <c r="E2064" s="9" t="s">
        <v>10801</v>
      </c>
      <c r="F2064" s="9" t="s">
        <v>11019</v>
      </c>
      <c r="G2064" s="36" t="s">
        <v>14</v>
      </c>
      <c r="H2064" s="36" t="str">
        <f>IFERROR(VLOOKUP(Table2[[#This Row], [Ticket]],Okey!A:B,2,0),"")</f>
        <v/>
      </c>
      <c r="I2064" s="36"/>
      <c r="J2064" s="36" t="s">
        <v>19</v>
      </c>
      <c r="K2064" s="36" t="s">
        <v>11488</v>
      </c>
      <c r="L2064" s="36"/>
    </row>
    <row r="2065" spans="1:12" hidden="1">
      <c r="A2065" s="42">
        <f t="shared" si="32"/>
        <v>2064</v>
      </c>
      <c r="B2065" s="36" t="s">
        <v>8</v>
      </c>
      <c r="C2065" s="36" t="s">
        <v>11027</v>
      </c>
      <c r="D2065" s="9" t="s">
        <v>10956</v>
      </c>
      <c r="E2065" s="9" t="s">
        <v>10802</v>
      </c>
      <c r="F2065" s="9" t="s">
        <v>10955</v>
      </c>
      <c r="G2065" s="36" t="s">
        <v>14</v>
      </c>
      <c r="H2065" s="36" t="str">
        <f>IFERROR(VLOOKUP(Table2[[#This Row], [Ticket]],Okey!A:B,2,0),"")</f>
        <v/>
      </c>
      <c r="I2065" s="36"/>
      <c r="J2065" s="36" t="s">
        <v>19</v>
      </c>
      <c r="K2065" s="36" t="s">
        <v>11488</v>
      </c>
      <c r="L2065" s="36"/>
    </row>
    <row r="2066" spans="1:12" hidden="1">
      <c r="A2066" s="42">
        <f t="shared" si="32"/>
        <v>2065</v>
      </c>
      <c r="B2066" s="36" t="s">
        <v>8</v>
      </c>
      <c r="C2066" s="36" t="s">
        <v>11027</v>
      </c>
      <c r="D2066" s="9" t="s">
        <v>10957</v>
      </c>
      <c r="E2066" s="9" t="s">
        <v>10803</v>
      </c>
      <c r="F2066" s="9" t="s">
        <v>10955</v>
      </c>
      <c r="G2066" s="36" t="s">
        <v>14</v>
      </c>
      <c r="H2066" s="36" t="str">
        <f>IFERROR(VLOOKUP(Table2[[#This Row], [Ticket]],Okey!A:B,2,0),"")</f>
        <v/>
      </c>
      <c r="I2066" s="36"/>
      <c r="J2066" s="36" t="s">
        <v>19</v>
      </c>
      <c r="K2066" s="36" t="s">
        <v>11488</v>
      </c>
      <c r="L2066" s="36"/>
    </row>
    <row r="2067" spans="1:12" hidden="1">
      <c r="A2067" s="42">
        <f t="shared" si="32"/>
        <v>2066</v>
      </c>
      <c r="B2067" s="36" t="s">
        <v>8</v>
      </c>
      <c r="C2067" s="36" t="s">
        <v>11027</v>
      </c>
      <c r="D2067" s="9" t="s">
        <v>10958</v>
      </c>
      <c r="E2067" s="9" t="s">
        <v>10804</v>
      </c>
      <c r="F2067" s="9" t="s">
        <v>10955</v>
      </c>
      <c r="G2067" s="36" t="s">
        <v>14</v>
      </c>
      <c r="H2067" s="36" t="str">
        <f>IFERROR(VLOOKUP(Table2[[#This Row], [Ticket]],Okey!A:B,2,0),"")</f>
        <v/>
      </c>
      <c r="I2067" s="36"/>
      <c r="J2067" s="36" t="s">
        <v>19</v>
      </c>
      <c r="K2067" s="36" t="s">
        <v>11488</v>
      </c>
      <c r="L2067" s="36"/>
    </row>
    <row r="2068" spans="1:12" hidden="1">
      <c r="A2068" s="42">
        <f t="shared" si="32"/>
        <v>2067</v>
      </c>
      <c r="B2068" s="36" t="s">
        <v>8</v>
      </c>
      <c r="C2068" s="36" t="s">
        <v>11027</v>
      </c>
      <c r="D2068" s="9" t="s">
        <v>10959</v>
      </c>
      <c r="E2068" s="9" t="s">
        <v>10805</v>
      </c>
      <c r="F2068" s="9" t="s">
        <v>11020</v>
      </c>
      <c r="G2068" s="36" t="s">
        <v>14</v>
      </c>
      <c r="H2068" s="36" t="str">
        <f>IFERROR(VLOOKUP(Table2[[#This Row], [Ticket]],Okey!A:B,2,0),"")</f>
        <v/>
      </c>
      <c r="I2068" s="36"/>
      <c r="J2068" s="36" t="s">
        <v>19</v>
      </c>
      <c r="K2068" s="36" t="s">
        <v>11488</v>
      </c>
      <c r="L2068" s="36"/>
    </row>
    <row r="2069" spans="1:12" hidden="1">
      <c r="A2069" s="42">
        <f t="shared" si="32"/>
        <v>2068</v>
      </c>
      <c r="B2069" s="36" t="s">
        <v>8</v>
      </c>
      <c r="C2069" s="36" t="s">
        <v>11027</v>
      </c>
      <c r="D2069" s="9" t="s">
        <v>10960</v>
      </c>
      <c r="E2069" s="9" t="s">
        <v>10806</v>
      </c>
      <c r="F2069" s="9" t="s">
        <v>10959</v>
      </c>
      <c r="G2069" s="36" t="s">
        <v>14</v>
      </c>
      <c r="H2069" s="36" t="str">
        <f>IFERROR(VLOOKUP(Table2[[#This Row], [Ticket]],Okey!A:B,2,0),"")</f>
        <v/>
      </c>
      <c r="I2069" s="36"/>
      <c r="J2069" s="36" t="s">
        <v>19</v>
      </c>
      <c r="K2069" s="36" t="s">
        <v>11488</v>
      </c>
      <c r="L2069" s="36"/>
    </row>
    <row r="2070" spans="1:12" hidden="1">
      <c r="A2070" s="42">
        <f t="shared" ref="A2070:A2133" si="33">1+A2069</f>
        <v>2069</v>
      </c>
      <c r="B2070" s="36" t="s">
        <v>8</v>
      </c>
      <c r="C2070" s="36" t="s">
        <v>11027</v>
      </c>
      <c r="D2070" s="9" t="s">
        <v>10961</v>
      </c>
      <c r="E2070" s="9" t="s">
        <v>10807</v>
      </c>
      <c r="F2070" s="9" t="s">
        <v>10959</v>
      </c>
      <c r="G2070" s="36" t="s">
        <v>14</v>
      </c>
      <c r="H2070" s="36" t="str">
        <f>IFERROR(VLOOKUP(Table2[[#This Row], [Ticket]],Okey!A:B,2,0),"")</f>
        <v/>
      </c>
      <c r="I2070" s="36"/>
      <c r="J2070" s="36" t="s">
        <v>19</v>
      </c>
      <c r="K2070" s="36" t="s">
        <v>11488</v>
      </c>
      <c r="L2070" s="36"/>
    </row>
    <row r="2071" spans="1:12" hidden="1">
      <c r="A2071" s="42">
        <f t="shared" si="33"/>
        <v>2070</v>
      </c>
      <c r="B2071" s="36" t="s">
        <v>8</v>
      </c>
      <c r="C2071" s="36" t="s">
        <v>11027</v>
      </c>
      <c r="D2071" s="9" t="s">
        <v>10962</v>
      </c>
      <c r="E2071" s="9" t="s">
        <v>10808</v>
      </c>
      <c r="F2071" s="9" t="s">
        <v>11021</v>
      </c>
      <c r="G2071" s="36" t="s">
        <v>14</v>
      </c>
      <c r="H2071" s="36" t="str">
        <f>IFERROR(VLOOKUP(Table2[[#This Row], [Ticket]],Okey!A:B,2,0),"")</f>
        <v/>
      </c>
      <c r="I2071" s="36"/>
      <c r="J2071" s="36" t="s">
        <v>19</v>
      </c>
      <c r="K2071" s="36" t="s">
        <v>11488</v>
      </c>
      <c r="L2071" s="36"/>
    </row>
    <row r="2072" spans="1:12" hidden="1">
      <c r="A2072" s="42">
        <f t="shared" si="33"/>
        <v>2071</v>
      </c>
      <c r="B2072" s="36" t="s">
        <v>8</v>
      </c>
      <c r="C2072" s="36" t="s">
        <v>11027</v>
      </c>
      <c r="D2072" s="9" t="s">
        <v>10963</v>
      </c>
      <c r="E2072" s="9" t="s">
        <v>10809</v>
      </c>
      <c r="F2072" s="9" t="s">
        <v>10962</v>
      </c>
      <c r="G2072" s="36" t="s">
        <v>14</v>
      </c>
      <c r="H2072" s="36" t="str">
        <f>IFERROR(VLOOKUP(Table2[[#This Row], [Ticket]],Okey!A:B,2,0),"")</f>
        <v/>
      </c>
      <c r="I2072" s="36"/>
      <c r="J2072" s="36" t="s">
        <v>19</v>
      </c>
      <c r="K2072" s="36" t="s">
        <v>11488</v>
      </c>
      <c r="L2072" s="36"/>
    </row>
    <row r="2073" spans="1:12" hidden="1">
      <c r="A2073" s="42">
        <f t="shared" si="33"/>
        <v>2072</v>
      </c>
      <c r="B2073" s="36" t="s">
        <v>8</v>
      </c>
      <c r="C2073" s="36" t="s">
        <v>11027</v>
      </c>
      <c r="D2073" s="9" t="s">
        <v>10964</v>
      </c>
      <c r="E2073" s="9" t="s">
        <v>10810</v>
      </c>
      <c r="F2073" s="9" t="s">
        <v>10962</v>
      </c>
      <c r="G2073" s="36" t="s">
        <v>14</v>
      </c>
      <c r="H2073" s="36" t="str">
        <f>IFERROR(VLOOKUP(Table2[[#This Row], [Ticket]],Okey!A:B,2,0),"")</f>
        <v/>
      </c>
      <c r="I2073" s="36"/>
      <c r="J2073" s="36" t="s">
        <v>19</v>
      </c>
      <c r="K2073" s="36" t="s">
        <v>11488</v>
      </c>
      <c r="L2073" s="36"/>
    </row>
    <row r="2074" spans="1:12" hidden="1">
      <c r="A2074" s="42">
        <f t="shared" si="33"/>
        <v>2073</v>
      </c>
      <c r="B2074" s="36" t="s">
        <v>8</v>
      </c>
      <c r="C2074" s="36" t="s">
        <v>11027</v>
      </c>
      <c r="D2074" s="9" t="s">
        <v>10965</v>
      </c>
      <c r="E2074" s="9" t="s">
        <v>10811</v>
      </c>
      <c r="F2074" s="9" t="s">
        <v>10962</v>
      </c>
      <c r="G2074" s="36" t="s">
        <v>14</v>
      </c>
      <c r="H2074" s="36" t="str">
        <f>IFERROR(VLOOKUP(Table2[[#This Row], [Ticket]],Okey!A:B,2,0),"")</f>
        <v/>
      </c>
      <c r="I2074" s="36"/>
      <c r="J2074" s="36" t="s">
        <v>19</v>
      </c>
      <c r="K2074" s="36" t="s">
        <v>11488</v>
      </c>
      <c r="L2074" s="36"/>
    </row>
    <row r="2075" spans="1:12" hidden="1">
      <c r="A2075" s="42">
        <f t="shared" si="33"/>
        <v>2074</v>
      </c>
      <c r="B2075" s="36" t="s">
        <v>8</v>
      </c>
      <c r="C2075" s="36" t="s">
        <v>11027</v>
      </c>
      <c r="D2075" s="9" t="s">
        <v>10966</v>
      </c>
      <c r="E2075" s="9" t="s">
        <v>10812</v>
      </c>
      <c r="F2075" s="9" t="s">
        <v>11022</v>
      </c>
      <c r="G2075" s="36" t="s">
        <v>14</v>
      </c>
      <c r="H2075" s="36" t="str">
        <f>IFERROR(VLOOKUP(Table2[[#This Row], [Ticket]],Okey!A:B,2,0),"")</f>
        <v/>
      </c>
      <c r="I2075" s="36"/>
      <c r="J2075" s="36" t="s">
        <v>19</v>
      </c>
      <c r="K2075" s="36" t="s">
        <v>11488</v>
      </c>
      <c r="L2075" s="36"/>
    </row>
    <row r="2076" spans="1:12" hidden="1">
      <c r="A2076" s="42">
        <f t="shared" si="33"/>
        <v>2075</v>
      </c>
      <c r="B2076" s="36" t="s">
        <v>8</v>
      </c>
      <c r="C2076" s="36" t="s">
        <v>11027</v>
      </c>
      <c r="D2076" s="9" t="s">
        <v>10967</v>
      </c>
      <c r="E2076" s="9" t="s">
        <v>10813</v>
      </c>
      <c r="F2076" s="9" t="s">
        <v>10966</v>
      </c>
      <c r="G2076" s="36" t="s">
        <v>14</v>
      </c>
      <c r="H2076" s="36" t="str">
        <f>IFERROR(VLOOKUP(Table2[[#This Row], [Ticket]],Okey!A:B,2,0),"")</f>
        <v/>
      </c>
      <c r="I2076" s="36"/>
      <c r="J2076" s="36" t="s">
        <v>19</v>
      </c>
      <c r="K2076" s="36" t="s">
        <v>11488</v>
      </c>
      <c r="L2076" s="36"/>
    </row>
    <row r="2077" spans="1:12" hidden="1">
      <c r="A2077" s="42">
        <f t="shared" si="33"/>
        <v>2076</v>
      </c>
      <c r="B2077" s="36" t="s">
        <v>8</v>
      </c>
      <c r="C2077" s="36" t="s">
        <v>11027</v>
      </c>
      <c r="D2077" s="9" t="s">
        <v>10968</v>
      </c>
      <c r="E2077" s="9" t="s">
        <v>10814</v>
      </c>
      <c r="F2077" s="9" t="s">
        <v>10966</v>
      </c>
      <c r="G2077" s="36" t="s">
        <v>14</v>
      </c>
      <c r="H2077" s="36" t="str">
        <f>IFERROR(VLOOKUP(Table2[[#This Row], [Ticket]],Okey!A:B,2,0),"")</f>
        <v/>
      </c>
      <c r="I2077" s="36"/>
      <c r="J2077" s="36" t="s">
        <v>19</v>
      </c>
      <c r="K2077" s="36" t="s">
        <v>11488</v>
      </c>
      <c r="L2077" s="36"/>
    </row>
    <row r="2078" spans="1:12" hidden="1">
      <c r="A2078" s="42">
        <f t="shared" si="33"/>
        <v>2077</v>
      </c>
      <c r="B2078" s="36" t="s">
        <v>8</v>
      </c>
      <c r="C2078" s="36" t="s">
        <v>11027</v>
      </c>
      <c r="D2078" s="9" t="s">
        <v>10969</v>
      </c>
      <c r="E2078" s="9" t="s">
        <v>10815</v>
      </c>
      <c r="F2078" s="9" t="s">
        <v>11023</v>
      </c>
      <c r="G2078" s="36" t="s">
        <v>14</v>
      </c>
      <c r="H2078" s="36" t="str">
        <f>IFERROR(VLOOKUP(Table2[[#This Row], [Ticket]],Okey!A:B,2,0),"")</f>
        <v/>
      </c>
      <c r="I2078" s="36"/>
      <c r="J2078" s="36" t="s">
        <v>19</v>
      </c>
      <c r="K2078" s="36" t="s">
        <v>11488</v>
      </c>
      <c r="L2078" s="36"/>
    </row>
    <row r="2079" spans="1:12" hidden="1">
      <c r="A2079" s="42">
        <f t="shared" si="33"/>
        <v>2078</v>
      </c>
      <c r="B2079" s="36" t="s">
        <v>8</v>
      </c>
      <c r="C2079" s="36" t="s">
        <v>11027</v>
      </c>
      <c r="D2079" s="9" t="s">
        <v>10970</v>
      </c>
      <c r="E2079" s="9" t="s">
        <v>10816</v>
      </c>
      <c r="F2079" s="9" t="s">
        <v>10969</v>
      </c>
      <c r="G2079" s="36" t="s">
        <v>14</v>
      </c>
      <c r="H2079" s="36" t="str">
        <f>IFERROR(VLOOKUP(Table2[[#This Row], [Ticket]],Okey!A:B,2,0),"")</f>
        <v/>
      </c>
      <c r="I2079" s="36"/>
      <c r="J2079" s="36" t="s">
        <v>19</v>
      </c>
      <c r="K2079" s="36" t="s">
        <v>11488</v>
      </c>
      <c r="L2079" s="36"/>
    </row>
    <row r="2080" spans="1:12" hidden="1">
      <c r="A2080" s="42">
        <f t="shared" si="33"/>
        <v>2079</v>
      </c>
      <c r="B2080" s="36" t="s">
        <v>8</v>
      </c>
      <c r="C2080" s="36" t="s">
        <v>11027</v>
      </c>
      <c r="D2080" s="9" t="s">
        <v>10971</v>
      </c>
      <c r="E2080" s="9" t="s">
        <v>10817</v>
      </c>
      <c r="F2080" s="9" t="s">
        <v>10969</v>
      </c>
      <c r="G2080" s="36" t="s">
        <v>14</v>
      </c>
      <c r="H2080" s="36" t="str">
        <f>IFERROR(VLOOKUP(Table2[[#This Row], [Ticket]],Okey!A:B,2,0),"")</f>
        <v/>
      </c>
      <c r="I2080" s="36"/>
      <c r="J2080" s="36" t="s">
        <v>19</v>
      </c>
      <c r="K2080" s="36" t="s">
        <v>11488</v>
      </c>
      <c r="L2080" s="36"/>
    </row>
    <row r="2081" spans="1:12" hidden="1">
      <c r="A2081" s="42">
        <f t="shared" si="33"/>
        <v>2080</v>
      </c>
      <c r="B2081" s="36" t="s">
        <v>8</v>
      </c>
      <c r="C2081" s="36" t="s">
        <v>11027</v>
      </c>
      <c r="D2081" s="9" t="s">
        <v>10972</v>
      </c>
      <c r="E2081" s="9" t="s">
        <v>10818</v>
      </c>
      <c r="F2081" s="9" t="s">
        <v>10969</v>
      </c>
      <c r="G2081" s="36" t="s">
        <v>14</v>
      </c>
      <c r="H2081" s="36" t="str">
        <f>IFERROR(VLOOKUP(Table2[[#This Row], [Ticket]],Okey!A:B,2,0),"")</f>
        <v/>
      </c>
      <c r="I2081" s="36"/>
      <c r="J2081" s="36" t="s">
        <v>19</v>
      </c>
      <c r="K2081" s="36" t="s">
        <v>11488</v>
      </c>
      <c r="L2081" s="36"/>
    </row>
    <row r="2082" spans="1:12" hidden="1">
      <c r="A2082" s="42">
        <f t="shared" si="33"/>
        <v>2081</v>
      </c>
      <c r="B2082" s="36" t="s">
        <v>8</v>
      </c>
      <c r="C2082" s="36" t="s">
        <v>11027</v>
      </c>
      <c r="D2082" s="9" t="s">
        <v>10973</v>
      </c>
      <c r="E2082" s="9" t="s">
        <v>10819</v>
      </c>
      <c r="F2082" s="9" t="s">
        <v>11024</v>
      </c>
      <c r="G2082" s="36" t="s">
        <v>14</v>
      </c>
      <c r="H2082" s="36" t="str">
        <f>IFERROR(VLOOKUP(Table2[[#This Row], [Ticket]],Okey!A:B,2,0),"")</f>
        <v/>
      </c>
      <c r="I2082" s="36"/>
      <c r="J2082" s="36" t="s">
        <v>19</v>
      </c>
      <c r="K2082" s="36" t="s">
        <v>11488</v>
      </c>
      <c r="L2082" s="36"/>
    </row>
    <row r="2083" spans="1:12" hidden="1">
      <c r="A2083" s="42">
        <f t="shared" si="33"/>
        <v>2082</v>
      </c>
      <c r="B2083" s="36" t="s">
        <v>8</v>
      </c>
      <c r="C2083" s="36" t="s">
        <v>11027</v>
      </c>
      <c r="D2083" s="9" t="s">
        <v>10974</v>
      </c>
      <c r="E2083" s="9" t="s">
        <v>10820</v>
      </c>
      <c r="F2083" s="9" t="s">
        <v>10973</v>
      </c>
      <c r="G2083" s="36" t="s">
        <v>14</v>
      </c>
      <c r="H2083" s="36" t="str">
        <f>IFERROR(VLOOKUP(Table2[[#This Row], [Ticket]],Okey!A:B,2,0),"")</f>
        <v/>
      </c>
      <c r="I2083" s="36"/>
      <c r="J2083" s="36" t="s">
        <v>19</v>
      </c>
      <c r="K2083" s="36" t="s">
        <v>11488</v>
      </c>
      <c r="L2083" s="36"/>
    </row>
    <row r="2084" spans="1:12" hidden="1">
      <c r="A2084" s="42">
        <f t="shared" si="33"/>
        <v>2083</v>
      </c>
      <c r="B2084" s="36" t="s">
        <v>8</v>
      </c>
      <c r="C2084" s="36" t="s">
        <v>11027</v>
      </c>
      <c r="D2084" s="9" t="s">
        <v>10975</v>
      </c>
      <c r="E2084" s="9" t="s">
        <v>10821</v>
      </c>
      <c r="F2084" s="9" t="s">
        <v>10973</v>
      </c>
      <c r="G2084" s="36" t="s">
        <v>14</v>
      </c>
      <c r="H2084" s="36" t="str">
        <f>IFERROR(VLOOKUP(Table2[[#This Row], [Ticket]],Okey!A:B,2,0),"")</f>
        <v/>
      </c>
      <c r="I2084" s="36"/>
      <c r="J2084" s="36" t="s">
        <v>19</v>
      </c>
      <c r="K2084" s="36" t="s">
        <v>11488</v>
      </c>
      <c r="L2084" s="36"/>
    </row>
    <row r="2085" spans="1:12" hidden="1">
      <c r="A2085" s="42">
        <f t="shared" si="33"/>
        <v>2084</v>
      </c>
      <c r="B2085" s="36" t="s">
        <v>8</v>
      </c>
      <c r="C2085" s="36" t="s">
        <v>11027</v>
      </c>
      <c r="D2085" s="9" t="s">
        <v>10976</v>
      </c>
      <c r="E2085" s="9" t="s">
        <v>10822</v>
      </c>
      <c r="F2085" s="9" t="s">
        <v>11025</v>
      </c>
      <c r="G2085" s="36" t="s">
        <v>14</v>
      </c>
      <c r="H2085" s="36" t="str">
        <f>IFERROR(VLOOKUP(Table2[[#This Row], [Ticket]],Okey!A:B,2,0),"")</f>
        <v/>
      </c>
      <c r="I2085" s="36"/>
      <c r="J2085" s="36" t="s">
        <v>19</v>
      </c>
      <c r="K2085" s="36" t="s">
        <v>11488</v>
      </c>
      <c r="L2085" s="36"/>
    </row>
    <row r="2086" spans="1:12" hidden="1">
      <c r="A2086" s="42">
        <f t="shared" si="33"/>
        <v>2085</v>
      </c>
      <c r="B2086" s="36" t="s">
        <v>8</v>
      </c>
      <c r="C2086" s="36" t="s">
        <v>11027</v>
      </c>
      <c r="D2086" s="9" t="s">
        <v>10977</v>
      </c>
      <c r="E2086" s="9" t="s">
        <v>10823</v>
      </c>
      <c r="F2086" s="9" t="s">
        <v>10976</v>
      </c>
      <c r="G2086" s="36" t="s">
        <v>14</v>
      </c>
      <c r="H2086" s="36" t="str">
        <f>IFERROR(VLOOKUP(Table2[[#This Row], [Ticket]],Okey!A:B,2,0),"")</f>
        <v/>
      </c>
      <c r="I2086" s="36"/>
      <c r="J2086" s="36" t="s">
        <v>19</v>
      </c>
      <c r="K2086" s="36" t="s">
        <v>11488</v>
      </c>
      <c r="L2086" s="36"/>
    </row>
    <row r="2087" spans="1:12" hidden="1">
      <c r="A2087" s="42">
        <f t="shared" si="33"/>
        <v>2086</v>
      </c>
      <c r="B2087" s="36" t="s">
        <v>8</v>
      </c>
      <c r="C2087" s="36" t="s">
        <v>11027</v>
      </c>
      <c r="D2087" s="9" t="s">
        <v>10978</v>
      </c>
      <c r="E2087" s="9" t="s">
        <v>10824</v>
      </c>
      <c r="F2087" s="9" t="s">
        <v>10976</v>
      </c>
      <c r="G2087" s="36" t="s">
        <v>14</v>
      </c>
      <c r="H2087" s="36" t="str">
        <f>IFERROR(VLOOKUP(Table2[[#This Row], [Ticket]],Okey!A:B,2,0),"")</f>
        <v/>
      </c>
      <c r="I2087" s="36"/>
      <c r="J2087" s="36" t="s">
        <v>19</v>
      </c>
      <c r="K2087" s="36" t="s">
        <v>11488</v>
      </c>
      <c r="L2087" s="36"/>
    </row>
    <row r="2088" spans="1:12" hidden="1">
      <c r="A2088" s="42">
        <f t="shared" si="33"/>
        <v>2087</v>
      </c>
      <c r="B2088" s="36" t="s">
        <v>8</v>
      </c>
      <c r="C2088" s="36" t="s">
        <v>11027</v>
      </c>
      <c r="D2088" s="9" t="s">
        <v>10979</v>
      </c>
      <c r="E2088" s="9" t="s">
        <v>10825</v>
      </c>
      <c r="F2088" s="9" t="s">
        <v>10976</v>
      </c>
      <c r="G2088" s="36" t="s">
        <v>14</v>
      </c>
      <c r="H2088" s="36" t="str">
        <f>IFERROR(VLOOKUP(Table2[[#This Row], [Ticket]],Okey!A:B,2,0),"")</f>
        <v/>
      </c>
      <c r="I2088" s="36"/>
      <c r="J2088" s="36" t="s">
        <v>19</v>
      </c>
      <c r="K2088" s="36" t="s">
        <v>11488</v>
      </c>
      <c r="L2088" s="36"/>
    </row>
    <row r="2089" spans="1:12" hidden="1">
      <c r="A2089" s="42">
        <f t="shared" si="33"/>
        <v>2088</v>
      </c>
      <c r="B2089" s="36" t="s">
        <v>8</v>
      </c>
      <c r="C2089" s="36" t="s">
        <v>11027</v>
      </c>
      <c r="D2089" s="9" t="s">
        <v>10980</v>
      </c>
      <c r="E2089" s="9" t="s">
        <v>10826</v>
      </c>
      <c r="F2089" s="9" t="s">
        <v>11026</v>
      </c>
      <c r="G2089" s="36" t="s">
        <v>14</v>
      </c>
      <c r="H2089" s="36" t="str">
        <f>IFERROR(VLOOKUP(Table2[[#This Row], [Ticket]],Okey!A:B,2,0),"")</f>
        <v/>
      </c>
      <c r="I2089" s="36"/>
      <c r="J2089" s="36" t="s">
        <v>19</v>
      </c>
      <c r="K2089" s="36" t="s">
        <v>11488</v>
      </c>
      <c r="L2089" s="36"/>
    </row>
    <row r="2090" spans="1:12" hidden="1">
      <c r="A2090" s="42">
        <f t="shared" si="33"/>
        <v>2089</v>
      </c>
      <c r="B2090" s="36" t="s">
        <v>8</v>
      </c>
      <c r="C2090" s="36" t="s">
        <v>11027</v>
      </c>
      <c r="D2090" s="9" t="s">
        <v>10981</v>
      </c>
      <c r="E2090" s="9" t="s">
        <v>10827</v>
      </c>
      <c r="F2090" s="9" t="s">
        <v>10980</v>
      </c>
      <c r="G2090" s="36" t="s">
        <v>14</v>
      </c>
      <c r="H2090" s="36" t="str">
        <f>IFERROR(VLOOKUP(Table2[[#This Row], [Ticket]],Okey!A:B,2,0),"")</f>
        <v/>
      </c>
      <c r="I2090" s="36"/>
      <c r="J2090" s="36" t="s">
        <v>19</v>
      </c>
      <c r="K2090" s="36" t="s">
        <v>11488</v>
      </c>
      <c r="L2090" s="36"/>
    </row>
    <row r="2091" spans="1:12" hidden="1">
      <c r="A2091" s="42">
        <f t="shared" si="33"/>
        <v>2090</v>
      </c>
      <c r="B2091" s="36" t="s">
        <v>8</v>
      </c>
      <c r="C2091" s="36" t="s">
        <v>11027</v>
      </c>
      <c r="D2091" s="9" t="s">
        <v>10982</v>
      </c>
      <c r="E2091" s="9" t="s">
        <v>10828</v>
      </c>
      <c r="F2091" s="9" t="s">
        <v>10980</v>
      </c>
      <c r="G2091" s="36" t="s">
        <v>14</v>
      </c>
      <c r="H2091" s="36" t="str">
        <f>IFERROR(VLOOKUP(Table2[[#This Row], [Ticket]],Okey!A:B,2,0),"")</f>
        <v/>
      </c>
      <c r="I2091" s="36"/>
      <c r="J2091" s="36" t="s">
        <v>19</v>
      </c>
      <c r="K2091" s="36" t="s">
        <v>11488</v>
      </c>
      <c r="L2091" s="36"/>
    </row>
    <row r="2092" spans="1:12" hidden="1">
      <c r="A2092" s="42">
        <f t="shared" si="33"/>
        <v>2091</v>
      </c>
      <c r="B2092" s="36" t="s">
        <v>8</v>
      </c>
      <c r="C2092" s="9" t="s">
        <v>11028</v>
      </c>
      <c r="D2092" s="9" t="s">
        <v>11047</v>
      </c>
      <c r="E2092" s="9" t="s">
        <v>11029</v>
      </c>
      <c r="F2092" s="9" t="s">
        <v>11030</v>
      </c>
      <c r="G2092" s="36" t="s">
        <v>14</v>
      </c>
      <c r="H2092" s="36" t="str">
        <f>IFERROR(VLOOKUP(Table2[[#This Row], [Ticket]],Okey!A:B,2,0),"")</f>
        <v/>
      </c>
      <c r="I2092" s="36"/>
      <c r="J2092" s="36" t="s">
        <v>19</v>
      </c>
      <c r="K2092" s="36" t="s">
        <v>11488</v>
      </c>
      <c r="L2092" s="36"/>
    </row>
    <row r="2093" spans="1:12" hidden="1">
      <c r="A2093" s="42">
        <f t="shared" si="33"/>
        <v>2092</v>
      </c>
      <c r="B2093" s="36" t="s">
        <v>8</v>
      </c>
      <c r="C2093" s="36" t="s">
        <v>11028</v>
      </c>
      <c r="D2093" s="9" t="s">
        <v>11048</v>
      </c>
      <c r="E2093" s="9" t="s">
        <v>11031</v>
      </c>
      <c r="F2093" s="9" t="s">
        <v>11047</v>
      </c>
      <c r="G2093" s="36" t="s">
        <v>14</v>
      </c>
      <c r="H2093" s="36" t="str">
        <f>IFERROR(VLOOKUP(Table2[[#This Row], [Ticket]],Okey!A:B,2,0),"")</f>
        <v/>
      </c>
      <c r="I2093" s="36"/>
      <c r="J2093" s="36" t="s">
        <v>19</v>
      </c>
      <c r="K2093" s="36" t="s">
        <v>11488</v>
      </c>
      <c r="L2093" s="36"/>
    </row>
    <row r="2094" spans="1:12" hidden="1">
      <c r="A2094" s="42">
        <f t="shared" si="33"/>
        <v>2093</v>
      </c>
      <c r="B2094" s="36" t="s">
        <v>8</v>
      </c>
      <c r="C2094" s="36" t="s">
        <v>11028</v>
      </c>
      <c r="D2094" s="9" t="s">
        <v>11049</v>
      </c>
      <c r="E2094" s="9" t="s">
        <v>11032</v>
      </c>
      <c r="F2094" s="9" t="s">
        <v>11047</v>
      </c>
      <c r="G2094" s="36" t="s">
        <v>14</v>
      </c>
      <c r="H2094" s="36" t="str">
        <f>IFERROR(VLOOKUP(Table2[[#This Row], [Ticket]],Okey!A:B,2,0),"")</f>
        <v/>
      </c>
      <c r="I2094" s="36"/>
      <c r="J2094" s="36" t="s">
        <v>19</v>
      </c>
      <c r="K2094" s="36" t="s">
        <v>11488</v>
      </c>
      <c r="L2094" s="36"/>
    </row>
    <row r="2095" spans="1:12" hidden="1">
      <c r="A2095" s="42">
        <f t="shared" si="33"/>
        <v>2094</v>
      </c>
      <c r="B2095" s="36" t="s">
        <v>8</v>
      </c>
      <c r="C2095" s="36" t="s">
        <v>11028</v>
      </c>
      <c r="D2095" s="9" t="s">
        <v>11050</v>
      </c>
      <c r="E2095" s="9" t="s">
        <v>11033</v>
      </c>
      <c r="F2095" s="9" t="s">
        <v>11047</v>
      </c>
      <c r="G2095" s="36" t="s">
        <v>14</v>
      </c>
      <c r="H2095" s="36" t="str">
        <f>IFERROR(VLOOKUP(Table2[[#This Row], [Ticket]],Okey!A:B,2,0),"")</f>
        <v/>
      </c>
      <c r="I2095" s="36"/>
      <c r="J2095" s="36" t="s">
        <v>19</v>
      </c>
      <c r="K2095" s="36" t="s">
        <v>11488</v>
      </c>
      <c r="L2095" s="36"/>
    </row>
    <row r="2096" spans="1:12" hidden="1">
      <c r="A2096" s="42">
        <f t="shared" si="33"/>
        <v>2095</v>
      </c>
      <c r="B2096" s="36" t="s">
        <v>8</v>
      </c>
      <c r="C2096" s="36" t="s">
        <v>11028</v>
      </c>
      <c r="D2096" s="9" t="s">
        <v>11051</v>
      </c>
      <c r="E2096" s="9" t="s">
        <v>11035</v>
      </c>
      <c r="F2096" s="9" t="s">
        <v>11047</v>
      </c>
      <c r="G2096" s="36" t="s">
        <v>14</v>
      </c>
      <c r="H2096" s="36" t="str">
        <f>IFERROR(VLOOKUP(Table2[[#This Row], [Ticket]],Okey!A:B,2,0),"")</f>
        <v/>
      </c>
      <c r="I2096" s="36"/>
      <c r="J2096" s="36" t="s">
        <v>19</v>
      </c>
      <c r="K2096" s="36" t="s">
        <v>11488</v>
      </c>
      <c r="L2096" s="36"/>
    </row>
    <row r="2097" spans="1:12" hidden="1">
      <c r="A2097" s="42">
        <f t="shared" si="33"/>
        <v>2096</v>
      </c>
      <c r="B2097" s="36" t="s">
        <v>8</v>
      </c>
      <c r="C2097" s="36" t="s">
        <v>11028</v>
      </c>
      <c r="D2097" s="9" t="s">
        <v>11052</v>
      </c>
      <c r="E2097" s="9" t="s">
        <v>11037</v>
      </c>
      <c r="F2097" s="9" t="s">
        <v>11047</v>
      </c>
      <c r="G2097" s="36" t="s">
        <v>14</v>
      </c>
      <c r="H2097" s="36" t="str">
        <f>IFERROR(VLOOKUP(Table2[[#This Row], [Ticket]],Okey!A:B,2,0),"")</f>
        <v/>
      </c>
      <c r="I2097" s="36"/>
      <c r="J2097" s="36" t="s">
        <v>19</v>
      </c>
      <c r="K2097" s="36" t="s">
        <v>11488</v>
      </c>
      <c r="L2097" s="36"/>
    </row>
    <row r="2098" spans="1:12" hidden="1">
      <c r="A2098" s="42">
        <f t="shared" si="33"/>
        <v>2097</v>
      </c>
      <c r="B2098" s="36" t="s">
        <v>8</v>
      </c>
      <c r="C2098" s="36" t="s">
        <v>11028</v>
      </c>
      <c r="D2098" s="9" t="s">
        <v>11053</v>
      </c>
      <c r="E2098" s="9" t="s">
        <v>11039</v>
      </c>
      <c r="F2098" s="9" t="s">
        <v>11040</v>
      </c>
      <c r="G2098" s="36" t="s">
        <v>14</v>
      </c>
      <c r="H2098" s="36" t="str">
        <f>IFERROR(VLOOKUP(Table2[[#This Row], [Ticket]],Okey!A:B,2,0),"")</f>
        <v/>
      </c>
      <c r="I2098" s="36"/>
      <c r="J2098" s="36" t="s">
        <v>19</v>
      </c>
      <c r="K2098" s="36" t="s">
        <v>11488</v>
      </c>
      <c r="L2098" s="36"/>
    </row>
    <row r="2099" spans="1:12" hidden="1">
      <c r="A2099" s="42">
        <f t="shared" si="33"/>
        <v>2098</v>
      </c>
      <c r="B2099" s="36" t="s">
        <v>8</v>
      </c>
      <c r="C2099" s="36" t="s">
        <v>11028</v>
      </c>
      <c r="D2099" s="9" t="s">
        <v>11054</v>
      </c>
      <c r="E2099" s="9" t="s">
        <v>11042</v>
      </c>
      <c r="F2099" s="9" t="s">
        <v>11053</v>
      </c>
      <c r="G2099" s="36" t="s">
        <v>14</v>
      </c>
      <c r="H2099" s="36" t="str">
        <f>IFERROR(VLOOKUP(Table2[[#This Row], [Ticket]],Okey!A:B,2,0),"")</f>
        <v/>
      </c>
      <c r="I2099" s="36"/>
      <c r="J2099" s="36" t="s">
        <v>19</v>
      </c>
      <c r="K2099" s="36" t="s">
        <v>11488</v>
      </c>
      <c r="L2099" s="36"/>
    </row>
    <row r="2100" spans="1:12" hidden="1">
      <c r="A2100" s="42">
        <f t="shared" si="33"/>
        <v>2099</v>
      </c>
      <c r="B2100" s="36" t="s">
        <v>8</v>
      </c>
      <c r="C2100" s="36" t="s">
        <v>11028</v>
      </c>
      <c r="D2100" s="9" t="s">
        <v>11055</v>
      </c>
      <c r="E2100" s="9" t="s">
        <v>11044</v>
      </c>
      <c r="F2100" s="9" t="s">
        <v>11053</v>
      </c>
      <c r="G2100" s="36" t="s">
        <v>14</v>
      </c>
      <c r="H2100" s="36" t="str">
        <f>IFERROR(VLOOKUP(Table2[[#This Row], [Ticket]],Okey!A:B,2,0),"")</f>
        <v/>
      </c>
      <c r="I2100" s="36"/>
      <c r="J2100" s="36" t="s">
        <v>19</v>
      </c>
      <c r="K2100" s="36" t="s">
        <v>11488</v>
      </c>
      <c r="L2100" s="36"/>
    </row>
    <row r="2101" spans="1:12" hidden="1">
      <c r="A2101" s="42">
        <f t="shared" si="33"/>
        <v>2100</v>
      </c>
      <c r="B2101" s="36" t="s">
        <v>8</v>
      </c>
      <c r="C2101" s="36" t="s">
        <v>11028</v>
      </c>
      <c r="D2101" s="9" t="s">
        <v>11056</v>
      </c>
      <c r="E2101" s="9" t="s">
        <v>11046</v>
      </c>
      <c r="F2101" s="9" t="s">
        <v>11053</v>
      </c>
      <c r="G2101" s="36" t="s">
        <v>14</v>
      </c>
      <c r="H2101" s="36" t="str">
        <f>IFERROR(VLOOKUP(Table2[[#This Row], [Ticket]],Okey!A:B,2,0),"")</f>
        <v/>
      </c>
      <c r="I2101" s="36"/>
      <c r="J2101" s="36" t="s">
        <v>19</v>
      </c>
      <c r="K2101" s="36" t="s">
        <v>11488</v>
      </c>
      <c r="L2101" s="36"/>
    </row>
    <row r="2102" spans="1:12" hidden="1">
      <c r="A2102" s="42">
        <f>1+A2101</f>
        <v>2101</v>
      </c>
      <c r="B2102" s="36" t="s">
        <v>8</v>
      </c>
      <c r="C2102" s="9" t="s">
        <v>11187</v>
      </c>
      <c r="D2102" s="9" t="s">
        <v>6644</v>
      </c>
      <c r="F2102" s="9" t="s">
        <v>11257</v>
      </c>
      <c r="G2102" s="36" t="s">
        <v>13</v>
      </c>
      <c r="H2102" s="36" t="str">
        <f>IFERROR(VLOOKUP(Table2[[#This Row], [Ticket]],Okey!A:B,2,0),"")</f>
        <v/>
      </c>
      <c r="I2102" s="36"/>
      <c r="J2102" s="36" t="s">
        <v>17</v>
      </c>
      <c r="K2102" s="36" t="s">
        <v>11488</v>
      </c>
      <c r="L2102" s="36"/>
    </row>
    <row r="2103" spans="1:12" hidden="1">
      <c r="A2103" s="42">
        <f>1+A2102</f>
        <v>2102</v>
      </c>
      <c r="B2103" s="36" t="s">
        <v>8</v>
      </c>
      <c r="C2103" s="36" t="s">
        <v>11187</v>
      </c>
      <c r="D2103" s="36" t="s">
        <v>11190</v>
      </c>
      <c r="E2103" s="9" t="s">
        <v>11057</v>
      </c>
      <c r="F2103" s="9" t="s">
        <v>3707</v>
      </c>
      <c r="G2103" s="36" t="s">
        <v>14</v>
      </c>
      <c r="H2103" s="36" t="str">
        <f>IFERROR(VLOOKUP(Table2[[#This Row], [Ticket]],Okey!A:B,2,0),"")</f>
        <v/>
      </c>
      <c r="I2103" s="36"/>
      <c r="J2103" s="9" t="s">
        <v>17</v>
      </c>
      <c r="K2103" s="36" t="s">
        <v>11489</v>
      </c>
      <c r="L2103" s="36"/>
    </row>
    <row r="2104" spans="1:12" hidden="1">
      <c r="A2104" s="42">
        <f>1+A2103</f>
        <v>2103</v>
      </c>
      <c r="B2104" s="36" t="s">
        <v>8</v>
      </c>
      <c r="C2104" s="36" t="s">
        <v>11187</v>
      </c>
      <c r="D2104" s="9" t="s">
        <v>11191</v>
      </c>
      <c r="E2104" s="9" t="s">
        <v>11058</v>
      </c>
      <c r="F2104" s="9" t="s">
        <v>11190</v>
      </c>
      <c r="G2104" s="36" t="s">
        <v>14</v>
      </c>
      <c r="H2104" s="36" t="str">
        <f>IFERROR(VLOOKUP(Table2[[#This Row], [Ticket]],Okey!A:B,2,0),"")</f>
        <v/>
      </c>
      <c r="I2104" s="36"/>
      <c r="J2104" s="36" t="s">
        <v>17</v>
      </c>
      <c r="K2104" s="36" t="s">
        <v>11489</v>
      </c>
      <c r="L2104" s="36"/>
    </row>
    <row r="2105" spans="1:12" hidden="1">
      <c r="A2105" s="42">
        <f>1+A2104</f>
        <v>2104</v>
      </c>
      <c r="B2105" s="36" t="s">
        <v>8</v>
      </c>
      <c r="C2105" s="36" t="s">
        <v>11187</v>
      </c>
      <c r="D2105" s="36" t="s">
        <v>11192</v>
      </c>
      <c r="E2105" s="9" t="s">
        <v>11059</v>
      </c>
      <c r="F2105" s="9" t="s">
        <v>11190</v>
      </c>
      <c r="G2105" s="36" t="s">
        <v>14</v>
      </c>
      <c r="H2105" s="36" t="str">
        <f>IFERROR(VLOOKUP(Table2[[#This Row], [Ticket]],Okey!A:B,2,0),"")</f>
        <v/>
      </c>
      <c r="I2105" s="36"/>
      <c r="J2105" s="36" t="s">
        <v>17</v>
      </c>
      <c r="K2105" s="36" t="s">
        <v>11489</v>
      </c>
      <c r="L2105" s="36"/>
    </row>
    <row r="2106" spans="1:12" hidden="1">
      <c r="A2106" s="42">
        <f>1+A2105</f>
        <v>2105</v>
      </c>
      <c r="B2106" s="36" t="s">
        <v>8</v>
      </c>
      <c r="C2106" s="36" t="s">
        <v>11187</v>
      </c>
      <c r="D2106" s="9" t="s">
        <v>11193</v>
      </c>
      <c r="E2106" s="9" t="s">
        <v>11060</v>
      </c>
      <c r="F2106" s="9" t="s">
        <v>11190</v>
      </c>
      <c r="G2106" s="36" t="s">
        <v>14</v>
      </c>
      <c r="H2106" s="36" t="str">
        <f>IFERROR(VLOOKUP(Table2[[#This Row], [Ticket]],Okey!A:B,2,0),"")</f>
        <v/>
      </c>
      <c r="I2106" s="36"/>
      <c r="J2106" s="36" t="s">
        <v>17</v>
      </c>
      <c r="K2106" s="36" t="s">
        <v>11489</v>
      </c>
      <c r="L2106" s="36"/>
    </row>
    <row r="2107" spans="1:12" hidden="1">
      <c r="A2107" s="42">
        <f>1+A2106</f>
        <v>2106</v>
      </c>
      <c r="B2107" s="36" t="s">
        <v>8</v>
      </c>
      <c r="C2107" s="36" t="s">
        <v>11187</v>
      </c>
      <c r="D2107" s="36" t="s">
        <v>11194</v>
      </c>
      <c r="E2107" s="9" t="s">
        <v>11061</v>
      </c>
      <c r="F2107" s="9" t="s">
        <v>11190</v>
      </c>
      <c r="G2107" s="36" t="s">
        <v>14</v>
      </c>
      <c r="H2107" s="36" t="str">
        <f>IFERROR(VLOOKUP(Table2[[#This Row], [Ticket]],Okey!A:B,2,0),"")</f>
        <v/>
      </c>
      <c r="I2107" s="36"/>
      <c r="J2107" s="36" t="s">
        <v>17</v>
      </c>
      <c r="K2107" s="36" t="s">
        <v>11489</v>
      </c>
      <c r="L2107" s="36"/>
    </row>
    <row r="2108" spans="1:12" hidden="1">
      <c r="A2108" s="42">
        <f>1+A2107</f>
        <v>2107</v>
      </c>
      <c r="B2108" s="36" t="s">
        <v>8</v>
      </c>
      <c r="C2108" s="36" t="s">
        <v>11187</v>
      </c>
      <c r="D2108" s="9" t="s">
        <v>11195</v>
      </c>
      <c r="E2108" s="9" t="s">
        <v>11062</v>
      </c>
      <c r="F2108" s="9" t="s">
        <v>11190</v>
      </c>
      <c r="G2108" s="36" t="s">
        <v>14</v>
      </c>
      <c r="H2108" s="36" t="str">
        <f>IFERROR(VLOOKUP(Table2[[#This Row], [Ticket]],Okey!A:B,2,0),"")</f>
        <v/>
      </c>
      <c r="I2108" s="36"/>
      <c r="J2108" s="36" t="s">
        <v>17</v>
      </c>
      <c r="K2108" s="36" t="s">
        <v>11489</v>
      </c>
      <c r="L2108" s="36"/>
    </row>
    <row r="2109" spans="1:12" hidden="1">
      <c r="A2109" s="42">
        <f>1+A2108</f>
        <v>2108</v>
      </c>
      <c r="B2109" s="36" t="s">
        <v>8</v>
      </c>
      <c r="C2109" s="36" t="s">
        <v>11187</v>
      </c>
      <c r="D2109" s="36" t="s">
        <v>11196</v>
      </c>
      <c r="E2109" s="9" t="s">
        <v>11063</v>
      </c>
      <c r="F2109" s="9" t="s">
        <v>11190</v>
      </c>
      <c r="G2109" s="36" t="s">
        <v>14</v>
      </c>
      <c r="H2109" s="36" t="str">
        <f>IFERROR(VLOOKUP(Table2[[#This Row], [Ticket]],Okey!A:B,2,0),"")</f>
        <v/>
      </c>
      <c r="I2109" s="36"/>
      <c r="J2109" s="36" t="s">
        <v>17</v>
      </c>
      <c r="K2109" s="36" t="s">
        <v>11489</v>
      </c>
      <c r="L2109" s="36"/>
    </row>
    <row r="2110" spans="1:12" hidden="1">
      <c r="A2110" s="42">
        <f>1+A2109</f>
        <v>2109</v>
      </c>
      <c r="B2110" s="36" t="s">
        <v>8</v>
      </c>
      <c r="C2110" s="36" t="s">
        <v>11187</v>
      </c>
      <c r="D2110" s="9" t="s">
        <v>11197</v>
      </c>
      <c r="E2110" s="9" t="s">
        <v>11064</v>
      </c>
      <c r="F2110" s="9" t="s">
        <v>11190</v>
      </c>
      <c r="G2110" s="36" t="s">
        <v>14</v>
      </c>
      <c r="H2110" s="36" t="str">
        <f>IFERROR(VLOOKUP(Table2[[#This Row], [Ticket]],Okey!A:B,2,0),"")</f>
        <v/>
      </c>
      <c r="I2110" s="36"/>
      <c r="J2110" s="36" t="s">
        <v>17</v>
      </c>
      <c r="K2110" s="36" t="s">
        <v>11489</v>
      </c>
      <c r="L2110" s="36"/>
    </row>
    <row r="2111" spans="1:12" hidden="1">
      <c r="A2111" s="42">
        <f>1+A2110</f>
        <v>2110</v>
      </c>
      <c r="B2111" s="36" t="s">
        <v>8</v>
      </c>
      <c r="C2111" s="36" t="s">
        <v>11187</v>
      </c>
      <c r="D2111" s="36" t="s">
        <v>11198</v>
      </c>
      <c r="E2111" s="9" t="s">
        <v>11065</v>
      </c>
      <c r="F2111" s="9" t="s">
        <v>11190</v>
      </c>
      <c r="G2111" s="36" t="s">
        <v>14</v>
      </c>
      <c r="H2111" s="36" t="str">
        <f>IFERROR(VLOOKUP(Table2[[#This Row], [Ticket]],Okey!A:B,2,0),"")</f>
        <v/>
      </c>
      <c r="I2111" s="36"/>
      <c r="J2111" s="36" t="s">
        <v>17</v>
      </c>
      <c r="K2111" s="36" t="s">
        <v>11489</v>
      </c>
      <c r="L2111" s="36"/>
    </row>
    <row r="2112" spans="1:12" hidden="1">
      <c r="A2112" s="42">
        <f>1+A2111</f>
        <v>2111</v>
      </c>
      <c r="B2112" s="36" t="s">
        <v>8</v>
      </c>
      <c r="C2112" s="36" t="s">
        <v>11187</v>
      </c>
      <c r="D2112" s="9" t="s">
        <v>11199</v>
      </c>
      <c r="E2112" s="9" t="s">
        <v>11066</v>
      </c>
      <c r="F2112" s="9" t="s">
        <v>3707</v>
      </c>
      <c r="G2112" s="36" t="s">
        <v>14</v>
      </c>
      <c r="H2112" s="36" t="str">
        <f>IFERROR(VLOOKUP(Table2[[#This Row], [Ticket]],Okey!A:B,2,0),"")</f>
        <v/>
      </c>
      <c r="I2112" s="36"/>
      <c r="J2112" s="36" t="s">
        <v>17</v>
      </c>
      <c r="K2112" s="36" t="s">
        <v>11489</v>
      </c>
      <c r="L2112" s="36"/>
    </row>
    <row r="2113" spans="1:12" hidden="1">
      <c r="A2113" s="42">
        <f>1+A2112</f>
        <v>2112</v>
      </c>
      <c r="B2113" s="36" t="s">
        <v>8</v>
      </c>
      <c r="C2113" s="36" t="s">
        <v>11187</v>
      </c>
      <c r="D2113" s="36" t="s">
        <v>11200</v>
      </c>
      <c r="E2113" s="9" t="s">
        <v>11067</v>
      </c>
      <c r="F2113" s="9" t="s">
        <v>11199</v>
      </c>
      <c r="G2113" s="36" t="s">
        <v>14</v>
      </c>
      <c r="H2113" s="36" t="str">
        <f>IFERROR(VLOOKUP(Table2[[#This Row], [Ticket]],Okey!A:B,2,0),"")</f>
        <v/>
      </c>
      <c r="I2113" s="36"/>
      <c r="J2113" s="36" t="s">
        <v>17</v>
      </c>
      <c r="K2113" s="36" t="s">
        <v>11489</v>
      </c>
      <c r="L2113" s="36"/>
    </row>
    <row r="2114" spans="1:12" hidden="1">
      <c r="A2114" s="42">
        <f>1+A2113</f>
        <v>2113</v>
      </c>
      <c r="B2114" s="36" t="s">
        <v>8</v>
      </c>
      <c r="C2114" s="36" t="s">
        <v>11187</v>
      </c>
      <c r="D2114" s="9" t="s">
        <v>11201</v>
      </c>
      <c r="E2114" s="9" t="s">
        <v>11068</v>
      </c>
      <c r="F2114" s="9" t="s">
        <v>11199</v>
      </c>
      <c r="G2114" s="36" t="s">
        <v>14</v>
      </c>
      <c r="H2114" s="36" t="str">
        <f>IFERROR(VLOOKUP(Table2[[#This Row], [Ticket]],Okey!A:B,2,0),"")</f>
        <v/>
      </c>
      <c r="I2114" s="36"/>
      <c r="J2114" s="36" t="s">
        <v>17</v>
      </c>
      <c r="K2114" s="36" t="s">
        <v>11489</v>
      </c>
      <c r="L2114" s="36"/>
    </row>
    <row r="2115" spans="1:12" hidden="1">
      <c r="A2115" s="42">
        <f>1+A2114</f>
        <v>2114</v>
      </c>
      <c r="B2115" s="36" t="s">
        <v>8</v>
      </c>
      <c r="C2115" s="36" t="s">
        <v>11187</v>
      </c>
      <c r="D2115" s="36" t="s">
        <v>11202</v>
      </c>
      <c r="E2115" s="9" t="s">
        <v>11069</v>
      </c>
      <c r="F2115" s="9" t="s">
        <v>11199</v>
      </c>
      <c r="G2115" s="36" t="s">
        <v>14</v>
      </c>
      <c r="H2115" s="36" t="str">
        <f>IFERROR(VLOOKUP(Table2[[#This Row], [Ticket]],Okey!A:B,2,0),"")</f>
        <v/>
      </c>
      <c r="I2115" s="36"/>
      <c r="J2115" s="36" t="s">
        <v>17</v>
      </c>
      <c r="K2115" s="36" t="s">
        <v>11489</v>
      </c>
      <c r="L2115" s="36"/>
    </row>
    <row r="2116" spans="1:12" hidden="1">
      <c r="A2116" s="42">
        <f>1+A2115</f>
        <v>2115</v>
      </c>
      <c r="B2116" s="36" t="s">
        <v>8</v>
      </c>
      <c r="C2116" s="36" t="s">
        <v>11187</v>
      </c>
      <c r="D2116" s="9" t="s">
        <v>11203</v>
      </c>
      <c r="E2116" s="9" t="s">
        <v>11070</v>
      </c>
      <c r="F2116" s="9" t="s">
        <v>11199</v>
      </c>
      <c r="G2116" s="36" t="s">
        <v>14</v>
      </c>
      <c r="H2116" s="36" t="str">
        <f>IFERROR(VLOOKUP(Table2[[#This Row], [Ticket]],Okey!A:B,2,0),"")</f>
        <v/>
      </c>
      <c r="I2116" s="36"/>
      <c r="J2116" s="36" t="s">
        <v>17</v>
      </c>
      <c r="K2116" s="36" t="s">
        <v>11489</v>
      </c>
      <c r="L2116" s="36"/>
    </row>
    <row r="2117" spans="1:12" hidden="1">
      <c r="A2117" s="42">
        <f>1+A2116</f>
        <v>2116</v>
      </c>
      <c r="B2117" s="36" t="s">
        <v>8</v>
      </c>
      <c r="C2117" s="36" t="s">
        <v>11187</v>
      </c>
      <c r="D2117" s="36" t="s">
        <v>11204</v>
      </c>
      <c r="E2117" s="9" t="s">
        <v>11071</v>
      </c>
      <c r="F2117" s="9" t="s">
        <v>11199</v>
      </c>
      <c r="G2117" s="36" t="s">
        <v>14</v>
      </c>
      <c r="H2117" s="36" t="str">
        <f>IFERROR(VLOOKUP(Table2[[#This Row], [Ticket]],Okey!A:B,2,0),"")</f>
        <v/>
      </c>
      <c r="I2117" s="36"/>
      <c r="J2117" s="36" t="s">
        <v>17</v>
      </c>
      <c r="K2117" s="36" t="s">
        <v>11489</v>
      </c>
      <c r="L2117" s="36"/>
    </row>
    <row r="2118" spans="1:12" hidden="1">
      <c r="A2118" s="42">
        <f>1+A2117</f>
        <v>2117</v>
      </c>
      <c r="B2118" s="36" t="s">
        <v>8</v>
      </c>
      <c r="C2118" s="36" t="s">
        <v>11187</v>
      </c>
      <c r="D2118" s="9" t="s">
        <v>11205</v>
      </c>
      <c r="E2118" s="9" t="s">
        <v>11072</v>
      </c>
      <c r="F2118" s="9" t="s">
        <v>11199</v>
      </c>
      <c r="G2118" s="36" t="s">
        <v>14</v>
      </c>
      <c r="H2118" s="36" t="str">
        <f>IFERROR(VLOOKUP(Table2[[#This Row], [Ticket]],Okey!A:B,2,0),"")</f>
        <v/>
      </c>
      <c r="I2118" s="36"/>
      <c r="J2118" s="36" t="s">
        <v>17</v>
      </c>
      <c r="K2118" s="36" t="s">
        <v>11489</v>
      </c>
      <c r="L2118" s="36"/>
    </row>
    <row r="2119" spans="1:12" hidden="1">
      <c r="A2119" s="42">
        <f>1+A2118</f>
        <v>2118</v>
      </c>
      <c r="B2119" s="36" t="s">
        <v>8</v>
      </c>
      <c r="C2119" s="36" t="s">
        <v>11187</v>
      </c>
      <c r="D2119" s="36" t="s">
        <v>11206</v>
      </c>
      <c r="E2119" s="9" t="s">
        <v>11073</v>
      </c>
      <c r="F2119" s="9" t="s">
        <v>11199</v>
      </c>
      <c r="G2119" s="36" t="s">
        <v>14</v>
      </c>
      <c r="H2119" s="36" t="str">
        <f>IFERROR(VLOOKUP(Table2[[#This Row], [Ticket]],Okey!A:B,2,0),"")</f>
        <v/>
      </c>
      <c r="I2119" s="36"/>
      <c r="J2119" s="36" t="s">
        <v>17</v>
      </c>
      <c r="K2119" s="36" t="s">
        <v>11489</v>
      </c>
      <c r="L2119" s="36"/>
    </row>
    <row r="2120" spans="1:12" hidden="1">
      <c r="A2120" s="42">
        <f>1+A2119</f>
        <v>2119</v>
      </c>
      <c r="B2120" s="36" t="s">
        <v>8</v>
      </c>
      <c r="C2120" s="36" t="s">
        <v>11187</v>
      </c>
      <c r="D2120" s="36" t="s">
        <v>11207</v>
      </c>
      <c r="E2120" s="9" t="s">
        <v>11074</v>
      </c>
      <c r="F2120" s="9" t="s">
        <v>3707</v>
      </c>
      <c r="G2120" s="36" t="s">
        <v>14</v>
      </c>
      <c r="H2120" s="36" t="str">
        <f>IFERROR(VLOOKUP(Table2[[#This Row], [Ticket]],Okey!A:B,2,0),"")</f>
        <v/>
      </c>
      <c r="I2120" s="36"/>
      <c r="J2120" s="36" t="s">
        <v>17</v>
      </c>
      <c r="K2120" s="36" t="s">
        <v>11489</v>
      </c>
      <c r="L2120" s="36"/>
    </row>
    <row r="2121" spans="1:12" hidden="1">
      <c r="A2121" s="42">
        <f>1+A2120</f>
        <v>2120</v>
      </c>
      <c r="B2121" s="36" t="s">
        <v>8</v>
      </c>
      <c r="C2121" s="36" t="s">
        <v>11187</v>
      </c>
      <c r="D2121" s="9" t="s">
        <v>11208</v>
      </c>
      <c r="E2121" s="9" t="s">
        <v>11075</v>
      </c>
      <c r="F2121" s="9" t="s">
        <v>11207</v>
      </c>
      <c r="G2121" s="36" t="s">
        <v>14</v>
      </c>
      <c r="H2121" s="36" t="str">
        <f>IFERROR(VLOOKUP(Table2[[#This Row], [Ticket]],Okey!A:B,2,0),"")</f>
        <v/>
      </c>
      <c r="I2121" s="36"/>
      <c r="J2121" s="36" t="s">
        <v>17</v>
      </c>
      <c r="K2121" s="36" t="s">
        <v>11489</v>
      </c>
      <c r="L2121" s="36"/>
    </row>
    <row r="2122" spans="1:12" hidden="1">
      <c r="A2122" s="42">
        <f>1+A2121</f>
        <v>2121</v>
      </c>
      <c r="B2122" s="36" t="s">
        <v>8</v>
      </c>
      <c r="C2122" s="36" t="s">
        <v>11187</v>
      </c>
      <c r="D2122" s="36" t="s">
        <v>11209</v>
      </c>
      <c r="E2122" s="9" t="s">
        <v>11076</v>
      </c>
      <c r="F2122" s="9" t="s">
        <v>11207</v>
      </c>
      <c r="G2122" s="36" t="s">
        <v>14</v>
      </c>
      <c r="H2122" s="36" t="str">
        <f>IFERROR(VLOOKUP(Table2[[#This Row], [Ticket]],Okey!A:B,2,0),"")</f>
        <v/>
      </c>
      <c r="I2122" s="36"/>
      <c r="J2122" s="36" t="s">
        <v>17</v>
      </c>
      <c r="K2122" s="36" t="s">
        <v>11489</v>
      </c>
      <c r="L2122" s="36"/>
    </row>
    <row r="2123" spans="1:12" hidden="1">
      <c r="A2123" s="42">
        <f>1+A2122</f>
        <v>2122</v>
      </c>
      <c r="B2123" s="36" t="s">
        <v>8</v>
      </c>
      <c r="C2123" s="36" t="s">
        <v>11187</v>
      </c>
      <c r="D2123" s="9" t="s">
        <v>11210</v>
      </c>
      <c r="E2123" s="9" t="s">
        <v>11077</v>
      </c>
      <c r="F2123" s="9" t="s">
        <v>11207</v>
      </c>
      <c r="G2123" s="36" t="s">
        <v>14</v>
      </c>
      <c r="H2123" s="36" t="str">
        <f>IFERROR(VLOOKUP(Table2[[#This Row], [Ticket]],Okey!A:B,2,0),"")</f>
        <v/>
      </c>
      <c r="I2123" s="36"/>
      <c r="J2123" s="36" t="s">
        <v>17</v>
      </c>
      <c r="K2123" s="36" t="s">
        <v>11489</v>
      </c>
      <c r="L2123" s="36"/>
    </row>
    <row r="2124" spans="1:12" hidden="1">
      <c r="A2124" s="42">
        <f>1+A2123</f>
        <v>2123</v>
      </c>
      <c r="B2124" s="36" t="s">
        <v>8</v>
      </c>
      <c r="C2124" s="36" t="s">
        <v>11187</v>
      </c>
      <c r="D2124" s="36" t="s">
        <v>11211</v>
      </c>
      <c r="E2124" s="9" t="s">
        <v>11078</v>
      </c>
      <c r="F2124" s="9" t="s">
        <v>11207</v>
      </c>
      <c r="G2124" s="36" t="s">
        <v>14</v>
      </c>
      <c r="H2124" s="36" t="str">
        <f>IFERROR(VLOOKUP(Table2[[#This Row], [Ticket]],Okey!A:B,2,0),"")</f>
        <v/>
      </c>
      <c r="I2124" s="36"/>
      <c r="J2124" s="36" t="s">
        <v>17</v>
      </c>
      <c r="K2124" s="36" t="s">
        <v>11489</v>
      </c>
      <c r="L2124" s="36"/>
    </row>
    <row r="2125" spans="1:12" hidden="1">
      <c r="A2125" s="42">
        <f>1+A2124</f>
        <v>2124</v>
      </c>
      <c r="B2125" s="36" t="s">
        <v>8</v>
      </c>
      <c r="C2125" s="36" t="s">
        <v>11187</v>
      </c>
      <c r="D2125" s="9" t="s">
        <v>11212</v>
      </c>
      <c r="E2125" s="9" t="s">
        <v>11079</v>
      </c>
      <c r="F2125" s="9" t="s">
        <v>11207</v>
      </c>
      <c r="G2125" s="36" t="s">
        <v>14</v>
      </c>
      <c r="H2125" s="36" t="str">
        <f>IFERROR(VLOOKUP(Table2[[#This Row], [Ticket]],Okey!A:B,2,0),"")</f>
        <v/>
      </c>
      <c r="I2125" s="36"/>
      <c r="J2125" s="36" t="s">
        <v>17</v>
      </c>
      <c r="K2125" s="36" t="s">
        <v>11489</v>
      </c>
      <c r="L2125" s="36"/>
    </row>
    <row r="2126" spans="1:12" hidden="1">
      <c r="A2126" s="42">
        <f>1+A2125</f>
        <v>2125</v>
      </c>
      <c r="B2126" s="36" t="s">
        <v>8</v>
      </c>
      <c r="C2126" s="36" t="s">
        <v>11187</v>
      </c>
      <c r="D2126" s="36" t="s">
        <v>11213</v>
      </c>
      <c r="E2126" s="9" t="s">
        <v>11080</v>
      </c>
      <c r="F2126" s="9" t="s">
        <v>11207</v>
      </c>
      <c r="G2126" s="36" t="s">
        <v>14</v>
      </c>
      <c r="H2126" s="36" t="str">
        <f>IFERROR(VLOOKUP(Table2[[#This Row], [Ticket]],Okey!A:B,2,0),"")</f>
        <v/>
      </c>
      <c r="I2126" s="36"/>
      <c r="J2126" s="36" t="s">
        <v>17</v>
      </c>
      <c r="K2126" s="36" t="s">
        <v>11489</v>
      </c>
      <c r="L2126" s="36"/>
    </row>
    <row r="2127" spans="1:12" hidden="1">
      <c r="A2127" s="42">
        <f>1+A2126</f>
        <v>2126</v>
      </c>
      <c r="B2127" s="36" t="s">
        <v>8</v>
      </c>
      <c r="C2127" s="36" t="s">
        <v>11187</v>
      </c>
      <c r="D2127" s="9" t="s">
        <v>11214</v>
      </c>
      <c r="E2127" s="9" t="s">
        <v>11081</v>
      </c>
      <c r="F2127" s="9" t="s">
        <v>11207</v>
      </c>
      <c r="G2127" s="36" t="s">
        <v>14</v>
      </c>
      <c r="H2127" s="36" t="str">
        <f>IFERROR(VLOOKUP(Table2[[#This Row], [Ticket]],Okey!A:B,2,0),"")</f>
        <v/>
      </c>
      <c r="I2127" s="36"/>
      <c r="J2127" s="36" t="s">
        <v>17</v>
      </c>
      <c r="K2127" s="36" t="s">
        <v>11489</v>
      </c>
      <c r="L2127" s="36"/>
    </row>
    <row r="2128" spans="1:12" hidden="1">
      <c r="A2128" s="42">
        <f>1+A2127</f>
        <v>2127</v>
      </c>
      <c r="B2128" s="36" t="s">
        <v>8</v>
      </c>
      <c r="C2128" s="36" t="s">
        <v>11187</v>
      </c>
      <c r="D2128" s="36" t="s">
        <v>11215</v>
      </c>
      <c r="E2128" s="9" t="s">
        <v>11082</v>
      </c>
      <c r="F2128" s="9" t="s">
        <v>11207</v>
      </c>
      <c r="G2128" s="36" t="s">
        <v>14</v>
      </c>
      <c r="H2128" s="36" t="str">
        <f>IFERROR(VLOOKUP(Table2[[#This Row], [Ticket]],Okey!A:B,2,0),"")</f>
        <v/>
      </c>
      <c r="I2128" s="36"/>
      <c r="J2128" s="36" t="s">
        <v>17</v>
      </c>
      <c r="K2128" s="36" t="s">
        <v>11489</v>
      </c>
      <c r="L2128" s="36"/>
    </row>
    <row r="2129" spans="1:12" hidden="1">
      <c r="A2129" s="42">
        <f>1+A2128</f>
        <v>2128</v>
      </c>
      <c r="B2129" s="36" t="s">
        <v>8</v>
      </c>
      <c r="C2129" s="36" t="s">
        <v>11187</v>
      </c>
      <c r="D2129" s="9" t="s">
        <v>11216</v>
      </c>
      <c r="E2129" s="9" t="s">
        <v>11083</v>
      </c>
      <c r="F2129" s="9" t="s">
        <v>11207</v>
      </c>
      <c r="G2129" s="36" t="s">
        <v>14</v>
      </c>
      <c r="H2129" s="36" t="str">
        <f>IFERROR(VLOOKUP(Table2[[#This Row], [Ticket]],Okey!A:B,2,0),"")</f>
        <v/>
      </c>
      <c r="I2129" s="36"/>
      <c r="J2129" s="36" t="s">
        <v>17</v>
      </c>
      <c r="K2129" s="36" t="s">
        <v>11489</v>
      </c>
      <c r="L2129" s="36"/>
    </row>
    <row r="2130" spans="1:12" hidden="1">
      <c r="A2130" s="42">
        <f>1+A2129</f>
        <v>2129</v>
      </c>
      <c r="B2130" s="36" t="s">
        <v>8</v>
      </c>
      <c r="C2130" s="36" t="s">
        <v>11187</v>
      </c>
      <c r="D2130" s="36" t="s">
        <v>11217</v>
      </c>
      <c r="E2130" s="9" t="s">
        <v>11084</v>
      </c>
      <c r="F2130" s="9" t="s">
        <v>3707</v>
      </c>
      <c r="G2130" s="36" t="s">
        <v>14</v>
      </c>
      <c r="H2130" s="36" t="str">
        <f>IFERROR(VLOOKUP(Table2[[#This Row], [Ticket]],Okey!A:B,2,0),"")</f>
        <v/>
      </c>
      <c r="I2130" s="36"/>
      <c r="J2130" s="36" t="s">
        <v>17</v>
      </c>
      <c r="K2130" s="36" t="s">
        <v>11489</v>
      </c>
      <c r="L2130" s="36"/>
    </row>
    <row r="2131" spans="1:12" hidden="1">
      <c r="A2131" s="42">
        <f>1+A2130</f>
        <v>2130</v>
      </c>
      <c r="B2131" s="36" t="s">
        <v>8</v>
      </c>
      <c r="C2131" s="36" t="s">
        <v>11187</v>
      </c>
      <c r="D2131" s="9" t="s">
        <v>11218</v>
      </c>
      <c r="E2131" s="9" t="s">
        <v>11085</v>
      </c>
      <c r="F2131" s="9" t="s">
        <v>11217</v>
      </c>
      <c r="G2131" s="36" t="s">
        <v>14</v>
      </c>
      <c r="H2131" s="36" t="str">
        <f>IFERROR(VLOOKUP(Table2[[#This Row], [Ticket]],Okey!A:B,2,0),"")</f>
        <v/>
      </c>
      <c r="I2131" s="36"/>
      <c r="J2131" s="36" t="s">
        <v>17</v>
      </c>
      <c r="K2131" s="36" t="s">
        <v>11489</v>
      </c>
      <c r="L2131" s="36"/>
    </row>
    <row r="2132" spans="1:12" hidden="1">
      <c r="A2132" s="42">
        <f>1+A2131</f>
        <v>2131</v>
      </c>
      <c r="B2132" s="36" t="s">
        <v>8</v>
      </c>
      <c r="C2132" s="36" t="s">
        <v>11187</v>
      </c>
      <c r="D2132" s="36" t="s">
        <v>11219</v>
      </c>
      <c r="E2132" s="9" t="s">
        <v>11086</v>
      </c>
      <c r="F2132" s="9" t="s">
        <v>11217</v>
      </c>
      <c r="G2132" s="36" t="s">
        <v>14</v>
      </c>
      <c r="H2132" s="36" t="str">
        <f>IFERROR(VLOOKUP(Table2[[#This Row], [Ticket]],Okey!A:B,2,0),"")</f>
        <v/>
      </c>
      <c r="I2132" s="36"/>
      <c r="J2132" s="36" t="s">
        <v>17</v>
      </c>
      <c r="K2132" s="36" t="s">
        <v>11489</v>
      </c>
      <c r="L2132" s="36"/>
    </row>
    <row r="2133" spans="1:12" hidden="1">
      <c r="A2133" s="42">
        <f>1+A2132</f>
        <v>2132</v>
      </c>
      <c r="B2133" s="36" t="s">
        <v>8</v>
      </c>
      <c r="C2133" s="36" t="s">
        <v>11187</v>
      </c>
      <c r="D2133" s="9" t="s">
        <v>11220</v>
      </c>
      <c r="E2133" s="9" t="s">
        <v>11087</v>
      </c>
      <c r="F2133" s="9" t="s">
        <v>11217</v>
      </c>
      <c r="G2133" s="36" t="s">
        <v>14</v>
      </c>
      <c r="H2133" s="36" t="str">
        <f>IFERROR(VLOOKUP(Table2[[#This Row], [Ticket]],Okey!A:B,2,0),"")</f>
        <v/>
      </c>
      <c r="I2133" s="36"/>
      <c r="J2133" s="36" t="s">
        <v>17</v>
      </c>
      <c r="K2133" s="36" t="s">
        <v>11489</v>
      </c>
      <c r="L2133" s="36"/>
    </row>
    <row r="2134" spans="1:12" hidden="1">
      <c r="A2134" s="42">
        <f>1+A2133</f>
        <v>2133</v>
      </c>
      <c r="B2134" s="36" t="s">
        <v>8</v>
      </c>
      <c r="C2134" s="36" t="s">
        <v>11187</v>
      </c>
      <c r="D2134" s="36" t="s">
        <v>11221</v>
      </c>
      <c r="E2134" s="9" t="s">
        <v>11088</v>
      </c>
      <c r="F2134" s="9" t="s">
        <v>11217</v>
      </c>
      <c r="G2134" s="36" t="s">
        <v>14</v>
      </c>
      <c r="H2134" s="36" t="str">
        <f>IFERROR(VLOOKUP(Table2[[#This Row], [Ticket]],Okey!A:B,2,0),"")</f>
        <v/>
      </c>
      <c r="I2134" s="36"/>
      <c r="J2134" s="36" t="s">
        <v>17</v>
      </c>
      <c r="K2134" s="36" t="s">
        <v>11489</v>
      </c>
      <c r="L2134" s="36"/>
    </row>
    <row r="2135" spans="1:12" hidden="1">
      <c r="A2135" s="42">
        <f>1+A2134</f>
        <v>2134</v>
      </c>
      <c r="B2135" s="36" t="s">
        <v>8</v>
      </c>
      <c r="C2135" s="36" t="s">
        <v>11187</v>
      </c>
      <c r="D2135" s="36" t="s">
        <v>11222</v>
      </c>
      <c r="E2135" s="9" t="s">
        <v>11089</v>
      </c>
      <c r="F2135" s="9" t="s">
        <v>11217</v>
      </c>
      <c r="G2135" s="36" t="s">
        <v>14</v>
      </c>
      <c r="H2135" s="36" t="str">
        <f>IFERROR(VLOOKUP(Table2[[#This Row], [Ticket]],Okey!A:B,2,0),"")</f>
        <v/>
      </c>
      <c r="I2135" s="36"/>
      <c r="J2135" s="36" t="s">
        <v>17</v>
      </c>
      <c r="K2135" s="36" t="s">
        <v>11489</v>
      </c>
      <c r="L2135" s="36"/>
    </row>
    <row r="2136" spans="1:12" hidden="1">
      <c r="A2136" s="42">
        <f>1+A2135</f>
        <v>2135</v>
      </c>
      <c r="B2136" s="36" t="s">
        <v>8</v>
      </c>
      <c r="C2136" s="36" t="s">
        <v>11187</v>
      </c>
      <c r="D2136" s="9" t="s">
        <v>11223</v>
      </c>
      <c r="E2136" s="9" t="s">
        <v>11090</v>
      </c>
      <c r="F2136" s="9" t="s">
        <v>11217</v>
      </c>
      <c r="G2136" s="36" t="s">
        <v>14</v>
      </c>
      <c r="H2136" s="36" t="str">
        <f>IFERROR(VLOOKUP(Table2[[#This Row], [Ticket]],Okey!A:B,2,0),"")</f>
        <v/>
      </c>
      <c r="I2136" s="36"/>
      <c r="J2136" s="36" t="s">
        <v>17</v>
      </c>
      <c r="K2136" s="36" t="s">
        <v>11489</v>
      </c>
      <c r="L2136" s="36"/>
    </row>
    <row r="2137" spans="1:12" hidden="1">
      <c r="A2137" s="42">
        <f>1+A2136</f>
        <v>2136</v>
      </c>
      <c r="B2137" s="36" t="s">
        <v>8</v>
      </c>
      <c r="C2137" s="36" t="s">
        <v>11187</v>
      </c>
      <c r="D2137" s="36" t="s">
        <v>11224</v>
      </c>
      <c r="E2137" s="9" t="s">
        <v>11091</v>
      </c>
      <c r="F2137" s="9" t="s">
        <v>11217</v>
      </c>
      <c r="G2137" s="36" t="s">
        <v>14</v>
      </c>
      <c r="H2137" s="36" t="str">
        <f>IFERROR(VLOOKUP(Table2[[#This Row], [Ticket]],Okey!A:B,2,0),"")</f>
        <v/>
      </c>
      <c r="I2137" s="36"/>
      <c r="J2137" s="36" t="s">
        <v>17</v>
      </c>
      <c r="K2137" s="36" t="s">
        <v>11489</v>
      </c>
      <c r="L2137" s="36"/>
    </row>
    <row r="2138" spans="1:12" hidden="1">
      <c r="A2138" s="42">
        <f>1+A2137</f>
        <v>2137</v>
      </c>
      <c r="B2138" s="36" t="s">
        <v>8</v>
      </c>
      <c r="C2138" s="36" t="s">
        <v>11187</v>
      </c>
      <c r="D2138" s="9" t="s">
        <v>11225</v>
      </c>
      <c r="E2138" s="9" t="s">
        <v>11092</v>
      </c>
      <c r="F2138" s="9" t="s">
        <v>11217</v>
      </c>
      <c r="G2138" s="36" t="s">
        <v>14</v>
      </c>
      <c r="H2138" s="36" t="str">
        <f>IFERROR(VLOOKUP(Table2[[#This Row], [Ticket]],Okey!A:B,2,0),"")</f>
        <v/>
      </c>
      <c r="I2138" s="36"/>
      <c r="J2138" s="36" t="s">
        <v>17</v>
      </c>
      <c r="K2138" s="36" t="s">
        <v>11489</v>
      </c>
      <c r="L2138" s="36"/>
    </row>
    <row r="2139" spans="1:12" hidden="1">
      <c r="A2139" s="42">
        <f>1+A2138</f>
        <v>2138</v>
      </c>
      <c r="B2139" s="36" t="s">
        <v>8</v>
      </c>
      <c r="C2139" s="36" t="s">
        <v>11187</v>
      </c>
      <c r="D2139" s="36" t="s">
        <v>11226</v>
      </c>
      <c r="E2139" s="9" t="s">
        <v>11093</v>
      </c>
      <c r="F2139" s="9" t="s">
        <v>11217</v>
      </c>
      <c r="G2139" s="36" t="s">
        <v>14</v>
      </c>
      <c r="H2139" s="36" t="str">
        <f>IFERROR(VLOOKUP(Table2[[#This Row], [Ticket]],Okey!A:B,2,0),"")</f>
        <v/>
      </c>
      <c r="I2139" s="36"/>
      <c r="J2139" s="36" t="s">
        <v>17</v>
      </c>
      <c r="K2139" s="36" t="s">
        <v>11489</v>
      </c>
      <c r="L2139" s="36"/>
    </row>
    <row r="2140" spans="1:12" hidden="1">
      <c r="A2140" s="42">
        <f>1+A2139</f>
        <v>2139</v>
      </c>
      <c r="B2140" s="36" t="s">
        <v>8</v>
      </c>
      <c r="C2140" s="36" t="s">
        <v>11187</v>
      </c>
      <c r="D2140" s="9" t="s">
        <v>11227</v>
      </c>
      <c r="E2140" s="9" t="s">
        <v>11094</v>
      </c>
      <c r="F2140" s="9" t="s">
        <v>3707</v>
      </c>
      <c r="G2140" s="36" t="s">
        <v>14</v>
      </c>
      <c r="H2140" s="36" t="str">
        <f>IFERROR(VLOOKUP(Table2[[#This Row], [Ticket]],Okey!A:B,2,0),"")</f>
        <v/>
      </c>
      <c r="I2140" s="36"/>
      <c r="J2140" s="36" t="s">
        <v>17</v>
      </c>
      <c r="K2140" s="36" t="s">
        <v>11489</v>
      </c>
      <c r="L2140" s="36"/>
    </row>
    <row r="2141" spans="1:12" hidden="1">
      <c r="A2141" s="42">
        <f>1+A2140</f>
        <v>2140</v>
      </c>
      <c r="B2141" s="36" t="s">
        <v>8</v>
      </c>
      <c r="C2141" s="36" t="s">
        <v>11187</v>
      </c>
      <c r="D2141" s="36" t="s">
        <v>11228</v>
      </c>
      <c r="E2141" s="9" t="s">
        <v>11095</v>
      </c>
      <c r="F2141" s="9" t="s">
        <v>11227</v>
      </c>
      <c r="G2141" s="36" t="s">
        <v>14</v>
      </c>
      <c r="H2141" s="36" t="str">
        <f>IFERROR(VLOOKUP(Table2[[#This Row], [Ticket]],Okey!A:B,2,0),"")</f>
        <v/>
      </c>
      <c r="I2141" s="36"/>
      <c r="J2141" s="36" t="s">
        <v>17</v>
      </c>
      <c r="K2141" s="36" t="s">
        <v>11489</v>
      </c>
      <c r="L2141" s="36"/>
    </row>
    <row r="2142" spans="1:12" hidden="1">
      <c r="A2142" s="42">
        <f>1+A2141</f>
        <v>2141</v>
      </c>
      <c r="B2142" s="36" t="s">
        <v>8</v>
      </c>
      <c r="C2142" s="36" t="s">
        <v>11187</v>
      </c>
      <c r="D2142" s="9" t="s">
        <v>11229</v>
      </c>
      <c r="E2142" s="9" t="s">
        <v>11096</v>
      </c>
      <c r="F2142" s="9" t="s">
        <v>11227</v>
      </c>
      <c r="G2142" s="36" t="s">
        <v>14</v>
      </c>
      <c r="H2142" s="36" t="str">
        <f>IFERROR(VLOOKUP(Table2[[#This Row], [Ticket]],Okey!A:B,2,0),"")</f>
        <v/>
      </c>
      <c r="I2142" s="36"/>
      <c r="J2142" s="36" t="s">
        <v>17</v>
      </c>
      <c r="K2142" s="36" t="s">
        <v>11489</v>
      </c>
      <c r="L2142" s="36"/>
    </row>
    <row r="2143" spans="1:12" hidden="1">
      <c r="A2143" s="42">
        <f>1+A2142</f>
        <v>2142</v>
      </c>
      <c r="B2143" s="36" t="s">
        <v>8</v>
      </c>
      <c r="C2143" s="36" t="s">
        <v>11187</v>
      </c>
      <c r="D2143" s="36" t="s">
        <v>11230</v>
      </c>
      <c r="E2143" s="9" t="s">
        <v>11097</v>
      </c>
      <c r="F2143" s="9" t="s">
        <v>11227</v>
      </c>
      <c r="G2143" s="36" t="s">
        <v>14</v>
      </c>
      <c r="H2143" s="36" t="str">
        <f>IFERROR(VLOOKUP(Table2[[#This Row], [Ticket]],Okey!A:B,2,0),"")</f>
        <v/>
      </c>
      <c r="I2143" s="36"/>
      <c r="J2143" s="36" t="s">
        <v>17</v>
      </c>
      <c r="K2143" s="36" t="s">
        <v>11489</v>
      </c>
      <c r="L2143" s="36"/>
    </row>
    <row r="2144" spans="1:12" hidden="1">
      <c r="A2144" s="42">
        <f>1+A2143</f>
        <v>2143</v>
      </c>
      <c r="B2144" s="36" t="s">
        <v>8</v>
      </c>
      <c r="C2144" s="36" t="s">
        <v>11187</v>
      </c>
      <c r="D2144" s="9" t="s">
        <v>11231</v>
      </c>
      <c r="E2144" s="9" t="s">
        <v>11098</v>
      </c>
      <c r="F2144" s="9" t="s">
        <v>11227</v>
      </c>
      <c r="G2144" s="36" t="s">
        <v>14</v>
      </c>
      <c r="H2144" s="36" t="str">
        <f>IFERROR(VLOOKUP(Table2[[#This Row], [Ticket]],Okey!A:B,2,0),"")</f>
        <v/>
      </c>
      <c r="I2144" s="36"/>
      <c r="J2144" s="36" t="s">
        <v>17</v>
      </c>
      <c r="K2144" s="36" t="s">
        <v>11489</v>
      </c>
      <c r="L2144" s="36"/>
    </row>
    <row r="2145" spans="1:12" hidden="1">
      <c r="A2145" s="42">
        <f>1+A2144</f>
        <v>2144</v>
      </c>
      <c r="B2145" s="36" t="s">
        <v>8</v>
      </c>
      <c r="C2145" s="36" t="s">
        <v>11187</v>
      </c>
      <c r="D2145" s="36" t="s">
        <v>11232</v>
      </c>
      <c r="E2145" s="9" t="s">
        <v>11099</v>
      </c>
      <c r="F2145" s="9" t="s">
        <v>11227</v>
      </c>
      <c r="G2145" s="36" t="s">
        <v>14</v>
      </c>
      <c r="H2145" s="36" t="str">
        <f>IFERROR(VLOOKUP(Table2[[#This Row], [Ticket]],Okey!A:B,2,0),"")</f>
        <v/>
      </c>
      <c r="I2145" s="36"/>
      <c r="J2145" s="36" t="s">
        <v>17</v>
      </c>
      <c r="K2145" s="36" t="s">
        <v>11489</v>
      </c>
      <c r="L2145" s="36"/>
    </row>
    <row r="2146" spans="1:12" hidden="1">
      <c r="A2146" s="42">
        <f>1+A2145</f>
        <v>2145</v>
      </c>
      <c r="B2146" s="36" t="s">
        <v>8</v>
      </c>
      <c r="C2146" s="36" t="s">
        <v>11187</v>
      </c>
      <c r="D2146" s="9" t="s">
        <v>11233</v>
      </c>
      <c r="E2146" s="9" t="s">
        <v>11100</v>
      </c>
      <c r="F2146" s="9" t="s">
        <v>11227</v>
      </c>
      <c r="G2146" s="36" t="s">
        <v>14</v>
      </c>
      <c r="H2146" s="36" t="str">
        <f>IFERROR(VLOOKUP(Table2[[#This Row], [Ticket]],Okey!A:B,2,0),"")</f>
        <v/>
      </c>
      <c r="I2146" s="36"/>
      <c r="J2146" s="36" t="s">
        <v>17</v>
      </c>
      <c r="K2146" s="36" t="s">
        <v>11489</v>
      </c>
      <c r="L2146" s="36"/>
    </row>
    <row r="2147" spans="1:12" hidden="1">
      <c r="A2147" s="42">
        <f>1+A2146</f>
        <v>2146</v>
      </c>
      <c r="B2147" s="36" t="s">
        <v>8</v>
      </c>
      <c r="C2147" s="36" t="s">
        <v>11187</v>
      </c>
      <c r="D2147" s="36" t="s">
        <v>11234</v>
      </c>
      <c r="E2147" s="9" t="s">
        <v>11101</v>
      </c>
      <c r="F2147" s="9" t="s">
        <v>3707</v>
      </c>
      <c r="G2147" s="36" t="s">
        <v>14</v>
      </c>
      <c r="H2147" s="36" t="str">
        <f>IFERROR(VLOOKUP(Table2[[#This Row], [Ticket]],Okey!A:B,2,0),"")</f>
        <v/>
      </c>
      <c r="I2147" s="36"/>
      <c r="J2147" s="36" t="s">
        <v>17</v>
      </c>
      <c r="K2147" s="36" t="s">
        <v>11489</v>
      </c>
      <c r="L2147" s="36"/>
    </row>
    <row r="2148" spans="1:12" hidden="1">
      <c r="A2148" s="42">
        <f>1+A2147</f>
        <v>2147</v>
      </c>
      <c r="B2148" s="36" t="s">
        <v>8</v>
      </c>
      <c r="C2148" s="36" t="s">
        <v>11187</v>
      </c>
      <c r="D2148" s="9" t="s">
        <v>11235</v>
      </c>
      <c r="E2148" s="9" t="s">
        <v>11102</v>
      </c>
      <c r="F2148" s="9" t="s">
        <v>11234</v>
      </c>
      <c r="G2148" s="36" t="s">
        <v>14</v>
      </c>
      <c r="H2148" s="36" t="str">
        <f>IFERROR(VLOOKUP(Table2[[#This Row], [Ticket]],Okey!A:B,2,0),"")</f>
        <v/>
      </c>
      <c r="I2148" s="36"/>
      <c r="J2148" s="36" t="s">
        <v>17</v>
      </c>
      <c r="K2148" s="36" t="s">
        <v>11489</v>
      </c>
      <c r="L2148" s="36"/>
    </row>
    <row r="2149" spans="1:12" hidden="1">
      <c r="A2149" s="42">
        <f>1+A2148</f>
        <v>2148</v>
      </c>
      <c r="B2149" s="36" t="s">
        <v>8</v>
      </c>
      <c r="C2149" s="36" t="s">
        <v>11187</v>
      </c>
      <c r="D2149" s="36" t="s">
        <v>11236</v>
      </c>
      <c r="E2149" s="9" t="s">
        <v>11103</v>
      </c>
      <c r="F2149" s="9" t="s">
        <v>11234</v>
      </c>
      <c r="G2149" s="36" t="s">
        <v>14</v>
      </c>
      <c r="H2149" s="36" t="str">
        <f>IFERROR(VLOOKUP(Table2[[#This Row], [Ticket]],Okey!A:B,2,0),"")</f>
        <v/>
      </c>
      <c r="I2149" s="36"/>
      <c r="J2149" s="36" t="s">
        <v>17</v>
      </c>
      <c r="K2149" s="36" t="s">
        <v>11489</v>
      </c>
      <c r="L2149" s="36"/>
    </row>
    <row r="2150" spans="1:12" hidden="1">
      <c r="A2150" s="42">
        <f>1+A2149</f>
        <v>2149</v>
      </c>
      <c r="B2150" s="36" t="s">
        <v>8</v>
      </c>
      <c r="C2150" s="36" t="s">
        <v>11187</v>
      </c>
      <c r="D2150" s="9" t="s">
        <v>11237</v>
      </c>
      <c r="E2150" s="9" t="s">
        <v>11104</v>
      </c>
      <c r="F2150" s="9" t="s">
        <v>11234</v>
      </c>
      <c r="G2150" s="36" t="s">
        <v>14</v>
      </c>
      <c r="H2150" s="36" t="str">
        <f>IFERROR(VLOOKUP(Table2[[#This Row], [Ticket]],Okey!A:B,2,0),"")</f>
        <v/>
      </c>
      <c r="I2150" s="36"/>
      <c r="J2150" s="36" t="s">
        <v>17</v>
      </c>
      <c r="K2150" s="36" t="s">
        <v>11489</v>
      </c>
      <c r="L2150" s="36"/>
    </row>
    <row r="2151" spans="1:12" hidden="1">
      <c r="A2151" s="42">
        <f>1+A2150</f>
        <v>2150</v>
      </c>
      <c r="B2151" s="36" t="s">
        <v>8</v>
      </c>
      <c r="C2151" s="36" t="s">
        <v>11187</v>
      </c>
      <c r="D2151" s="36" t="s">
        <v>11238</v>
      </c>
      <c r="E2151" s="9" t="s">
        <v>11105</v>
      </c>
      <c r="F2151" s="9" t="s">
        <v>11234</v>
      </c>
      <c r="G2151" s="36" t="s">
        <v>14</v>
      </c>
      <c r="H2151" s="36" t="str">
        <f>IFERROR(VLOOKUP(Table2[[#This Row], [Ticket]],Okey!A:B,2,0),"")</f>
        <v/>
      </c>
      <c r="I2151" s="36"/>
      <c r="J2151" s="36" t="s">
        <v>17</v>
      </c>
      <c r="K2151" s="36" t="s">
        <v>11489</v>
      </c>
      <c r="L2151" s="36"/>
    </row>
    <row r="2152" spans="1:12" hidden="1">
      <c r="A2152" s="42">
        <f>1+A2151</f>
        <v>2151</v>
      </c>
      <c r="B2152" s="36" t="s">
        <v>8</v>
      </c>
      <c r="C2152" s="36" t="s">
        <v>11187</v>
      </c>
      <c r="D2152" s="9" t="s">
        <v>11239</v>
      </c>
      <c r="E2152" s="9" t="s">
        <v>11106</v>
      </c>
      <c r="F2152" s="9" t="s">
        <v>11234</v>
      </c>
      <c r="G2152" s="36" t="s">
        <v>14</v>
      </c>
      <c r="H2152" s="36" t="str">
        <f>IFERROR(VLOOKUP(Table2[[#This Row], [Ticket]],Okey!A:B,2,0),"")</f>
        <v/>
      </c>
      <c r="I2152" s="36"/>
      <c r="J2152" s="36" t="s">
        <v>17</v>
      </c>
      <c r="K2152" s="36" t="s">
        <v>11489</v>
      </c>
      <c r="L2152" s="36"/>
    </row>
    <row r="2153" spans="1:12" hidden="1">
      <c r="A2153" s="42">
        <f>1+A2152</f>
        <v>2152</v>
      </c>
      <c r="B2153" s="36" t="s">
        <v>8</v>
      </c>
      <c r="C2153" s="36" t="s">
        <v>11187</v>
      </c>
      <c r="D2153" s="36" t="s">
        <v>11240</v>
      </c>
      <c r="E2153" s="9" t="s">
        <v>11107</v>
      </c>
      <c r="F2153" s="9" t="s">
        <v>11234</v>
      </c>
      <c r="G2153" s="36" t="s">
        <v>14</v>
      </c>
      <c r="H2153" s="36" t="str">
        <f>IFERROR(VLOOKUP(Table2[[#This Row], [Ticket]],Okey!A:B,2,0),"")</f>
        <v/>
      </c>
      <c r="I2153" s="36"/>
      <c r="J2153" s="36" t="s">
        <v>17</v>
      </c>
      <c r="K2153" s="36" t="s">
        <v>11489</v>
      </c>
      <c r="L2153" s="36"/>
    </row>
    <row r="2154" spans="1:12" hidden="1">
      <c r="A2154" s="42">
        <f>1+A2153</f>
        <v>2153</v>
      </c>
      <c r="B2154" s="36" t="s">
        <v>8</v>
      </c>
      <c r="C2154" s="36" t="s">
        <v>11187</v>
      </c>
      <c r="D2154" s="36" t="s">
        <v>11241</v>
      </c>
      <c r="E2154" s="9" t="s">
        <v>11108</v>
      </c>
      <c r="F2154" s="9" t="s">
        <v>3707</v>
      </c>
      <c r="G2154" s="36" t="s">
        <v>14</v>
      </c>
      <c r="H2154" s="36" t="str">
        <f>IFERROR(VLOOKUP(Table2[[#This Row], [Ticket]],Okey!A:B,2,0),"")</f>
        <v/>
      </c>
      <c r="I2154" s="36"/>
      <c r="J2154" s="36" t="s">
        <v>17</v>
      </c>
      <c r="K2154" s="36" t="s">
        <v>11489</v>
      </c>
      <c r="L2154" s="36"/>
    </row>
    <row r="2155" spans="1:12" hidden="1">
      <c r="A2155" s="42">
        <f>1+A2154</f>
        <v>2154</v>
      </c>
      <c r="B2155" s="36" t="s">
        <v>8</v>
      </c>
      <c r="C2155" s="36" t="s">
        <v>11187</v>
      </c>
      <c r="D2155" s="9" t="s">
        <v>11242</v>
      </c>
      <c r="E2155" s="9" t="s">
        <v>11109</v>
      </c>
      <c r="F2155" s="9" t="s">
        <v>11241</v>
      </c>
      <c r="G2155" s="36" t="s">
        <v>14</v>
      </c>
      <c r="H2155" s="36" t="str">
        <f>IFERROR(VLOOKUP(Table2[[#This Row], [Ticket]],Okey!A:B,2,0),"")</f>
        <v/>
      </c>
      <c r="I2155" s="36"/>
      <c r="J2155" s="36" t="s">
        <v>17</v>
      </c>
      <c r="K2155" s="36" t="s">
        <v>11489</v>
      </c>
      <c r="L2155" s="36"/>
    </row>
    <row r="2156" spans="1:12" hidden="1">
      <c r="A2156" s="42">
        <f>1+A2155</f>
        <v>2155</v>
      </c>
      <c r="B2156" s="36" t="s">
        <v>8</v>
      </c>
      <c r="C2156" s="36" t="s">
        <v>11187</v>
      </c>
      <c r="D2156" s="36" t="s">
        <v>11243</v>
      </c>
      <c r="E2156" s="9" t="s">
        <v>11110</v>
      </c>
      <c r="F2156" s="9" t="s">
        <v>11241</v>
      </c>
      <c r="G2156" s="36" t="s">
        <v>14</v>
      </c>
      <c r="H2156" s="36" t="str">
        <f>IFERROR(VLOOKUP(Table2[[#This Row], [Ticket]],Okey!A:B,2,0),"")</f>
        <v/>
      </c>
      <c r="I2156" s="36"/>
      <c r="J2156" s="36" t="s">
        <v>17</v>
      </c>
      <c r="K2156" s="36" t="s">
        <v>11489</v>
      </c>
      <c r="L2156" s="36"/>
    </row>
    <row r="2157" spans="1:12" hidden="1">
      <c r="A2157" s="42">
        <f>1+A2156</f>
        <v>2156</v>
      </c>
      <c r="B2157" s="36" t="s">
        <v>8</v>
      </c>
      <c r="C2157" s="36" t="s">
        <v>11187</v>
      </c>
      <c r="D2157" s="9" t="s">
        <v>11244</v>
      </c>
      <c r="E2157" s="9" t="s">
        <v>11111</v>
      </c>
      <c r="F2157" s="9" t="s">
        <v>11241</v>
      </c>
      <c r="G2157" s="36" t="s">
        <v>14</v>
      </c>
      <c r="H2157" s="36" t="str">
        <f>IFERROR(VLOOKUP(Table2[[#This Row], [Ticket]],Okey!A:B,2,0),"")</f>
        <v/>
      </c>
      <c r="I2157" s="36"/>
      <c r="J2157" s="36" t="s">
        <v>17</v>
      </c>
      <c r="K2157" s="36" t="s">
        <v>11489</v>
      </c>
      <c r="L2157" s="36"/>
    </row>
    <row r="2158" spans="1:12" hidden="1">
      <c r="A2158" s="42">
        <f>1+A2157</f>
        <v>2157</v>
      </c>
      <c r="B2158" s="36" t="s">
        <v>8</v>
      </c>
      <c r="C2158" s="36" t="s">
        <v>11187</v>
      </c>
      <c r="D2158" s="36" t="s">
        <v>11245</v>
      </c>
      <c r="E2158" s="9" t="s">
        <v>11112</v>
      </c>
      <c r="F2158" s="9" t="s">
        <v>11241</v>
      </c>
      <c r="G2158" s="36" t="s">
        <v>14</v>
      </c>
      <c r="H2158" s="36" t="str">
        <f>IFERROR(VLOOKUP(Table2[[#This Row], [Ticket]],Okey!A:B,2,0),"")</f>
        <v/>
      </c>
      <c r="I2158" s="36"/>
      <c r="J2158" s="36" t="s">
        <v>17</v>
      </c>
      <c r="K2158" s="36" t="s">
        <v>11489</v>
      </c>
      <c r="L2158" s="36"/>
    </row>
    <row r="2159" spans="1:12" hidden="1">
      <c r="A2159" s="42">
        <f>1+A2158</f>
        <v>2158</v>
      </c>
      <c r="B2159" s="36" t="s">
        <v>8</v>
      </c>
      <c r="C2159" s="36" t="s">
        <v>11187</v>
      </c>
      <c r="D2159" s="9" t="s">
        <v>11246</v>
      </c>
      <c r="E2159" s="9" t="s">
        <v>11113</v>
      </c>
      <c r="F2159" s="9" t="s">
        <v>11241</v>
      </c>
      <c r="G2159" s="36" t="s">
        <v>14</v>
      </c>
      <c r="H2159" s="36" t="str">
        <f>IFERROR(VLOOKUP(Table2[[#This Row], [Ticket]],Okey!A:B,2,0),"")</f>
        <v/>
      </c>
      <c r="I2159" s="36"/>
      <c r="J2159" s="36" t="s">
        <v>17</v>
      </c>
      <c r="K2159" s="36" t="s">
        <v>11489</v>
      </c>
      <c r="L2159" s="36"/>
    </row>
    <row r="2160" spans="1:12" hidden="1">
      <c r="A2160" s="42">
        <f>1+A2159</f>
        <v>2159</v>
      </c>
      <c r="B2160" s="36" t="s">
        <v>8</v>
      </c>
      <c r="C2160" s="36" t="s">
        <v>11187</v>
      </c>
      <c r="D2160" s="36" t="s">
        <v>11247</v>
      </c>
      <c r="E2160" s="9" t="s">
        <v>11114</v>
      </c>
      <c r="F2160" s="9" t="s">
        <v>5284</v>
      </c>
      <c r="G2160" s="36" t="s">
        <v>14</v>
      </c>
      <c r="H2160" s="36" t="str">
        <f>IFERROR(VLOOKUP(Table2[[#This Row], [Ticket]],Okey!A:B,2,0),"")</f>
        <v/>
      </c>
      <c r="I2160" s="36"/>
      <c r="J2160" s="36" t="s">
        <v>17</v>
      </c>
      <c r="K2160" s="36" t="s">
        <v>11489</v>
      </c>
      <c r="L2160" s="36"/>
    </row>
    <row r="2161" spans="1:12" hidden="1">
      <c r="A2161" s="42">
        <f>1+A2160</f>
        <v>2160</v>
      </c>
      <c r="B2161" s="36" t="s">
        <v>8</v>
      </c>
      <c r="C2161" s="36" t="s">
        <v>11187</v>
      </c>
      <c r="D2161" s="9" t="s">
        <v>11248</v>
      </c>
      <c r="E2161" s="9" t="s">
        <v>11115</v>
      </c>
      <c r="F2161" s="9" t="s">
        <v>11247</v>
      </c>
      <c r="G2161" s="36" t="s">
        <v>14</v>
      </c>
      <c r="H2161" s="36" t="str">
        <f>IFERROR(VLOOKUP(Table2[[#This Row], [Ticket]],Okey!A:B,2,0),"")</f>
        <v/>
      </c>
      <c r="I2161" s="36"/>
      <c r="J2161" s="36" t="s">
        <v>17</v>
      </c>
      <c r="K2161" s="36" t="s">
        <v>11489</v>
      </c>
      <c r="L2161" s="36"/>
    </row>
    <row r="2162" spans="1:12" hidden="1">
      <c r="A2162" s="42">
        <f>1+A2161</f>
        <v>2161</v>
      </c>
      <c r="B2162" s="36" t="s">
        <v>8</v>
      </c>
      <c r="C2162" s="36" t="s">
        <v>11187</v>
      </c>
      <c r="D2162" s="36" t="s">
        <v>11249</v>
      </c>
      <c r="E2162" s="9" t="s">
        <v>11116</v>
      </c>
      <c r="F2162" s="9" t="s">
        <v>11247</v>
      </c>
      <c r="G2162" s="36" t="s">
        <v>14</v>
      </c>
      <c r="H2162" s="36" t="str">
        <f>IFERROR(VLOOKUP(Table2[[#This Row], [Ticket]],Okey!A:B,2,0),"")</f>
        <v/>
      </c>
      <c r="I2162" s="36"/>
      <c r="J2162" s="36" t="s">
        <v>17</v>
      </c>
      <c r="K2162" s="36" t="s">
        <v>11489</v>
      </c>
      <c r="L2162" s="36"/>
    </row>
    <row r="2163" spans="1:12" hidden="1">
      <c r="A2163" s="42">
        <f>1+A2162</f>
        <v>2162</v>
      </c>
      <c r="B2163" s="36" t="s">
        <v>8</v>
      </c>
      <c r="C2163" s="36" t="s">
        <v>11187</v>
      </c>
      <c r="D2163" s="9" t="s">
        <v>11250</v>
      </c>
      <c r="E2163" s="9" t="s">
        <v>11117</v>
      </c>
      <c r="F2163" s="9" t="s">
        <v>11247</v>
      </c>
      <c r="G2163" s="36" t="s">
        <v>14</v>
      </c>
      <c r="H2163" s="36" t="str">
        <f>IFERROR(VLOOKUP(Table2[[#This Row], [Ticket]],Okey!A:B,2,0),"")</f>
        <v/>
      </c>
      <c r="I2163" s="36"/>
      <c r="J2163" s="36" t="s">
        <v>17</v>
      </c>
      <c r="K2163" s="36" t="s">
        <v>11489</v>
      </c>
      <c r="L2163" s="36"/>
    </row>
    <row r="2164" spans="1:12" hidden="1">
      <c r="A2164" s="42">
        <f>1+A2163</f>
        <v>2163</v>
      </c>
      <c r="B2164" s="36" t="s">
        <v>8</v>
      </c>
      <c r="C2164" s="36" t="s">
        <v>11187</v>
      </c>
      <c r="D2164" s="36" t="s">
        <v>11251</v>
      </c>
      <c r="E2164" s="9" t="s">
        <v>11118</v>
      </c>
      <c r="F2164" s="9" t="s">
        <v>5284</v>
      </c>
      <c r="G2164" s="36" t="s">
        <v>14</v>
      </c>
      <c r="H2164" s="36" t="str">
        <f>IFERROR(VLOOKUP(Table2[[#This Row], [Ticket]],Okey!A:B,2,0),"")</f>
        <v/>
      </c>
      <c r="I2164" s="36"/>
      <c r="J2164" s="36" t="s">
        <v>17</v>
      </c>
      <c r="K2164" s="36" t="s">
        <v>11489</v>
      </c>
      <c r="L2164" s="36"/>
    </row>
    <row r="2165" spans="1:12" hidden="1">
      <c r="A2165" s="42">
        <f>1+A2164</f>
        <v>2164</v>
      </c>
      <c r="B2165" s="36" t="s">
        <v>8</v>
      </c>
      <c r="C2165" s="36" t="s">
        <v>11187</v>
      </c>
      <c r="D2165" s="9" t="s">
        <v>11252</v>
      </c>
      <c r="E2165" s="9" t="s">
        <v>11119</v>
      </c>
      <c r="F2165" s="9" t="s">
        <v>11251</v>
      </c>
      <c r="G2165" s="36" t="s">
        <v>14</v>
      </c>
      <c r="H2165" s="36" t="str">
        <f>IFERROR(VLOOKUP(Table2[[#This Row], [Ticket]],Okey!A:B,2,0),"")</f>
        <v/>
      </c>
      <c r="I2165" s="36"/>
      <c r="J2165" s="36" t="s">
        <v>17</v>
      </c>
      <c r="K2165" s="36" t="s">
        <v>11489</v>
      </c>
      <c r="L2165" s="36"/>
    </row>
    <row r="2166" spans="1:12" hidden="1">
      <c r="A2166" s="42">
        <f>1+A2165</f>
        <v>2165</v>
      </c>
      <c r="B2166" s="36" t="s">
        <v>8</v>
      </c>
      <c r="C2166" s="36" t="s">
        <v>11187</v>
      </c>
      <c r="D2166" s="36" t="s">
        <v>11253</v>
      </c>
      <c r="E2166" s="9" t="s">
        <v>11120</v>
      </c>
      <c r="F2166" s="9" t="s">
        <v>5284</v>
      </c>
      <c r="G2166" s="36" t="s">
        <v>14</v>
      </c>
      <c r="H2166" s="36" t="str">
        <f>IFERROR(VLOOKUP(Table2[[#This Row], [Ticket]],Okey!A:B,2,0),"")</f>
        <v/>
      </c>
      <c r="I2166" s="36"/>
      <c r="J2166" s="36" t="s">
        <v>17</v>
      </c>
      <c r="K2166" s="36" t="s">
        <v>11489</v>
      </c>
      <c r="L2166" s="36"/>
    </row>
    <row r="2167" spans="1:12" hidden="1">
      <c r="A2167" s="42">
        <f>1+A2166</f>
        <v>2166</v>
      </c>
      <c r="B2167" s="36" t="s">
        <v>8</v>
      </c>
      <c r="C2167" s="36" t="s">
        <v>11187</v>
      </c>
      <c r="D2167" s="9" t="s">
        <v>11254</v>
      </c>
      <c r="E2167" s="9" t="s">
        <v>11121</v>
      </c>
      <c r="F2167" s="9" t="s">
        <v>11253</v>
      </c>
      <c r="G2167" s="36" t="s">
        <v>14</v>
      </c>
      <c r="H2167" s="36" t="str">
        <f>IFERROR(VLOOKUP(Table2[[#This Row], [Ticket]],Okey!A:B,2,0),"")</f>
        <v/>
      </c>
      <c r="I2167" s="36"/>
      <c r="J2167" s="36" t="s">
        <v>17</v>
      </c>
      <c r="K2167" s="36" t="s">
        <v>11489</v>
      </c>
      <c r="L2167" s="36"/>
    </row>
    <row r="2168" spans="1:12" hidden="1">
      <c r="A2168" s="42">
        <f>1+A2167</f>
        <v>2167</v>
      </c>
      <c r="B2168" s="36" t="s">
        <v>8</v>
      </c>
      <c r="C2168" s="36" t="s">
        <v>11187</v>
      </c>
      <c r="D2168" s="36" t="s">
        <v>11255</v>
      </c>
      <c r="E2168" s="9" t="s">
        <v>11122</v>
      </c>
      <c r="F2168" s="9" t="s">
        <v>5278</v>
      </c>
      <c r="G2168" s="36" t="s">
        <v>14</v>
      </c>
      <c r="H2168" s="36" t="str">
        <f>IFERROR(VLOOKUP(Table2[[#This Row], [Ticket]],Okey!A:B,2,0),"")</f>
        <v/>
      </c>
      <c r="I2168" s="36"/>
      <c r="J2168" s="36" t="s">
        <v>17</v>
      </c>
      <c r="K2168" s="36" t="s">
        <v>11489</v>
      </c>
      <c r="L2168" s="36"/>
    </row>
    <row r="2169" spans="1:12" hidden="1">
      <c r="A2169" s="42">
        <f>1+A2168</f>
        <v>2168</v>
      </c>
      <c r="B2169" s="36" t="s">
        <v>8</v>
      </c>
      <c r="C2169" s="36" t="s">
        <v>11187</v>
      </c>
      <c r="D2169" s="9" t="s">
        <v>11256</v>
      </c>
      <c r="E2169" s="9" t="s">
        <v>11123</v>
      </c>
      <c r="F2169" s="9" t="s">
        <v>5284</v>
      </c>
      <c r="G2169" s="36" t="s">
        <v>14</v>
      </c>
      <c r="H2169" s="36" t="str">
        <f>IFERROR(VLOOKUP(Table2[[#This Row], [Ticket]],Okey!A:B,2,0),"")</f>
        <v/>
      </c>
      <c r="I2169" s="36"/>
      <c r="J2169" s="36" t="s">
        <v>17</v>
      </c>
      <c r="K2169" s="36" t="s">
        <v>11489</v>
      </c>
      <c r="L2169" s="36"/>
    </row>
    <row r="2170" spans="1:12" hidden="1">
      <c r="A2170" s="42">
        <f>1+A2169</f>
        <v>2169</v>
      </c>
      <c r="B2170" s="36" t="s">
        <v>8</v>
      </c>
      <c r="C2170" s="36" t="s">
        <v>11187</v>
      </c>
      <c r="D2170" s="36" t="s">
        <v>11257</v>
      </c>
      <c r="E2170" s="9" t="s">
        <v>11124</v>
      </c>
      <c r="F2170" s="9" t="s">
        <v>5278</v>
      </c>
      <c r="G2170" s="36" t="s">
        <v>14</v>
      </c>
      <c r="H2170" s="36" t="str">
        <f>IFERROR(VLOOKUP(Table2[[#This Row], [Ticket]],Okey!A:B,2,0),"")</f>
        <v/>
      </c>
      <c r="I2170" s="36"/>
      <c r="J2170" s="36" t="s">
        <v>17</v>
      </c>
      <c r="K2170" s="36" t="s">
        <v>11489</v>
      </c>
      <c r="L2170" s="36"/>
    </row>
    <row r="2171" spans="1:12" hidden="1">
      <c r="A2171" s="42">
        <f>1+A2170</f>
        <v>2170</v>
      </c>
      <c r="B2171" s="36" t="s">
        <v>8</v>
      </c>
      <c r="C2171" s="36" t="s">
        <v>11187</v>
      </c>
      <c r="D2171" s="9" t="s">
        <v>11181</v>
      </c>
      <c r="E2171" s="9" t="s">
        <v>11122</v>
      </c>
      <c r="F2171" s="9" t="s">
        <v>11255</v>
      </c>
      <c r="G2171" s="36" t="s">
        <v>14</v>
      </c>
      <c r="H2171" s="36" t="str">
        <f>IFERROR(VLOOKUP(Table2[[#This Row], [Ticket]],Okey!A:B,2,0),"")</f>
        <v/>
      </c>
      <c r="I2171" s="36"/>
      <c r="J2171" s="36" t="s">
        <v>17</v>
      </c>
      <c r="K2171" s="36" t="s">
        <v>11488</v>
      </c>
      <c r="L2171" s="36"/>
    </row>
    <row r="2172" spans="1:12" hidden="1">
      <c r="A2172" s="42">
        <f>1+A2171</f>
        <v>2171</v>
      </c>
      <c r="B2172" s="36" t="s">
        <v>8</v>
      </c>
      <c r="C2172" s="36" t="s">
        <v>11187</v>
      </c>
      <c r="D2172" s="36" t="s">
        <v>11125</v>
      </c>
      <c r="E2172" s="9" t="s">
        <v>11057</v>
      </c>
      <c r="F2172" s="9" t="s">
        <v>11191</v>
      </c>
      <c r="G2172" s="36" t="s">
        <v>14</v>
      </c>
      <c r="H2172" s="36" t="str">
        <f>IFERROR(VLOOKUP(Table2[[#This Row], [Ticket]],Okey!A:B,2,0),"")</f>
        <v/>
      </c>
      <c r="I2172" s="36"/>
      <c r="J2172" s="36" t="s">
        <v>17</v>
      </c>
      <c r="K2172" s="36" t="s">
        <v>11488</v>
      </c>
      <c r="L2172" s="36"/>
    </row>
    <row r="2173" spans="1:12" hidden="1">
      <c r="A2173" s="42">
        <f>1+A2172</f>
        <v>2172</v>
      </c>
      <c r="B2173" s="36" t="s">
        <v>8</v>
      </c>
      <c r="C2173" s="36" t="s">
        <v>11187</v>
      </c>
      <c r="D2173" s="36" t="s">
        <v>11126</v>
      </c>
      <c r="E2173" s="9" t="s">
        <v>11059</v>
      </c>
      <c r="F2173" s="9" t="s">
        <v>11192</v>
      </c>
      <c r="G2173" s="36" t="s">
        <v>14</v>
      </c>
      <c r="H2173" s="36" t="str">
        <f>IFERROR(VLOOKUP(Table2[[#This Row], [Ticket]],Okey!A:B,2,0),"")</f>
        <v/>
      </c>
      <c r="I2173" s="36"/>
      <c r="J2173" s="36" t="s">
        <v>17</v>
      </c>
      <c r="K2173" s="36" t="s">
        <v>11488</v>
      </c>
      <c r="L2173" s="36"/>
    </row>
    <row r="2174" spans="1:12" hidden="1">
      <c r="A2174" s="42">
        <f>1+A2173</f>
        <v>2173</v>
      </c>
      <c r="B2174" s="36" t="s">
        <v>8</v>
      </c>
      <c r="C2174" s="36" t="s">
        <v>11187</v>
      </c>
      <c r="D2174" s="9" t="s">
        <v>11127</v>
      </c>
      <c r="E2174" s="9" t="s">
        <v>11060</v>
      </c>
      <c r="F2174" s="9" t="s">
        <v>11193</v>
      </c>
      <c r="G2174" s="36" t="s">
        <v>14</v>
      </c>
      <c r="H2174" s="36" t="str">
        <f>IFERROR(VLOOKUP(Table2[[#This Row], [Ticket]],Okey!A:B,2,0),"")</f>
        <v/>
      </c>
      <c r="I2174" s="36"/>
      <c r="J2174" s="36" t="s">
        <v>17</v>
      </c>
      <c r="K2174" s="36" t="s">
        <v>11488</v>
      </c>
      <c r="L2174" s="36"/>
    </row>
    <row r="2175" spans="1:12" hidden="1">
      <c r="A2175" s="42">
        <f>1+A2174</f>
        <v>2174</v>
      </c>
      <c r="B2175" s="36" t="s">
        <v>8</v>
      </c>
      <c r="C2175" s="36" t="s">
        <v>11187</v>
      </c>
      <c r="D2175" s="36" t="s">
        <v>11128</v>
      </c>
      <c r="E2175" s="9" t="s">
        <v>11061</v>
      </c>
      <c r="F2175" s="9" t="s">
        <v>11194</v>
      </c>
      <c r="G2175" s="36" t="s">
        <v>14</v>
      </c>
      <c r="H2175" s="36" t="str">
        <f>IFERROR(VLOOKUP(Table2[[#This Row], [Ticket]],Okey!A:B,2,0),"")</f>
        <v/>
      </c>
      <c r="I2175" s="36"/>
      <c r="J2175" s="36" t="s">
        <v>17</v>
      </c>
      <c r="K2175" s="36" t="s">
        <v>11488</v>
      </c>
      <c r="L2175" s="36"/>
    </row>
    <row r="2176" spans="1:12" hidden="1">
      <c r="A2176" s="42">
        <f>1+A2175</f>
        <v>2175</v>
      </c>
      <c r="B2176" s="36" t="s">
        <v>8</v>
      </c>
      <c r="C2176" s="36" t="s">
        <v>11187</v>
      </c>
      <c r="D2176" s="9" t="s">
        <v>11129</v>
      </c>
      <c r="E2176" s="9" t="s">
        <v>11062</v>
      </c>
      <c r="F2176" s="9" t="s">
        <v>11195</v>
      </c>
      <c r="G2176" s="36" t="s">
        <v>14</v>
      </c>
      <c r="H2176" s="36" t="str">
        <f>IFERROR(VLOOKUP(Table2[[#This Row], [Ticket]],Okey!A:B,2,0),"")</f>
        <v/>
      </c>
      <c r="I2176" s="36"/>
      <c r="J2176" s="36" t="s">
        <v>17</v>
      </c>
      <c r="K2176" s="36" t="s">
        <v>11488</v>
      </c>
      <c r="L2176" s="36"/>
    </row>
    <row r="2177" spans="1:12" hidden="1">
      <c r="A2177" s="42">
        <f>1+A2176</f>
        <v>2176</v>
      </c>
      <c r="B2177" s="36" t="s">
        <v>8</v>
      </c>
      <c r="C2177" s="36" t="s">
        <v>11187</v>
      </c>
      <c r="D2177" s="36" t="s">
        <v>11130</v>
      </c>
      <c r="E2177" s="9" t="s">
        <v>11063</v>
      </c>
      <c r="F2177" s="9" t="s">
        <v>11196</v>
      </c>
      <c r="G2177" s="36" t="s">
        <v>14</v>
      </c>
      <c r="H2177" s="36" t="str">
        <f>IFERROR(VLOOKUP(Table2[[#This Row], [Ticket]],Okey!A:B,2,0),"")</f>
        <v/>
      </c>
      <c r="I2177" s="36"/>
      <c r="J2177" s="36" t="s">
        <v>17</v>
      </c>
      <c r="K2177" s="36" t="s">
        <v>11488</v>
      </c>
      <c r="L2177" s="36"/>
    </row>
    <row r="2178" spans="1:12" hidden="1">
      <c r="A2178" s="42">
        <f>1+A2177</f>
        <v>2177</v>
      </c>
      <c r="B2178" s="36" t="s">
        <v>8</v>
      </c>
      <c r="C2178" s="36" t="s">
        <v>11187</v>
      </c>
      <c r="D2178" s="9" t="s">
        <v>11131</v>
      </c>
      <c r="E2178" s="9" t="s">
        <v>11064</v>
      </c>
      <c r="F2178" s="9" t="s">
        <v>11197</v>
      </c>
      <c r="G2178" s="36" t="s">
        <v>14</v>
      </c>
      <c r="H2178" s="36" t="str">
        <f>IFERROR(VLOOKUP(Table2[[#This Row], [Ticket]],Okey!A:B,2,0),"")</f>
        <v/>
      </c>
      <c r="I2178" s="36"/>
      <c r="J2178" s="36" t="s">
        <v>17</v>
      </c>
      <c r="K2178" s="36" t="s">
        <v>11488</v>
      </c>
      <c r="L2178" s="36"/>
    </row>
    <row r="2179" spans="1:12" hidden="1">
      <c r="A2179" s="42">
        <f>1+A2178</f>
        <v>2178</v>
      </c>
      <c r="B2179" s="36" t="s">
        <v>8</v>
      </c>
      <c r="C2179" s="36" t="s">
        <v>11187</v>
      </c>
      <c r="D2179" s="36" t="s">
        <v>11132</v>
      </c>
      <c r="E2179" s="9" t="s">
        <v>11065</v>
      </c>
      <c r="F2179" s="9" t="s">
        <v>11198</v>
      </c>
      <c r="G2179" s="36" t="s">
        <v>14</v>
      </c>
      <c r="H2179" s="36" t="str">
        <f>IFERROR(VLOOKUP(Table2[[#This Row], [Ticket]],Okey!A:B,2,0),"")</f>
        <v/>
      </c>
      <c r="I2179" s="36"/>
      <c r="J2179" s="36" t="s">
        <v>17</v>
      </c>
      <c r="K2179" s="36" t="s">
        <v>11488</v>
      </c>
      <c r="L2179" s="36"/>
    </row>
    <row r="2180" spans="1:12" hidden="1">
      <c r="A2180" s="42">
        <f>1+A2179</f>
        <v>2179</v>
      </c>
      <c r="B2180" s="36" t="s">
        <v>8</v>
      </c>
      <c r="C2180" s="36" t="s">
        <v>11187</v>
      </c>
      <c r="D2180" s="9" t="s">
        <v>11133</v>
      </c>
      <c r="E2180" s="9" t="s">
        <v>11066</v>
      </c>
      <c r="F2180" s="9" t="s">
        <v>11200</v>
      </c>
      <c r="G2180" s="36" t="s">
        <v>14</v>
      </c>
      <c r="H2180" s="36" t="str">
        <f>IFERROR(VLOOKUP(Table2[[#This Row], [Ticket]],Okey!A:B,2,0),"")</f>
        <v/>
      </c>
      <c r="I2180" s="36"/>
      <c r="J2180" s="36" t="s">
        <v>17</v>
      </c>
      <c r="K2180" s="36" t="s">
        <v>11488</v>
      </c>
      <c r="L2180" s="36"/>
    </row>
    <row r="2181" spans="1:12" hidden="1">
      <c r="A2181" s="42">
        <f>1+A2180</f>
        <v>2180</v>
      </c>
      <c r="B2181" s="36" t="s">
        <v>8</v>
      </c>
      <c r="C2181" s="36" t="s">
        <v>11187</v>
      </c>
      <c r="D2181" s="36" t="s">
        <v>11134</v>
      </c>
      <c r="E2181" s="9" t="s">
        <v>11068</v>
      </c>
      <c r="F2181" s="9" t="s">
        <v>11201</v>
      </c>
      <c r="G2181" s="36" t="s">
        <v>14</v>
      </c>
      <c r="H2181" s="36" t="str">
        <f>IFERROR(VLOOKUP(Table2[[#This Row], [Ticket]],Okey!A:B,2,0),"")</f>
        <v/>
      </c>
      <c r="I2181" s="36"/>
      <c r="J2181" s="36" t="s">
        <v>17</v>
      </c>
      <c r="K2181" s="36" t="s">
        <v>11488</v>
      </c>
      <c r="L2181" s="36"/>
    </row>
    <row r="2182" spans="1:12" hidden="1">
      <c r="A2182" s="42">
        <f>1+A2181</f>
        <v>2181</v>
      </c>
      <c r="B2182" s="36" t="s">
        <v>8</v>
      </c>
      <c r="C2182" s="36" t="s">
        <v>11187</v>
      </c>
      <c r="D2182" s="9" t="s">
        <v>11135</v>
      </c>
      <c r="E2182" s="9" t="s">
        <v>11069</v>
      </c>
      <c r="F2182" s="9" t="s">
        <v>11202</v>
      </c>
      <c r="G2182" s="36" t="s">
        <v>14</v>
      </c>
      <c r="H2182" s="36" t="str">
        <f>IFERROR(VLOOKUP(Table2[[#This Row], [Ticket]],Okey!A:B,2,0),"")</f>
        <v/>
      </c>
      <c r="I2182" s="36"/>
      <c r="J2182" s="36" t="s">
        <v>17</v>
      </c>
      <c r="K2182" s="36" t="s">
        <v>11488</v>
      </c>
      <c r="L2182" s="36"/>
    </row>
    <row r="2183" spans="1:12" hidden="1">
      <c r="A2183" s="42">
        <f>1+A2182</f>
        <v>2182</v>
      </c>
      <c r="B2183" s="36" t="s">
        <v>8</v>
      </c>
      <c r="C2183" s="36" t="s">
        <v>11187</v>
      </c>
      <c r="D2183" s="36" t="s">
        <v>11136</v>
      </c>
      <c r="E2183" s="9" t="s">
        <v>11070</v>
      </c>
      <c r="F2183" s="9" t="s">
        <v>11203</v>
      </c>
      <c r="G2183" s="36" t="s">
        <v>14</v>
      </c>
      <c r="H2183" s="36" t="str">
        <f>IFERROR(VLOOKUP(Table2[[#This Row], [Ticket]],Okey!A:B,2,0),"")</f>
        <v/>
      </c>
      <c r="I2183" s="36"/>
      <c r="J2183" s="36" t="s">
        <v>17</v>
      </c>
      <c r="K2183" s="36" t="s">
        <v>11488</v>
      </c>
      <c r="L2183" s="36"/>
    </row>
    <row r="2184" spans="1:12" hidden="1">
      <c r="A2184" s="42">
        <f>1+A2183</f>
        <v>2183</v>
      </c>
      <c r="B2184" s="36" t="s">
        <v>8</v>
      </c>
      <c r="C2184" s="36" t="s">
        <v>11187</v>
      </c>
      <c r="D2184" s="9" t="s">
        <v>11137</v>
      </c>
      <c r="E2184" s="9" t="s">
        <v>11071</v>
      </c>
      <c r="F2184" s="9" t="s">
        <v>11204</v>
      </c>
      <c r="G2184" s="36" t="s">
        <v>14</v>
      </c>
      <c r="H2184" s="36" t="str">
        <f>IFERROR(VLOOKUP(Table2[[#This Row], [Ticket]],Okey!A:B,2,0),"")</f>
        <v/>
      </c>
      <c r="I2184" s="36"/>
      <c r="J2184" s="36" t="s">
        <v>17</v>
      </c>
      <c r="K2184" s="36" t="s">
        <v>11488</v>
      </c>
      <c r="L2184" s="36"/>
    </row>
    <row r="2185" spans="1:12" hidden="1">
      <c r="A2185" s="42">
        <f>1+A2184</f>
        <v>2184</v>
      </c>
      <c r="B2185" s="36" t="s">
        <v>8</v>
      </c>
      <c r="C2185" s="36" t="s">
        <v>11187</v>
      </c>
      <c r="D2185" s="36" t="s">
        <v>11138</v>
      </c>
      <c r="E2185" s="9" t="s">
        <v>11072</v>
      </c>
      <c r="F2185" s="9" t="s">
        <v>11205</v>
      </c>
      <c r="G2185" s="36" t="s">
        <v>14</v>
      </c>
      <c r="H2185" s="36" t="str">
        <f>IFERROR(VLOOKUP(Table2[[#This Row], [Ticket]],Okey!A:B,2,0),"")</f>
        <v/>
      </c>
      <c r="I2185" s="36"/>
      <c r="J2185" s="36" t="s">
        <v>17</v>
      </c>
      <c r="K2185" s="36" t="s">
        <v>11488</v>
      </c>
      <c r="L2185" s="36"/>
    </row>
    <row r="2186" spans="1:12" hidden="1">
      <c r="A2186" s="42">
        <f>1+A2185</f>
        <v>2185</v>
      </c>
      <c r="B2186" s="36" t="s">
        <v>8</v>
      </c>
      <c r="C2186" s="36" t="s">
        <v>11187</v>
      </c>
      <c r="D2186" s="36" t="s">
        <v>11139</v>
      </c>
      <c r="E2186" s="9" t="s">
        <v>11073</v>
      </c>
      <c r="F2186" s="9" t="s">
        <v>11206</v>
      </c>
      <c r="G2186" s="36" t="s">
        <v>14</v>
      </c>
      <c r="H2186" s="36" t="str">
        <f>IFERROR(VLOOKUP(Table2[[#This Row], [Ticket]],Okey!A:B,2,0),"")</f>
        <v/>
      </c>
      <c r="I2186" s="36"/>
      <c r="J2186" s="36" t="s">
        <v>17</v>
      </c>
      <c r="K2186" s="36" t="s">
        <v>11488</v>
      </c>
      <c r="L2186" s="36"/>
    </row>
    <row r="2187" spans="1:12" hidden="1">
      <c r="A2187" s="42">
        <f>1+A2186</f>
        <v>2186</v>
      </c>
      <c r="B2187" s="36" t="s">
        <v>8</v>
      </c>
      <c r="C2187" s="36" t="s">
        <v>11187</v>
      </c>
      <c r="D2187" s="9" t="s">
        <v>11140</v>
      </c>
      <c r="E2187" s="9" t="s">
        <v>11074</v>
      </c>
      <c r="F2187" s="9" t="s">
        <v>11208</v>
      </c>
      <c r="G2187" s="36" t="s">
        <v>14</v>
      </c>
      <c r="H2187" s="36" t="str">
        <f>IFERROR(VLOOKUP(Table2[[#This Row], [Ticket]],Okey!A:B,2,0),"")</f>
        <v/>
      </c>
      <c r="I2187" s="36"/>
      <c r="J2187" s="36" t="s">
        <v>17</v>
      </c>
      <c r="K2187" s="36" t="s">
        <v>11488</v>
      </c>
      <c r="L2187" s="36"/>
    </row>
    <row r="2188" spans="1:12" hidden="1">
      <c r="A2188" s="42">
        <f>1+A2187</f>
        <v>2187</v>
      </c>
      <c r="B2188" s="36" t="s">
        <v>8</v>
      </c>
      <c r="C2188" s="36" t="s">
        <v>11187</v>
      </c>
      <c r="D2188" s="36" t="s">
        <v>11141</v>
      </c>
      <c r="E2188" s="9" t="s">
        <v>11076</v>
      </c>
      <c r="F2188" s="9" t="s">
        <v>11209</v>
      </c>
      <c r="G2188" s="36" t="s">
        <v>14</v>
      </c>
      <c r="H2188" s="36" t="str">
        <f>IFERROR(VLOOKUP(Table2[[#This Row], [Ticket]],Okey!A:B,2,0),"")</f>
        <v/>
      </c>
      <c r="I2188" s="36"/>
      <c r="J2188" s="36" t="s">
        <v>17</v>
      </c>
      <c r="K2188" s="36" t="s">
        <v>11488</v>
      </c>
      <c r="L2188" s="36"/>
    </row>
    <row r="2189" spans="1:12" hidden="1">
      <c r="A2189" s="42">
        <f>1+A2188</f>
        <v>2188</v>
      </c>
      <c r="B2189" s="36" t="s">
        <v>8</v>
      </c>
      <c r="C2189" s="36" t="s">
        <v>11187</v>
      </c>
      <c r="D2189" s="9" t="s">
        <v>11142</v>
      </c>
      <c r="E2189" s="9" t="s">
        <v>11077</v>
      </c>
      <c r="F2189" s="9" t="s">
        <v>11210</v>
      </c>
      <c r="G2189" s="36" t="s">
        <v>14</v>
      </c>
      <c r="H2189" s="36" t="str">
        <f>IFERROR(VLOOKUP(Table2[[#This Row], [Ticket]],Okey!A:B,2,0),"")</f>
        <v/>
      </c>
      <c r="I2189" s="36"/>
      <c r="J2189" s="36" t="s">
        <v>17</v>
      </c>
      <c r="K2189" s="36" t="s">
        <v>11488</v>
      </c>
      <c r="L2189" s="36"/>
    </row>
    <row r="2190" spans="1:12" hidden="1">
      <c r="A2190" s="42">
        <f>1+A2189</f>
        <v>2189</v>
      </c>
      <c r="B2190" s="36" t="s">
        <v>8</v>
      </c>
      <c r="C2190" s="36" t="s">
        <v>11187</v>
      </c>
      <c r="D2190" s="36" t="s">
        <v>11143</v>
      </c>
      <c r="E2190" s="9" t="s">
        <v>11078</v>
      </c>
      <c r="F2190" s="9" t="s">
        <v>11211</v>
      </c>
      <c r="G2190" s="36" t="s">
        <v>14</v>
      </c>
      <c r="H2190" s="36" t="str">
        <f>IFERROR(VLOOKUP(Table2[[#This Row], [Ticket]],Okey!A:B,2,0),"")</f>
        <v/>
      </c>
      <c r="I2190" s="36"/>
      <c r="J2190" s="36" t="s">
        <v>17</v>
      </c>
      <c r="K2190" s="36" t="s">
        <v>11488</v>
      </c>
      <c r="L2190" s="36"/>
    </row>
    <row r="2191" spans="1:12" hidden="1">
      <c r="A2191" s="42">
        <f>1+A2190</f>
        <v>2190</v>
      </c>
      <c r="B2191" s="36" t="s">
        <v>8</v>
      </c>
      <c r="C2191" s="36" t="s">
        <v>11187</v>
      </c>
      <c r="D2191" s="9" t="s">
        <v>11144</v>
      </c>
      <c r="E2191" s="9" t="s">
        <v>11079</v>
      </c>
      <c r="F2191" s="9" t="s">
        <v>11212</v>
      </c>
      <c r="G2191" s="36" t="s">
        <v>14</v>
      </c>
      <c r="H2191" s="36" t="str">
        <f>IFERROR(VLOOKUP(Table2[[#This Row], [Ticket]],Okey!A:B,2,0),"")</f>
        <v/>
      </c>
      <c r="I2191" s="36"/>
      <c r="J2191" s="36" t="s">
        <v>17</v>
      </c>
      <c r="K2191" s="36" t="s">
        <v>11488</v>
      </c>
      <c r="L2191" s="36"/>
    </row>
    <row r="2192" spans="1:12" hidden="1">
      <c r="A2192" s="42">
        <f>1+A2191</f>
        <v>2191</v>
      </c>
      <c r="B2192" s="36" t="s">
        <v>8</v>
      </c>
      <c r="C2192" s="36" t="s">
        <v>11187</v>
      </c>
      <c r="D2192" s="36" t="s">
        <v>11145</v>
      </c>
      <c r="E2192" s="9" t="s">
        <v>11080</v>
      </c>
      <c r="F2192" s="9" t="s">
        <v>11213</v>
      </c>
      <c r="G2192" s="36" t="s">
        <v>14</v>
      </c>
      <c r="H2192" s="36" t="str">
        <f>IFERROR(VLOOKUP(Table2[[#This Row], [Ticket]],Okey!A:B,2,0),"")</f>
        <v/>
      </c>
      <c r="I2192" s="36"/>
      <c r="J2192" s="36" t="s">
        <v>17</v>
      </c>
      <c r="K2192" s="36" t="s">
        <v>11488</v>
      </c>
      <c r="L2192" s="36"/>
    </row>
    <row r="2193" spans="1:12" hidden="1">
      <c r="A2193" s="42">
        <f>1+A2192</f>
        <v>2192</v>
      </c>
      <c r="B2193" s="36" t="s">
        <v>8</v>
      </c>
      <c r="C2193" s="36" t="s">
        <v>11187</v>
      </c>
      <c r="D2193" s="9" t="s">
        <v>11146</v>
      </c>
      <c r="E2193" s="9" t="s">
        <v>11081</v>
      </c>
      <c r="F2193" s="9" t="s">
        <v>11214</v>
      </c>
      <c r="G2193" s="36" t="s">
        <v>14</v>
      </c>
      <c r="H2193" s="36" t="str">
        <f>IFERROR(VLOOKUP(Table2[[#This Row], [Ticket]],Okey!A:B,2,0),"")</f>
        <v/>
      </c>
      <c r="I2193" s="36"/>
      <c r="J2193" s="36" t="s">
        <v>17</v>
      </c>
      <c r="K2193" s="36" t="s">
        <v>11488</v>
      </c>
      <c r="L2193" s="36"/>
    </row>
    <row r="2194" spans="1:12" hidden="1">
      <c r="A2194" s="42">
        <f>1+A2193</f>
        <v>2193</v>
      </c>
      <c r="B2194" s="36" t="s">
        <v>8</v>
      </c>
      <c r="C2194" s="36" t="s">
        <v>11187</v>
      </c>
      <c r="D2194" s="36" t="s">
        <v>11147</v>
      </c>
      <c r="E2194" s="9" t="s">
        <v>11082</v>
      </c>
      <c r="F2194" s="9" t="s">
        <v>11215</v>
      </c>
      <c r="G2194" s="36" t="s">
        <v>14</v>
      </c>
      <c r="H2194" s="36" t="str">
        <f>IFERROR(VLOOKUP(Table2[[#This Row], [Ticket]],Okey!A:B,2,0),"")</f>
        <v/>
      </c>
      <c r="I2194" s="36"/>
      <c r="J2194" s="36" t="s">
        <v>17</v>
      </c>
      <c r="K2194" s="36" t="s">
        <v>11488</v>
      </c>
      <c r="L2194" s="36"/>
    </row>
    <row r="2195" spans="1:12" hidden="1">
      <c r="A2195" s="42">
        <f>1+A2194</f>
        <v>2194</v>
      </c>
      <c r="B2195" s="36" t="s">
        <v>8</v>
      </c>
      <c r="C2195" s="36" t="s">
        <v>11187</v>
      </c>
      <c r="D2195" s="9" t="s">
        <v>11148</v>
      </c>
      <c r="E2195" s="9" t="s">
        <v>11083</v>
      </c>
      <c r="F2195" s="9" t="s">
        <v>11216</v>
      </c>
      <c r="G2195" s="36" t="s">
        <v>14</v>
      </c>
      <c r="H2195" s="36" t="str">
        <f>IFERROR(VLOOKUP(Table2[[#This Row], [Ticket]],Okey!A:B,2,0),"")</f>
        <v/>
      </c>
      <c r="I2195" s="36"/>
      <c r="J2195" s="36" t="s">
        <v>17</v>
      </c>
      <c r="K2195" s="36" t="s">
        <v>11488</v>
      </c>
      <c r="L2195" s="36"/>
    </row>
    <row r="2196" spans="1:12" hidden="1">
      <c r="A2196" s="42">
        <f>1+A2195</f>
        <v>2195</v>
      </c>
      <c r="B2196" s="36" t="s">
        <v>8</v>
      </c>
      <c r="C2196" s="36" t="s">
        <v>11187</v>
      </c>
      <c r="D2196" s="36" t="s">
        <v>11149</v>
      </c>
      <c r="E2196" s="9" t="s">
        <v>11084</v>
      </c>
      <c r="F2196" s="9" t="s">
        <v>11218</v>
      </c>
      <c r="G2196" s="36" t="s">
        <v>14</v>
      </c>
      <c r="H2196" s="36" t="str">
        <f>IFERROR(VLOOKUP(Table2[[#This Row], [Ticket]],Okey!A:B,2,0),"")</f>
        <v/>
      </c>
      <c r="I2196" s="36"/>
      <c r="J2196" s="36" t="s">
        <v>17</v>
      </c>
      <c r="K2196" s="36" t="s">
        <v>11488</v>
      </c>
      <c r="L2196" s="36"/>
    </row>
    <row r="2197" spans="1:12" hidden="1">
      <c r="A2197" s="42">
        <f>1+A2196</f>
        <v>2196</v>
      </c>
      <c r="B2197" s="36" t="s">
        <v>8</v>
      </c>
      <c r="C2197" s="36" t="s">
        <v>11187</v>
      </c>
      <c r="D2197" s="9" t="s">
        <v>11150</v>
      </c>
      <c r="E2197" s="9" t="s">
        <v>11086</v>
      </c>
      <c r="F2197" s="9" t="s">
        <v>11219</v>
      </c>
      <c r="G2197" s="36" t="s">
        <v>14</v>
      </c>
      <c r="H2197" s="36" t="str">
        <f>IFERROR(VLOOKUP(Table2[[#This Row], [Ticket]],Okey!A:B,2,0),"")</f>
        <v/>
      </c>
      <c r="I2197" s="36"/>
      <c r="J2197" s="36" t="s">
        <v>17</v>
      </c>
      <c r="K2197" s="36" t="s">
        <v>11488</v>
      </c>
      <c r="L2197" s="36"/>
    </row>
    <row r="2198" spans="1:12" hidden="1">
      <c r="A2198" s="42">
        <f>1+A2197</f>
        <v>2197</v>
      </c>
      <c r="B2198" s="36" t="s">
        <v>8</v>
      </c>
      <c r="C2198" s="36" t="s">
        <v>11187</v>
      </c>
      <c r="D2198" s="36" t="s">
        <v>11151</v>
      </c>
      <c r="E2198" s="9" t="s">
        <v>11087</v>
      </c>
      <c r="F2198" s="9" t="s">
        <v>11220</v>
      </c>
      <c r="G2198" s="36" t="s">
        <v>14</v>
      </c>
      <c r="H2198" s="36" t="str">
        <f>IFERROR(VLOOKUP(Table2[[#This Row], [Ticket]],Okey!A:B,2,0),"")</f>
        <v/>
      </c>
      <c r="I2198" s="36"/>
      <c r="J2198" s="36" t="s">
        <v>17</v>
      </c>
      <c r="K2198" s="36" t="s">
        <v>11488</v>
      </c>
      <c r="L2198" s="36"/>
    </row>
    <row r="2199" spans="1:12" hidden="1">
      <c r="A2199" s="42">
        <f>1+A2198</f>
        <v>2198</v>
      </c>
      <c r="B2199" s="36" t="s">
        <v>8</v>
      </c>
      <c r="C2199" s="36" t="s">
        <v>11187</v>
      </c>
      <c r="D2199" s="36" t="s">
        <v>11152</v>
      </c>
      <c r="E2199" s="9" t="s">
        <v>11088</v>
      </c>
      <c r="F2199" s="9" t="s">
        <v>11221</v>
      </c>
      <c r="G2199" s="36" t="s">
        <v>14</v>
      </c>
      <c r="H2199" s="36" t="str">
        <f>IFERROR(VLOOKUP(Table2[[#This Row], [Ticket]],Okey!A:B,2,0),"")</f>
        <v/>
      </c>
      <c r="I2199" s="36"/>
      <c r="J2199" s="36" t="s">
        <v>17</v>
      </c>
      <c r="K2199" s="36" t="s">
        <v>11488</v>
      </c>
      <c r="L2199" s="36"/>
    </row>
    <row r="2200" spans="1:12" hidden="1">
      <c r="A2200" s="42">
        <f>1+A2199</f>
        <v>2199</v>
      </c>
      <c r="B2200" s="36" t="s">
        <v>8</v>
      </c>
      <c r="C2200" s="36" t="s">
        <v>11187</v>
      </c>
      <c r="D2200" s="9" t="s">
        <v>11153</v>
      </c>
      <c r="E2200" s="9" t="s">
        <v>11089</v>
      </c>
      <c r="F2200" s="9" t="s">
        <v>11222</v>
      </c>
      <c r="G2200" s="36" t="s">
        <v>14</v>
      </c>
      <c r="H2200" s="36" t="str">
        <f>IFERROR(VLOOKUP(Table2[[#This Row], [Ticket]],Okey!A:B,2,0),"")</f>
        <v/>
      </c>
      <c r="I2200" s="36"/>
      <c r="J2200" s="36" t="s">
        <v>17</v>
      </c>
      <c r="K2200" s="36" t="s">
        <v>11488</v>
      </c>
      <c r="L2200" s="36"/>
    </row>
    <row r="2201" spans="1:12" hidden="1">
      <c r="A2201" s="42">
        <f>1+A2200</f>
        <v>2200</v>
      </c>
      <c r="B2201" s="36" t="s">
        <v>8</v>
      </c>
      <c r="C2201" s="36" t="s">
        <v>11187</v>
      </c>
      <c r="D2201" s="36" t="s">
        <v>11154</v>
      </c>
      <c r="E2201" s="9" t="s">
        <v>11090</v>
      </c>
      <c r="F2201" s="9" t="s">
        <v>11223</v>
      </c>
      <c r="G2201" s="36" t="s">
        <v>14</v>
      </c>
      <c r="H2201" s="36" t="str">
        <f>IFERROR(VLOOKUP(Table2[[#This Row], [Ticket]],Okey!A:B,2,0),"")</f>
        <v/>
      </c>
      <c r="I2201" s="36"/>
      <c r="J2201" s="36" t="s">
        <v>17</v>
      </c>
      <c r="K2201" s="36" t="s">
        <v>11488</v>
      </c>
      <c r="L2201" s="36"/>
    </row>
    <row r="2202" spans="1:12" hidden="1">
      <c r="A2202" s="42">
        <f>1+A2201</f>
        <v>2201</v>
      </c>
      <c r="B2202" s="36" t="s">
        <v>8</v>
      </c>
      <c r="C2202" s="36" t="s">
        <v>11187</v>
      </c>
      <c r="D2202" s="9" t="s">
        <v>11155</v>
      </c>
      <c r="E2202" s="9" t="s">
        <v>11091</v>
      </c>
      <c r="F2202" s="9" t="s">
        <v>11224</v>
      </c>
      <c r="G2202" s="36" t="s">
        <v>14</v>
      </c>
      <c r="H2202" s="36" t="str">
        <f>IFERROR(VLOOKUP(Table2[[#This Row], [Ticket]],Okey!A:B,2,0),"")</f>
        <v/>
      </c>
      <c r="I2202" s="36"/>
      <c r="J2202" s="36" t="s">
        <v>17</v>
      </c>
      <c r="K2202" s="36" t="s">
        <v>11488</v>
      </c>
      <c r="L2202" s="36"/>
    </row>
    <row r="2203" spans="1:12" hidden="1">
      <c r="A2203" s="42">
        <f>1+A2202</f>
        <v>2202</v>
      </c>
      <c r="B2203" s="36" t="s">
        <v>8</v>
      </c>
      <c r="C2203" s="36" t="s">
        <v>11187</v>
      </c>
      <c r="D2203" s="36" t="s">
        <v>11156</v>
      </c>
      <c r="E2203" s="9" t="s">
        <v>11092</v>
      </c>
      <c r="F2203" s="9" t="s">
        <v>11225</v>
      </c>
      <c r="G2203" s="36" t="s">
        <v>14</v>
      </c>
      <c r="H2203" s="36" t="str">
        <f>IFERROR(VLOOKUP(Table2[[#This Row], [Ticket]],Okey!A:B,2,0),"")</f>
        <v/>
      </c>
      <c r="I2203" s="36"/>
      <c r="J2203" s="36" t="s">
        <v>17</v>
      </c>
      <c r="K2203" s="36" t="s">
        <v>11488</v>
      </c>
      <c r="L2203" s="36"/>
    </row>
    <row r="2204" spans="1:12" hidden="1">
      <c r="A2204" s="42">
        <f>1+A2203</f>
        <v>2203</v>
      </c>
      <c r="B2204" s="36" t="s">
        <v>8</v>
      </c>
      <c r="C2204" s="36" t="s">
        <v>11187</v>
      </c>
      <c r="D2204" s="9" t="s">
        <v>11157</v>
      </c>
      <c r="E2204" s="9" t="s">
        <v>11093</v>
      </c>
      <c r="F2204" s="9" t="s">
        <v>11226</v>
      </c>
      <c r="G2204" s="36" t="s">
        <v>14</v>
      </c>
      <c r="H2204" s="36" t="str">
        <f>IFERROR(VLOOKUP(Table2[[#This Row], [Ticket]],Okey!A:B,2,0),"")</f>
        <v/>
      </c>
      <c r="I2204" s="36"/>
      <c r="J2204" s="36" t="s">
        <v>17</v>
      </c>
      <c r="K2204" s="36" t="s">
        <v>11488</v>
      </c>
      <c r="L2204" s="36"/>
    </row>
    <row r="2205" spans="1:12" hidden="1">
      <c r="A2205" s="42">
        <f>1+A2204</f>
        <v>2204</v>
      </c>
      <c r="B2205" s="36" t="s">
        <v>8</v>
      </c>
      <c r="C2205" s="36" t="s">
        <v>11187</v>
      </c>
      <c r="D2205" s="36" t="s">
        <v>11158</v>
      </c>
      <c r="E2205" s="9" t="s">
        <v>11094</v>
      </c>
      <c r="F2205" s="9" t="s">
        <v>11228</v>
      </c>
      <c r="G2205" s="36" t="s">
        <v>14</v>
      </c>
      <c r="H2205" s="36" t="str">
        <f>IFERROR(VLOOKUP(Table2[[#This Row], [Ticket]],Okey!A:B,2,0),"")</f>
        <v/>
      </c>
      <c r="I2205" s="36"/>
      <c r="J2205" s="36" t="s">
        <v>17</v>
      </c>
      <c r="K2205" s="36" t="s">
        <v>11488</v>
      </c>
      <c r="L2205" s="36"/>
    </row>
    <row r="2206" spans="1:12" hidden="1">
      <c r="A2206" s="42">
        <f>1+A2205</f>
        <v>2205</v>
      </c>
      <c r="B2206" s="36" t="s">
        <v>8</v>
      </c>
      <c r="C2206" s="36" t="s">
        <v>11187</v>
      </c>
      <c r="D2206" s="9" t="s">
        <v>11159</v>
      </c>
      <c r="E2206" s="9" t="s">
        <v>11096</v>
      </c>
      <c r="F2206" s="9" t="s">
        <v>11229</v>
      </c>
      <c r="G2206" s="36" t="s">
        <v>14</v>
      </c>
      <c r="H2206" s="36" t="str">
        <f>IFERROR(VLOOKUP(Table2[[#This Row], [Ticket]],Okey!A:B,2,0),"")</f>
        <v/>
      </c>
      <c r="I2206" s="36"/>
      <c r="J2206" s="36" t="s">
        <v>17</v>
      </c>
      <c r="K2206" s="36" t="s">
        <v>11488</v>
      </c>
      <c r="L2206" s="36"/>
    </row>
    <row r="2207" spans="1:12" hidden="1">
      <c r="A2207" s="42">
        <f>1+A2206</f>
        <v>2206</v>
      </c>
      <c r="B2207" s="36" t="s">
        <v>8</v>
      </c>
      <c r="C2207" s="36" t="s">
        <v>11187</v>
      </c>
      <c r="D2207" s="36" t="s">
        <v>11160</v>
      </c>
      <c r="E2207" s="9" t="s">
        <v>11097</v>
      </c>
      <c r="F2207" s="9" t="s">
        <v>11230</v>
      </c>
      <c r="G2207" s="36" t="s">
        <v>14</v>
      </c>
      <c r="H2207" s="36" t="str">
        <f>IFERROR(VLOOKUP(Table2[[#This Row], [Ticket]],Okey!A:B,2,0),"")</f>
        <v/>
      </c>
      <c r="I2207" s="36"/>
      <c r="J2207" s="36" t="s">
        <v>17</v>
      </c>
      <c r="K2207" s="36" t="s">
        <v>11488</v>
      </c>
      <c r="L2207" s="36"/>
    </row>
    <row r="2208" spans="1:12" hidden="1">
      <c r="A2208" s="42">
        <f>1+A2207</f>
        <v>2207</v>
      </c>
      <c r="B2208" s="36" t="s">
        <v>8</v>
      </c>
      <c r="C2208" s="36" t="s">
        <v>11187</v>
      </c>
      <c r="D2208" s="9" t="s">
        <v>11161</v>
      </c>
      <c r="E2208" s="9" t="s">
        <v>11098</v>
      </c>
      <c r="F2208" s="9" t="s">
        <v>11231</v>
      </c>
      <c r="G2208" s="36" t="s">
        <v>14</v>
      </c>
      <c r="H2208" s="36" t="str">
        <f>IFERROR(VLOOKUP(Table2[[#This Row], [Ticket]],Okey!A:B,2,0),"")</f>
        <v/>
      </c>
      <c r="I2208" s="36"/>
      <c r="J2208" s="36" t="s">
        <v>17</v>
      </c>
      <c r="K2208" s="36" t="s">
        <v>11488</v>
      </c>
      <c r="L2208" s="36"/>
    </row>
    <row r="2209" spans="1:12" hidden="1">
      <c r="A2209" s="42">
        <f>1+A2208</f>
        <v>2208</v>
      </c>
      <c r="B2209" s="36" t="s">
        <v>8</v>
      </c>
      <c r="C2209" s="36" t="s">
        <v>11187</v>
      </c>
      <c r="D2209" s="36" t="s">
        <v>11162</v>
      </c>
      <c r="E2209" s="9" t="s">
        <v>11099</v>
      </c>
      <c r="F2209" s="9" t="s">
        <v>11232</v>
      </c>
      <c r="G2209" s="36" t="s">
        <v>14</v>
      </c>
      <c r="H2209" s="36" t="str">
        <f>IFERROR(VLOOKUP(Table2[[#This Row], [Ticket]],Okey!A:B,2,0),"")</f>
        <v/>
      </c>
      <c r="I2209" s="36"/>
      <c r="J2209" s="36" t="s">
        <v>17</v>
      </c>
      <c r="K2209" s="36" t="s">
        <v>11488</v>
      </c>
      <c r="L2209" s="36"/>
    </row>
    <row r="2210" spans="1:12" hidden="1">
      <c r="A2210" s="42">
        <f>1+A2209</f>
        <v>2209</v>
      </c>
      <c r="B2210" s="36" t="s">
        <v>8</v>
      </c>
      <c r="C2210" s="36" t="s">
        <v>11187</v>
      </c>
      <c r="D2210" s="9" t="s">
        <v>11163</v>
      </c>
      <c r="E2210" s="9" t="s">
        <v>11100</v>
      </c>
      <c r="F2210" s="9" t="s">
        <v>11233</v>
      </c>
      <c r="G2210" s="36" t="s">
        <v>14</v>
      </c>
      <c r="H2210" s="36" t="str">
        <f>IFERROR(VLOOKUP(Table2[[#This Row], [Ticket]],Okey!A:B,2,0),"")</f>
        <v/>
      </c>
      <c r="I2210" s="36"/>
      <c r="J2210" s="36" t="s">
        <v>17</v>
      </c>
      <c r="K2210" s="36" t="s">
        <v>11488</v>
      </c>
      <c r="L2210" s="36"/>
    </row>
    <row r="2211" spans="1:12" hidden="1">
      <c r="A2211" s="42">
        <f>1+A2210</f>
        <v>2210</v>
      </c>
      <c r="B2211" s="36" t="s">
        <v>8</v>
      </c>
      <c r="C2211" s="36" t="s">
        <v>11187</v>
      </c>
      <c r="D2211" s="36" t="s">
        <v>11164</v>
      </c>
      <c r="E2211" s="9" t="s">
        <v>11101</v>
      </c>
      <c r="F2211" s="9" t="s">
        <v>11235</v>
      </c>
      <c r="G2211" s="36" t="s">
        <v>14</v>
      </c>
      <c r="H2211" s="36" t="str">
        <f>IFERROR(VLOOKUP(Table2[[#This Row], [Ticket]],Okey!A:B,2,0),"")</f>
        <v/>
      </c>
      <c r="I2211" s="36"/>
      <c r="J2211" s="36" t="s">
        <v>17</v>
      </c>
      <c r="K2211" s="36" t="s">
        <v>11488</v>
      </c>
      <c r="L2211" s="36"/>
    </row>
    <row r="2212" spans="1:12" hidden="1">
      <c r="A2212" s="42">
        <f>1+A2211</f>
        <v>2211</v>
      </c>
      <c r="B2212" s="36" t="s">
        <v>8</v>
      </c>
      <c r="C2212" s="36" t="s">
        <v>11187</v>
      </c>
      <c r="D2212" s="9" t="s">
        <v>11165</v>
      </c>
      <c r="E2212" s="9" t="s">
        <v>11103</v>
      </c>
      <c r="F2212" s="9" t="s">
        <v>11236</v>
      </c>
      <c r="G2212" s="36" t="s">
        <v>14</v>
      </c>
      <c r="H2212" s="36" t="str">
        <f>IFERROR(VLOOKUP(Table2[[#This Row], [Ticket]],Okey!A:B,2,0),"")</f>
        <v/>
      </c>
      <c r="I2212" s="36"/>
      <c r="J2212" s="36" t="s">
        <v>17</v>
      </c>
      <c r="K2212" s="36" t="s">
        <v>11488</v>
      </c>
      <c r="L2212" s="36"/>
    </row>
    <row r="2213" spans="1:12" hidden="1">
      <c r="A2213" s="42">
        <f>1+A2212</f>
        <v>2212</v>
      </c>
      <c r="B2213" s="36" t="s">
        <v>8</v>
      </c>
      <c r="C2213" s="36" t="s">
        <v>11187</v>
      </c>
      <c r="D2213" s="36" t="s">
        <v>11166</v>
      </c>
      <c r="E2213" s="9" t="s">
        <v>11104</v>
      </c>
      <c r="F2213" s="9" t="s">
        <v>11237</v>
      </c>
      <c r="G2213" s="36" t="s">
        <v>14</v>
      </c>
      <c r="H2213" s="36" t="str">
        <f>IFERROR(VLOOKUP(Table2[[#This Row], [Ticket]],Okey!A:B,2,0),"")</f>
        <v/>
      </c>
      <c r="I2213" s="36"/>
      <c r="J2213" s="36" t="s">
        <v>17</v>
      </c>
      <c r="K2213" s="36" t="s">
        <v>11488</v>
      </c>
      <c r="L2213" s="36"/>
    </row>
    <row r="2214" spans="1:12" hidden="1">
      <c r="A2214" s="42">
        <f>1+A2213</f>
        <v>2213</v>
      </c>
      <c r="B2214" s="36" t="s">
        <v>8</v>
      </c>
      <c r="C2214" s="36" t="s">
        <v>11187</v>
      </c>
      <c r="D2214" s="9" t="s">
        <v>11167</v>
      </c>
      <c r="E2214" s="9" t="s">
        <v>11105</v>
      </c>
      <c r="F2214" s="9" t="s">
        <v>11238</v>
      </c>
      <c r="G2214" s="36" t="s">
        <v>14</v>
      </c>
      <c r="H2214" s="36" t="str">
        <f>IFERROR(VLOOKUP(Table2[[#This Row], [Ticket]],Okey!A:B,2,0),"")</f>
        <v/>
      </c>
      <c r="I2214" s="36"/>
      <c r="J2214" s="36" t="s">
        <v>17</v>
      </c>
      <c r="K2214" s="36" t="s">
        <v>11488</v>
      </c>
      <c r="L2214" s="36"/>
    </row>
    <row r="2215" spans="1:12" hidden="1">
      <c r="A2215" s="42">
        <f>1+A2214</f>
        <v>2214</v>
      </c>
      <c r="B2215" s="36" t="s">
        <v>8</v>
      </c>
      <c r="C2215" s="36" t="s">
        <v>11187</v>
      </c>
      <c r="D2215" s="36" t="s">
        <v>11168</v>
      </c>
      <c r="E2215" s="9" t="s">
        <v>11106</v>
      </c>
      <c r="F2215" s="9" t="s">
        <v>11239</v>
      </c>
      <c r="G2215" s="36" t="s">
        <v>14</v>
      </c>
      <c r="H2215" s="36" t="str">
        <f>IFERROR(VLOOKUP(Table2[[#This Row], [Ticket]],Okey!A:B,2,0),"")</f>
        <v/>
      </c>
      <c r="I2215" s="36"/>
      <c r="J2215" s="36" t="s">
        <v>17</v>
      </c>
      <c r="K2215" s="36" t="s">
        <v>11488</v>
      </c>
      <c r="L2215" s="36"/>
    </row>
    <row r="2216" spans="1:12" hidden="1">
      <c r="A2216" s="42">
        <f>1+A2215</f>
        <v>2215</v>
      </c>
      <c r="B2216" s="36" t="s">
        <v>8</v>
      </c>
      <c r="C2216" s="36" t="s">
        <v>11187</v>
      </c>
      <c r="D2216" s="9" t="s">
        <v>11169</v>
      </c>
      <c r="E2216" s="9" t="s">
        <v>11107</v>
      </c>
      <c r="F2216" s="9" t="s">
        <v>11240</v>
      </c>
      <c r="G2216" s="36" t="s">
        <v>14</v>
      </c>
      <c r="H2216" s="36" t="str">
        <f>IFERROR(VLOOKUP(Table2[[#This Row], [Ticket]],Okey!A:B,2,0),"")</f>
        <v/>
      </c>
      <c r="I2216" s="36"/>
      <c r="J2216" s="36" t="s">
        <v>17</v>
      </c>
      <c r="K2216" s="36" t="s">
        <v>11488</v>
      </c>
      <c r="L2216" s="36"/>
    </row>
    <row r="2217" spans="1:12" hidden="1">
      <c r="A2217" s="42">
        <f>1+A2216</f>
        <v>2216</v>
      </c>
      <c r="B2217" s="36" t="s">
        <v>8</v>
      </c>
      <c r="C2217" s="36" t="s">
        <v>11187</v>
      </c>
      <c r="D2217" s="36" t="s">
        <v>11170</v>
      </c>
      <c r="E2217" s="9" t="s">
        <v>11108</v>
      </c>
      <c r="F2217" s="9" t="s">
        <v>11242</v>
      </c>
      <c r="G2217" s="36" t="s">
        <v>14</v>
      </c>
      <c r="H2217" s="36" t="str">
        <f>IFERROR(VLOOKUP(Table2[[#This Row], [Ticket]],Okey!A:B,2,0),"")</f>
        <v/>
      </c>
      <c r="I2217" s="36"/>
      <c r="J2217" s="36" t="s">
        <v>17</v>
      </c>
      <c r="K2217" s="36" t="s">
        <v>11488</v>
      </c>
      <c r="L2217" s="36"/>
    </row>
    <row r="2218" spans="1:12" hidden="1">
      <c r="A2218" s="42">
        <f>1+A2217</f>
        <v>2217</v>
      </c>
      <c r="B2218" s="36" t="s">
        <v>8</v>
      </c>
      <c r="C2218" s="36" t="s">
        <v>11187</v>
      </c>
      <c r="D2218" s="36" t="s">
        <v>11171</v>
      </c>
      <c r="E2218" s="9" t="s">
        <v>11110</v>
      </c>
      <c r="F2218" s="9" t="s">
        <v>11243</v>
      </c>
      <c r="G2218" s="36" t="s">
        <v>14</v>
      </c>
      <c r="H2218" s="36" t="str">
        <f>IFERROR(VLOOKUP(Table2[[#This Row], [Ticket]],Okey!A:B,2,0),"")</f>
        <v/>
      </c>
      <c r="I2218" s="36"/>
      <c r="J2218" s="36" t="s">
        <v>17</v>
      </c>
      <c r="K2218" s="36" t="s">
        <v>11488</v>
      </c>
      <c r="L2218" s="36"/>
    </row>
    <row r="2219" spans="1:12" hidden="1">
      <c r="A2219" s="42">
        <f>1+A2218</f>
        <v>2218</v>
      </c>
      <c r="B2219" s="36" t="s">
        <v>8</v>
      </c>
      <c r="C2219" s="36" t="s">
        <v>11187</v>
      </c>
      <c r="D2219" s="9" t="s">
        <v>11172</v>
      </c>
      <c r="E2219" s="9" t="s">
        <v>11111</v>
      </c>
      <c r="F2219" s="9" t="s">
        <v>11244</v>
      </c>
      <c r="G2219" s="36" t="s">
        <v>14</v>
      </c>
      <c r="H2219" s="36" t="str">
        <f>IFERROR(VLOOKUP(Table2[[#This Row], [Ticket]],Okey!A:B,2,0),"")</f>
        <v/>
      </c>
      <c r="I2219" s="36"/>
      <c r="J2219" s="36" t="s">
        <v>17</v>
      </c>
      <c r="K2219" s="36" t="s">
        <v>11488</v>
      </c>
      <c r="L2219" s="36"/>
    </row>
    <row r="2220" spans="1:12" hidden="1">
      <c r="A2220" s="42">
        <f>1+A2219</f>
        <v>2219</v>
      </c>
      <c r="B2220" s="36" t="s">
        <v>8</v>
      </c>
      <c r="C2220" s="36" t="s">
        <v>11187</v>
      </c>
      <c r="D2220" s="36" t="s">
        <v>11173</v>
      </c>
      <c r="E2220" s="9" t="s">
        <v>11112</v>
      </c>
      <c r="F2220" s="9" t="s">
        <v>11245</v>
      </c>
      <c r="G2220" s="36" t="s">
        <v>14</v>
      </c>
      <c r="H2220" s="36" t="str">
        <f>IFERROR(VLOOKUP(Table2[[#This Row], [Ticket]],Okey!A:B,2,0),"")</f>
        <v/>
      </c>
      <c r="I2220" s="36"/>
      <c r="J2220" s="36" t="s">
        <v>17</v>
      </c>
      <c r="K2220" s="36" t="s">
        <v>11488</v>
      </c>
      <c r="L2220" s="36"/>
    </row>
    <row r="2221" spans="1:12" hidden="1">
      <c r="A2221" s="42">
        <f>1+A2220</f>
        <v>2220</v>
      </c>
      <c r="B2221" s="36" t="s">
        <v>8</v>
      </c>
      <c r="C2221" s="36" t="s">
        <v>11187</v>
      </c>
      <c r="D2221" s="36" t="s">
        <v>11174</v>
      </c>
      <c r="E2221" s="9" t="s">
        <v>11113</v>
      </c>
      <c r="F2221" s="9" t="s">
        <v>11246</v>
      </c>
      <c r="G2221" s="36" t="s">
        <v>14</v>
      </c>
      <c r="H2221" s="36" t="str">
        <f>IFERROR(VLOOKUP(Table2[[#This Row], [Ticket]],Okey!A:B,2,0),"")</f>
        <v/>
      </c>
      <c r="I2221" s="36"/>
      <c r="J2221" s="36" t="s">
        <v>17</v>
      </c>
      <c r="K2221" s="36" t="s">
        <v>11488</v>
      </c>
      <c r="L2221" s="36"/>
    </row>
    <row r="2222" spans="1:12" hidden="1">
      <c r="A2222" s="42">
        <f>1+A2221</f>
        <v>2221</v>
      </c>
      <c r="B2222" s="36" t="s">
        <v>8</v>
      </c>
      <c r="C2222" s="36" t="s">
        <v>11187</v>
      </c>
      <c r="D2222" s="9" t="s">
        <v>11175</v>
      </c>
      <c r="E2222" s="9" t="s">
        <v>11114</v>
      </c>
      <c r="F2222" s="9" t="s">
        <v>11247</v>
      </c>
      <c r="G2222" s="36" t="s">
        <v>14</v>
      </c>
      <c r="H2222" s="36" t="str">
        <f>IFERROR(VLOOKUP(Table2[[#This Row], [Ticket]],Okey!A:B,2,0),"")</f>
        <v/>
      </c>
      <c r="I2222" s="36"/>
      <c r="J2222" s="36" t="s">
        <v>17</v>
      </c>
      <c r="K2222" s="36" t="s">
        <v>11488</v>
      </c>
      <c r="L2222" s="36"/>
    </row>
    <row r="2223" spans="1:12" hidden="1">
      <c r="A2223" s="42">
        <f>1+A2222</f>
        <v>2222</v>
      </c>
      <c r="B2223" s="36" t="s">
        <v>8</v>
      </c>
      <c r="C2223" s="36" t="s">
        <v>11187</v>
      </c>
      <c r="D2223" s="36" t="s">
        <v>11176</v>
      </c>
      <c r="E2223" s="9" t="s">
        <v>11115</v>
      </c>
      <c r="F2223" s="9" t="s">
        <v>11248</v>
      </c>
      <c r="G2223" s="36" t="s">
        <v>14</v>
      </c>
      <c r="H2223" s="36" t="str">
        <f>IFERROR(VLOOKUP(Table2[[#This Row], [Ticket]],Okey!A:B,2,0),"")</f>
        <v/>
      </c>
      <c r="I2223" s="36"/>
      <c r="J2223" s="36" t="s">
        <v>17</v>
      </c>
      <c r="K2223" s="36" t="s">
        <v>11488</v>
      </c>
      <c r="L2223" s="36"/>
    </row>
    <row r="2224" spans="1:12" hidden="1">
      <c r="A2224" s="42">
        <f>1+A2223</f>
        <v>2223</v>
      </c>
      <c r="B2224" s="36" t="s">
        <v>8</v>
      </c>
      <c r="C2224" s="36" t="s">
        <v>11187</v>
      </c>
      <c r="D2224" s="9" t="s">
        <v>11177</v>
      </c>
      <c r="E2224" s="9" t="s">
        <v>11116</v>
      </c>
      <c r="F2224" s="9" t="s">
        <v>11249</v>
      </c>
      <c r="G2224" s="36" t="s">
        <v>14</v>
      </c>
      <c r="H2224" s="36" t="str">
        <f>IFERROR(VLOOKUP(Table2[[#This Row], [Ticket]],Okey!A:B,2,0),"")</f>
        <v/>
      </c>
      <c r="I2224" s="36"/>
      <c r="J2224" s="36" t="s">
        <v>17</v>
      </c>
      <c r="K2224" s="36" t="s">
        <v>11488</v>
      </c>
      <c r="L2224" s="36"/>
    </row>
    <row r="2225" spans="1:12" hidden="1">
      <c r="A2225" s="42">
        <f>1+A2224</f>
        <v>2224</v>
      </c>
      <c r="B2225" s="36" t="s">
        <v>8</v>
      </c>
      <c r="C2225" s="36" t="s">
        <v>11187</v>
      </c>
      <c r="D2225" s="36" t="s">
        <v>11178</v>
      </c>
      <c r="E2225" s="9" t="s">
        <v>11117</v>
      </c>
      <c r="F2225" s="9" t="s">
        <v>11250</v>
      </c>
      <c r="G2225" s="36" t="s">
        <v>14</v>
      </c>
      <c r="H2225" s="36" t="str">
        <f>IFERROR(VLOOKUP(Table2[[#This Row], [Ticket]],Okey!A:B,2,0),"")</f>
        <v/>
      </c>
      <c r="I2225" s="36"/>
      <c r="J2225" s="36" t="s">
        <v>17</v>
      </c>
      <c r="K2225" s="36" t="s">
        <v>11488</v>
      </c>
      <c r="L2225" s="36"/>
    </row>
    <row r="2226" spans="1:12" hidden="1">
      <c r="A2226" s="42">
        <f>1+A2225</f>
        <v>2225</v>
      </c>
      <c r="B2226" s="36" t="s">
        <v>8</v>
      </c>
      <c r="C2226" s="36" t="s">
        <v>11187</v>
      </c>
      <c r="D2226" s="36" t="s">
        <v>11179</v>
      </c>
      <c r="E2226" s="9" t="s">
        <v>11118</v>
      </c>
      <c r="F2226" s="9" t="s">
        <v>11252</v>
      </c>
      <c r="G2226" s="36" t="s">
        <v>14</v>
      </c>
      <c r="H2226" s="36" t="str">
        <f>IFERROR(VLOOKUP(Table2[[#This Row], [Ticket]],Okey!A:B,2,0),"")</f>
        <v/>
      </c>
      <c r="I2226" s="36"/>
      <c r="J2226" s="36" t="s">
        <v>17</v>
      </c>
      <c r="K2226" s="36" t="s">
        <v>11488</v>
      </c>
      <c r="L2226" s="36"/>
    </row>
    <row r="2227" spans="1:12" hidden="1">
      <c r="A2227" s="42">
        <f>1+A2226</f>
        <v>2226</v>
      </c>
      <c r="B2227" s="36" t="s">
        <v>8</v>
      </c>
      <c r="C2227" s="36" t="s">
        <v>11187</v>
      </c>
      <c r="D2227" s="9" t="s">
        <v>11180</v>
      </c>
      <c r="E2227" s="9" t="s">
        <v>11120</v>
      </c>
      <c r="F2227" s="9" t="s">
        <v>11254</v>
      </c>
      <c r="G2227" s="9" t="s">
        <v>14</v>
      </c>
      <c r="H2227" s="36" t="str">
        <f>IFERROR(VLOOKUP(Table2[[#This Row], [Ticket]],Okey!A:B,2,0),"")</f>
        <v/>
      </c>
      <c r="I2227" s="36"/>
      <c r="J2227" s="36" t="s">
        <v>17</v>
      </c>
      <c r="K2227" s="36" t="s">
        <v>11488</v>
      </c>
      <c r="L2227" s="36"/>
    </row>
    <row r="2228" spans="1:12" hidden="1">
      <c r="A2228" s="42">
        <f>1+A2227</f>
        <v>2227</v>
      </c>
      <c r="B2228" s="36" t="s">
        <v>8</v>
      </c>
      <c r="C2228" s="36" t="s">
        <v>11187</v>
      </c>
      <c r="D2228" s="9" t="s">
        <v>6342</v>
      </c>
      <c r="E2228" s="9" t="s">
        <v>11185</v>
      </c>
      <c r="G2228" s="36" t="s">
        <v>15</v>
      </c>
      <c r="H2228" s="36" t="str">
        <f>IFERROR(VLOOKUP(Table2[[#This Row], [Ticket]],Okey!A:B,2,0),"")</f>
        <v/>
      </c>
      <c r="I2228" s="36"/>
      <c r="J2228" s="36" t="s">
        <v>17</v>
      </c>
      <c r="K2228" s="36" t="s">
        <v>11489</v>
      </c>
      <c r="L2228" s="36"/>
    </row>
    <row r="2229" spans="1:12" hidden="1">
      <c r="A2229" s="42">
        <f>1+A2228</f>
        <v>2228</v>
      </c>
      <c r="B2229" s="36" t="s">
        <v>8</v>
      </c>
      <c r="C2229" s="36" t="s">
        <v>11187</v>
      </c>
      <c r="D2229" s="9" t="s">
        <v>6306</v>
      </c>
      <c r="E2229" s="9" t="s">
        <v>11182</v>
      </c>
      <c r="G2229" s="36" t="s">
        <v>15</v>
      </c>
      <c r="H2229" s="36" t="str">
        <f>IFERROR(VLOOKUP(Table2[[#This Row], [Ticket]],Okey!A:B,2,0),"")</f>
        <v/>
      </c>
      <c r="I2229" s="36"/>
      <c r="J2229" s="36" t="s">
        <v>17</v>
      </c>
      <c r="K2229" s="36" t="s">
        <v>11489</v>
      </c>
      <c r="L2229" s="36"/>
    </row>
    <row r="2230" spans="1:12" hidden="1">
      <c r="A2230" s="42">
        <f>1+A2229</f>
        <v>2229</v>
      </c>
      <c r="B2230" s="36" t="s">
        <v>8</v>
      </c>
      <c r="C2230" s="36" t="s">
        <v>11187</v>
      </c>
      <c r="D2230" s="9" t="s">
        <v>6344</v>
      </c>
      <c r="E2230" s="9" t="s">
        <v>11184</v>
      </c>
      <c r="G2230" s="36" t="s">
        <v>15</v>
      </c>
      <c r="H2230" s="36" t="str">
        <f>IFERROR(VLOOKUP(Table2[[#This Row], [Ticket]],Okey!A:B,2,0),"")</f>
        <v/>
      </c>
      <c r="I2230" s="36"/>
      <c r="J2230" s="36" t="s">
        <v>17</v>
      </c>
      <c r="K2230" s="36" t="s">
        <v>11489</v>
      </c>
      <c r="L2230" s="36"/>
    </row>
    <row r="2231" spans="1:12" hidden="1">
      <c r="A2231" s="42">
        <f>1+A2230</f>
        <v>2230</v>
      </c>
      <c r="B2231" s="36" t="s">
        <v>8</v>
      </c>
      <c r="C2231" s="36" t="s">
        <v>11187</v>
      </c>
      <c r="D2231" s="9" t="s">
        <v>5284</v>
      </c>
      <c r="E2231" s="9" t="s">
        <v>11183</v>
      </c>
      <c r="G2231" s="36" t="s">
        <v>15</v>
      </c>
      <c r="H2231" s="36" t="str">
        <f>IFERROR(VLOOKUP(Table2[[#This Row], [Ticket]],Okey!A:B,2,0),"")</f>
        <v/>
      </c>
      <c r="I2231" s="36"/>
      <c r="J2231" s="36" t="s">
        <v>17</v>
      </c>
      <c r="K2231" s="36" t="s">
        <v>11489</v>
      </c>
      <c r="L2231" s="36"/>
    </row>
    <row r="2232" spans="1:12" hidden="1">
      <c r="A2232" s="42">
        <f>1+A2231</f>
        <v>2231</v>
      </c>
      <c r="B2232" s="36" t="s">
        <v>8</v>
      </c>
      <c r="C2232" s="36" t="s">
        <v>11187</v>
      </c>
      <c r="D2232" s="9" t="s">
        <v>6389</v>
      </c>
      <c r="E2232" s="9" t="s">
        <v>11186</v>
      </c>
      <c r="G2232" s="36" t="s">
        <v>15</v>
      </c>
      <c r="H2232" s="36" t="str">
        <f>IFERROR(VLOOKUP(Table2[[#This Row], [Ticket]],Okey!A:B,2,0),"")</f>
        <v/>
      </c>
      <c r="I2232" s="36"/>
      <c r="J2232" s="36" t="s">
        <v>17</v>
      </c>
      <c r="K2232" s="36" t="s">
        <v>11489</v>
      </c>
      <c r="L2232" s="36"/>
    </row>
    <row r="2233" spans="1:12" hidden="1">
      <c r="A2233" s="42">
        <f>1+A2232</f>
        <v>2232</v>
      </c>
      <c r="B2233" s="36" t="s">
        <v>8</v>
      </c>
      <c r="C2233" s="36" t="s">
        <v>11187</v>
      </c>
      <c r="D2233" s="9" t="s">
        <v>6308</v>
      </c>
      <c r="E2233" s="9" t="s">
        <v>11182</v>
      </c>
      <c r="G2233" s="36" t="s">
        <v>15</v>
      </c>
      <c r="H2233" s="36" t="str">
        <f>IFERROR(VLOOKUP(Table2[[#This Row], [Ticket]],Okey!A:B,2,0),"")</f>
        <v/>
      </c>
      <c r="I2233" s="36"/>
      <c r="J2233" s="36" t="s">
        <v>17</v>
      </c>
      <c r="K2233" s="36" t="s">
        <v>11488</v>
      </c>
      <c r="L2233" s="36"/>
    </row>
    <row r="2234" spans="1:12" hidden="1">
      <c r="A2234" s="42">
        <f>1+A2233</f>
        <v>2233</v>
      </c>
      <c r="B2234" s="36" t="s">
        <v>8</v>
      </c>
      <c r="C2234" s="36" t="s">
        <v>11187</v>
      </c>
      <c r="D2234" s="9" t="s">
        <v>7753</v>
      </c>
      <c r="E2234" s="9" t="s">
        <v>11184</v>
      </c>
      <c r="G2234" s="36" t="s">
        <v>15</v>
      </c>
      <c r="H2234" s="36" t="str">
        <f>IFERROR(VLOOKUP(Table2[[#This Row], [Ticket]],Okey!A:B,2,0),"")</f>
        <v/>
      </c>
      <c r="I2234" s="36"/>
      <c r="J2234" s="36" t="s">
        <v>17</v>
      </c>
      <c r="K2234" s="36" t="s">
        <v>11488</v>
      </c>
      <c r="L2234" s="36"/>
    </row>
    <row r="2235" spans="1:12" hidden="1">
      <c r="A2235" s="42">
        <f>1+A2234</f>
        <v>2234</v>
      </c>
      <c r="B2235" s="36" t="s">
        <v>8</v>
      </c>
      <c r="C2235" s="36" t="s">
        <v>11187</v>
      </c>
      <c r="D2235" s="9" t="s">
        <v>6620</v>
      </c>
      <c r="E2235" s="9" t="s">
        <v>11185</v>
      </c>
      <c r="G2235" s="36" t="s">
        <v>15</v>
      </c>
      <c r="H2235" s="36" t="str">
        <f>IFERROR(VLOOKUP(Table2[[#This Row], [Ticket]],Okey!A:B,2,0),"")</f>
        <v/>
      </c>
      <c r="I2235" s="36"/>
      <c r="J2235" s="36" t="s">
        <v>17</v>
      </c>
      <c r="K2235" s="36" t="s">
        <v>11488</v>
      </c>
      <c r="L2235" s="36"/>
    </row>
    <row r="2236" spans="1:12" hidden="1">
      <c r="A2236" s="42">
        <f>1+A2235</f>
        <v>2235</v>
      </c>
      <c r="B2236" s="36" t="s">
        <v>8</v>
      </c>
      <c r="C2236" s="36" t="s">
        <v>11187</v>
      </c>
      <c r="D2236" s="9" t="s">
        <v>6171</v>
      </c>
      <c r="E2236" s="9" t="s">
        <v>11186</v>
      </c>
      <c r="G2236" s="9" t="s">
        <v>15</v>
      </c>
      <c r="H2236" s="36" t="str">
        <f>IFERROR(VLOOKUP(Table2[[#This Row], [Ticket]],Okey!A:B,2,0),"")</f>
        <v/>
      </c>
      <c r="I2236" s="36"/>
      <c r="J2236" s="36" t="s">
        <v>17</v>
      </c>
      <c r="K2236" s="36" t="s">
        <v>11488</v>
      </c>
      <c r="L2236" s="36"/>
    </row>
    <row r="2237" spans="1:12" hidden="1">
      <c r="A2237" s="42">
        <f>1+A2236</f>
        <v>2236</v>
      </c>
      <c r="B2237" s="36" t="s">
        <v>8</v>
      </c>
      <c r="C2237" s="36" t="s">
        <v>11187</v>
      </c>
      <c r="D2237" s="9" t="s">
        <v>6162</v>
      </c>
      <c r="E2237" s="9" t="s">
        <v>11183</v>
      </c>
      <c r="F2237" s="9" t="s">
        <v>11256</v>
      </c>
      <c r="G2237" s="9" t="s">
        <v>16</v>
      </c>
      <c r="H2237" s="36" t="str">
        <f>IFERROR(VLOOKUP(Table2[[#This Row], [Ticket]],Okey!A:B,2,0),"")</f>
        <v/>
      </c>
      <c r="I2237" s="36"/>
      <c r="J2237" s="9" t="s">
        <v>17</v>
      </c>
      <c r="K2237" s="36" t="s">
        <v>11488</v>
      </c>
      <c r="L2237" s="36"/>
    </row>
    <row r="2238" spans="1:12" hidden="1">
      <c r="A2238" s="42">
        <f t="shared" ref="A2238:A2301" si="34">1+A2237</f>
        <v>2237</v>
      </c>
      <c r="B2238" s="36" t="s">
        <v>8</v>
      </c>
      <c r="C2238" s="9" t="s">
        <v>11258</v>
      </c>
      <c r="D2238" s="9" t="s">
        <v>11259</v>
      </c>
      <c r="F2238" s="9" t="s">
        <v>275</v>
      </c>
      <c r="G2238" s="9" t="s">
        <v>8544</v>
      </c>
      <c r="H2238" s="36" t="str">
        <f>IFERROR(VLOOKUP(Table2[[#This Row], [Ticket]],Okey!A:B,2,0),"")</f>
        <v/>
      </c>
      <c r="I2238" s="36"/>
      <c r="J2238" s="36" t="s">
        <v>19</v>
      </c>
      <c r="K2238" s="36" t="s">
        <v>11488</v>
      </c>
      <c r="L2238" s="36"/>
    </row>
    <row r="2239" spans="1:12" hidden="1">
      <c r="A2239" s="42">
        <f t="shared" si="34"/>
        <v>2238</v>
      </c>
      <c r="B2239" s="36" t="s">
        <v>8</v>
      </c>
      <c r="C2239" s="36" t="s">
        <v>11258</v>
      </c>
      <c r="D2239" s="9" t="s">
        <v>11260</v>
      </c>
      <c r="F2239" s="36" t="s">
        <v>275</v>
      </c>
      <c r="G2239" s="36" t="s">
        <v>8544</v>
      </c>
      <c r="H2239" s="36" t="str">
        <f>IFERROR(VLOOKUP(Table2[[#This Row], [Ticket]],Okey!A:B,2,0),"")</f>
        <v/>
      </c>
      <c r="I2239" s="36"/>
      <c r="J2239" s="36" t="s">
        <v>19</v>
      </c>
      <c r="K2239" s="36" t="s">
        <v>11488</v>
      </c>
      <c r="L2239" s="36"/>
    </row>
    <row r="2240" spans="1:12" hidden="1">
      <c r="A2240" s="42">
        <f t="shared" si="34"/>
        <v>2239</v>
      </c>
      <c r="B2240" s="36" t="s">
        <v>8</v>
      </c>
      <c r="C2240" s="36" t="s">
        <v>11258</v>
      </c>
      <c r="D2240" s="9" t="s">
        <v>11261</v>
      </c>
      <c r="F2240" s="36" t="s">
        <v>275</v>
      </c>
      <c r="G2240" s="36" t="s">
        <v>8544</v>
      </c>
      <c r="H2240" s="36" t="str">
        <f>IFERROR(VLOOKUP(Table2[[#This Row], [Ticket]],Okey!A:B,2,0),"")</f>
        <v/>
      </c>
      <c r="I2240" s="36"/>
      <c r="J2240" s="36" t="s">
        <v>19</v>
      </c>
      <c r="K2240" s="36" t="s">
        <v>11488</v>
      </c>
      <c r="L2240" s="36"/>
    </row>
    <row r="2241" spans="1:12" hidden="1">
      <c r="A2241" s="42">
        <f t="shared" si="34"/>
        <v>2240</v>
      </c>
      <c r="B2241" s="36" t="s">
        <v>8</v>
      </c>
      <c r="C2241" s="36" t="s">
        <v>11258</v>
      </c>
      <c r="D2241" s="9" t="s">
        <v>11262</v>
      </c>
      <c r="F2241" s="36" t="s">
        <v>275</v>
      </c>
      <c r="G2241" s="36" t="s">
        <v>8544</v>
      </c>
      <c r="H2241" s="36" t="str">
        <f>IFERROR(VLOOKUP(Table2[[#This Row], [Ticket]],Okey!A:B,2,0),"")</f>
        <v/>
      </c>
      <c r="I2241" s="36"/>
      <c r="J2241" s="36" t="s">
        <v>19</v>
      </c>
      <c r="K2241" s="36" t="s">
        <v>11488</v>
      </c>
      <c r="L2241" s="36"/>
    </row>
    <row r="2242" spans="1:12" hidden="1">
      <c r="A2242" s="42">
        <f t="shared" si="34"/>
        <v>2241</v>
      </c>
      <c r="B2242" s="36" t="s">
        <v>8</v>
      </c>
      <c r="C2242" s="36" t="s">
        <v>11258</v>
      </c>
      <c r="D2242" s="9" t="s">
        <v>11263</v>
      </c>
      <c r="F2242" s="36" t="s">
        <v>275</v>
      </c>
      <c r="G2242" s="36" t="s">
        <v>8544</v>
      </c>
      <c r="H2242" s="36" t="str">
        <f>IFERROR(VLOOKUP(Table2[[#This Row], [Ticket]],Okey!A:B,2,0),"")</f>
        <v/>
      </c>
      <c r="I2242" s="36"/>
      <c r="J2242" s="36" t="s">
        <v>19</v>
      </c>
      <c r="K2242" s="36" t="s">
        <v>11488</v>
      </c>
      <c r="L2242" s="36"/>
    </row>
    <row r="2243" spans="1:12" hidden="1">
      <c r="A2243" s="42">
        <f t="shared" si="34"/>
        <v>2242</v>
      </c>
      <c r="B2243" s="36" t="s">
        <v>8</v>
      </c>
      <c r="C2243" s="36" t="s">
        <v>11258</v>
      </c>
      <c r="D2243" s="9" t="s">
        <v>11264</v>
      </c>
      <c r="F2243" s="36" t="s">
        <v>275</v>
      </c>
      <c r="G2243" s="36" t="s">
        <v>8544</v>
      </c>
      <c r="H2243" s="36" t="str">
        <f>IFERROR(VLOOKUP(Table2[[#This Row], [Ticket]],Okey!A:B,2,0),"")</f>
        <v/>
      </c>
      <c r="I2243" s="36"/>
      <c r="J2243" s="36" t="s">
        <v>19</v>
      </c>
      <c r="K2243" s="36" t="s">
        <v>11488</v>
      </c>
      <c r="L2243" s="36"/>
    </row>
    <row r="2244" spans="1:12" hidden="1">
      <c r="A2244" s="42">
        <f t="shared" si="34"/>
        <v>2243</v>
      </c>
      <c r="B2244" s="36" t="s">
        <v>8</v>
      </c>
      <c r="C2244" s="36" t="s">
        <v>11258</v>
      </c>
      <c r="D2244" s="9" t="s">
        <v>11265</v>
      </c>
      <c r="F2244" s="36" t="s">
        <v>275</v>
      </c>
      <c r="G2244" s="36" t="s">
        <v>8544</v>
      </c>
      <c r="H2244" s="36" t="str">
        <f>IFERROR(VLOOKUP(Table2[[#This Row], [Ticket]],Okey!A:B,2,0),"")</f>
        <v/>
      </c>
      <c r="I2244" s="36"/>
      <c r="J2244" s="36" t="s">
        <v>19</v>
      </c>
      <c r="K2244" s="36" t="s">
        <v>11488</v>
      </c>
      <c r="L2244" s="36"/>
    </row>
    <row r="2245" spans="1:12" hidden="1">
      <c r="A2245" s="42">
        <f t="shared" si="34"/>
        <v>2244</v>
      </c>
      <c r="B2245" s="36" t="s">
        <v>8</v>
      </c>
      <c r="C2245" s="36" t="s">
        <v>11258</v>
      </c>
      <c r="D2245" s="9" t="s">
        <v>11266</v>
      </c>
      <c r="F2245" s="36" t="s">
        <v>275</v>
      </c>
      <c r="G2245" s="36" t="s">
        <v>8544</v>
      </c>
      <c r="H2245" s="36" t="str">
        <f>IFERROR(VLOOKUP(Table2[[#This Row], [Ticket]],Okey!A:B,2,0),"")</f>
        <v/>
      </c>
      <c r="I2245" s="36"/>
      <c r="J2245" s="36" t="s">
        <v>19</v>
      </c>
      <c r="K2245" s="36" t="s">
        <v>11488</v>
      </c>
      <c r="L2245" s="36"/>
    </row>
    <row r="2246" spans="1:12" hidden="1">
      <c r="A2246" s="42">
        <f t="shared" si="34"/>
        <v>2245</v>
      </c>
      <c r="B2246" s="36" t="s">
        <v>8</v>
      </c>
      <c r="C2246" s="36" t="s">
        <v>11258</v>
      </c>
      <c r="D2246" s="9" t="s">
        <v>11267</v>
      </c>
      <c r="F2246" s="36" t="s">
        <v>275</v>
      </c>
      <c r="G2246" s="36" t="s">
        <v>8544</v>
      </c>
      <c r="H2246" s="36" t="str">
        <f>IFERROR(VLOOKUP(Table2[[#This Row], [Ticket]],Okey!A:B,2,0),"")</f>
        <v/>
      </c>
      <c r="I2246" s="36"/>
      <c r="J2246" s="36" t="s">
        <v>19</v>
      </c>
      <c r="K2246" s="36" t="s">
        <v>11488</v>
      </c>
      <c r="L2246" s="36"/>
    </row>
    <row r="2247" spans="1:12" hidden="1">
      <c r="A2247" s="42">
        <f t="shared" si="34"/>
        <v>2246</v>
      </c>
      <c r="B2247" s="36" t="s">
        <v>8</v>
      </c>
      <c r="C2247" s="36" t="s">
        <v>11258</v>
      </c>
      <c r="D2247" s="9" t="s">
        <v>11268</v>
      </c>
      <c r="F2247" s="36" t="s">
        <v>275</v>
      </c>
      <c r="G2247" s="36" t="s">
        <v>8544</v>
      </c>
      <c r="H2247" s="36" t="str">
        <f>IFERROR(VLOOKUP(Table2[[#This Row], [Ticket]],Okey!A:B,2,0),"")</f>
        <v/>
      </c>
      <c r="I2247" s="36"/>
      <c r="J2247" s="36" t="s">
        <v>19</v>
      </c>
      <c r="K2247" s="36" t="s">
        <v>11488</v>
      </c>
      <c r="L2247" s="36"/>
    </row>
    <row r="2248" spans="1:12" hidden="1">
      <c r="A2248" s="42">
        <f t="shared" si="34"/>
        <v>2247</v>
      </c>
      <c r="B2248" s="36" t="s">
        <v>8</v>
      </c>
      <c r="C2248" s="36" t="s">
        <v>11258</v>
      </c>
      <c r="D2248" s="9" t="s">
        <v>11269</v>
      </c>
      <c r="F2248" s="36" t="s">
        <v>275</v>
      </c>
      <c r="G2248" s="36" t="s">
        <v>8544</v>
      </c>
      <c r="H2248" s="36" t="str">
        <f>IFERROR(VLOOKUP(Table2[[#This Row], [Ticket]],Okey!A:B,2,0),"")</f>
        <v/>
      </c>
      <c r="I2248" s="36"/>
      <c r="J2248" s="36" t="s">
        <v>19</v>
      </c>
      <c r="K2248" s="36" t="s">
        <v>11488</v>
      </c>
      <c r="L2248" s="36"/>
    </row>
    <row r="2249" spans="1:12" hidden="1">
      <c r="A2249" s="42">
        <f t="shared" si="34"/>
        <v>2248</v>
      </c>
      <c r="B2249" s="36" t="s">
        <v>8</v>
      </c>
      <c r="C2249" s="36" t="s">
        <v>11258</v>
      </c>
      <c r="D2249" s="9" t="s">
        <v>11270</v>
      </c>
      <c r="F2249" s="36" t="s">
        <v>275</v>
      </c>
      <c r="G2249" s="36" t="s">
        <v>8544</v>
      </c>
      <c r="H2249" s="36" t="str">
        <f>IFERROR(VLOOKUP(Table2[[#This Row], [Ticket]],Okey!A:B,2,0),"")</f>
        <v/>
      </c>
      <c r="I2249" s="36"/>
      <c r="J2249" s="36" t="s">
        <v>19</v>
      </c>
      <c r="K2249" s="36" t="s">
        <v>11488</v>
      </c>
      <c r="L2249" s="36"/>
    </row>
    <row r="2250" spans="1:12">
      <c r="A2250" s="42">
        <f t="shared" si="34"/>
        <v>2249</v>
      </c>
      <c r="B2250" s="36" t="s">
        <v>8</v>
      </c>
      <c r="C2250" s="36" t="s">
        <v>11258</v>
      </c>
      <c r="D2250" s="9" t="s">
        <v>7403</v>
      </c>
      <c r="F2250" s="36" t="s">
        <v>275</v>
      </c>
      <c r="G2250" s="36" t="s">
        <v>8544</v>
      </c>
      <c r="H2250" s="36" t="str">
        <f>IFERROR(VLOOKUP(Table2[[#This Row], [Ticket]],Okey!A:B,2,0),"")</f>
        <v/>
      </c>
      <c r="I2250" s="36"/>
      <c r="J2250" s="36" t="s">
        <v>19</v>
      </c>
      <c r="K2250" s="36" t="s">
        <v>11488</v>
      </c>
      <c r="L2250" s="36"/>
    </row>
    <row r="2251" spans="1:12">
      <c r="A2251" s="42">
        <f t="shared" si="34"/>
        <v>2250</v>
      </c>
      <c r="B2251" s="36" t="s">
        <v>8</v>
      </c>
      <c r="C2251" s="36" t="s">
        <v>11258</v>
      </c>
      <c r="D2251" s="9" t="s">
        <v>7404</v>
      </c>
      <c r="F2251" s="36" t="s">
        <v>275</v>
      </c>
      <c r="G2251" s="36" t="s">
        <v>8544</v>
      </c>
      <c r="H2251" s="36" t="str">
        <f>IFERROR(VLOOKUP(Table2[[#This Row], [Ticket]],Okey!A:B,2,0),"")</f>
        <v/>
      </c>
      <c r="I2251" s="36"/>
      <c r="J2251" s="36" t="s">
        <v>19</v>
      </c>
      <c r="K2251" s="36" t="s">
        <v>11488</v>
      </c>
      <c r="L2251" s="36"/>
    </row>
    <row r="2252" spans="1:12">
      <c r="A2252" s="42">
        <f t="shared" si="34"/>
        <v>2251</v>
      </c>
      <c r="B2252" s="36" t="s">
        <v>8</v>
      </c>
      <c r="C2252" s="36" t="s">
        <v>11258</v>
      </c>
      <c r="D2252" s="9" t="s">
        <v>7405</v>
      </c>
      <c r="F2252" s="36" t="s">
        <v>275</v>
      </c>
      <c r="G2252" s="36" t="s">
        <v>8544</v>
      </c>
      <c r="H2252" s="36" t="str">
        <f>IFERROR(VLOOKUP(Table2[[#This Row], [Ticket]],Okey!A:B,2,0),"")</f>
        <v/>
      </c>
      <c r="I2252" s="36"/>
      <c r="J2252" s="36" t="s">
        <v>19</v>
      </c>
      <c r="K2252" s="36" t="s">
        <v>11488</v>
      </c>
      <c r="L2252" s="36"/>
    </row>
    <row r="2253" spans="1:12" hidden="1">
      <c r="A2253" s="42">
        <f t="shared" si="34"/>
        <v>2252</v>
      </c>
      <c r="B2253" s="36" t="s">
        <v>8</v>
      </c>
      <c r="C2253" s="36" t="s">
        <v>11258</v>
      </c>
      <c r="D2253" s="9" t="s">
        <v>11271</v>
      </c>
      <c r="F2253" s="36" t="s">
        <v>275</v>
      </c>
      <c r="G2253" s="36" t="s">
        <v>8544</v>
      </c>
      <c r="H2253" s="36" t="str">
        <f>IFERROR(VLOOKUP(Table2[[#This Row], [Ticket]],Okey!A:B,2,0),"")</f>
        <v/>
      </c>
      <c r="I2253" s="36"/>
      <c r="J2253" s="36" t="s">
        <v>19</v>
      </c>
      <c r="K2253" s="36" t="s">
        <v>11488</v>
      </c>
      <c r="L2253" s="36"/>
    </row>
    <row r="2254" spans="1:12" hidden="1">
      <c r="A2254" s="42">
        <f t="shared" si="34"/>
        <v>2253</v>
      </c>
      <c r="B2254" s="36" t="s">
        <v>8</v>
      </c>
      <c r="C2254" s="36" t="s">
        <v>11258</v>
      </c>
      <c r="D2254" s="9" t="s">
        <v>11272</v>
      </c>
      <c r="F2254" s="36" t="s">
        <v>275</v>
      </c>
      <c r="G2254" s="36" t="s">
        <v>8544</v>
      </c>
      <c r="H2254" s="36" t="str">
        <f>IFERROR(VLOOKUP(Table2[[#This Row], [Ticket]],Okey!A:B,2,0),"")</f>
        <v/>
      </c>
      <c r="I2254" s="36"/>
      <c r="J2254" s="36" t="s">
        <v>19</v>
      </c>
      <c r="K2254" s="36" t="s">
        <v>11488</v>
      </c>
      <c r="L2254" s="36"/>
    </row>
    <row r="2255" spans="1:12" hidden="1">
      <c r="A2255" s="42">
        <f t="shared" si="34"/>
        <v>2254</v>
      </c>
      <c r="B2255" s="36" t="s">
        <v>8</v>
      </c>
      <c r="C2255" s="36" t="s">
        <v>11258</v>
      </c>
      <c r="D2255" s="9" t="s">
        <v>11273</v>
      </c>
      <c r="F2255" s="36" t="s">
        <v>275</v>
      </c>
      <c r="G2255" s="36" t="s">
        <v>8544</v>
      </c>
      <c r="H2255" s="36" t="str">
        <f>IFERROR(VLOOKUP(Table2[[#This Row], [Ticket]],Okey!A:B,2,0),"")</f>
        <v/>
      </c>
      <c r="I2255" s="36"/>
      <c r="J2255" s="36" t="s">
        <v>19</v>
      </c>
      <c r="K2255" s="36" t="s">
        <v>11488</v>
      </c>
      <c r="L2255" s="36"/>
    </row>
    <row r="2256" spans="1:12" hidden="1">
      <c r="A2256" s="42">
        <f t="shared" si="34"/>
        <v>2255</v>
      </c>
      <c r="B2256" s="36" t="s">
        <v>8</v>
      </c>
      <c r="C2256" s="36" t="s">
        <v>11258</v>
      </c>
      <c r="D2256" s="9" t="s">
        <v>11274</v>
      </c>
      <c r="F2256" s="36" t="s">
        <v>275</v>
      </c>
      <c r="G2256" s="36" t="s">
        <v>8544</v>
      </c>
      <c r="H2256" s="36" t="str">
        <f>IFERROR(VLOOKUP(Table2[[#This Row], [Ticket]],Okey!A:B,2,0),"")</f>
        <v/>
      </c>
      <c r="I2256" s="36"/>
      <c r="J2256" s="36" t="s">
        <v>19</v>
      </c>
      <c r="K2256" s="36" t="s">
        <v>11488</v>
      </c>
      <c r="L2256" s="36"/>
    </row>
    <row r="2257" spans="1:12" hidden="1">
      <c r="A2257" s="42">
        <f t="shared" si="34"/>
        <v>2256</v>
      </c>
      <c r="B2257" s="36" t="s">
        <v>8</v>
      </c>
      <c r="C2257" s="36" t="s">
        <v>11258</v>
      </c>
      <c r="D2257" s="9" t="s">
        <v>11275</v>
      </c>
      <c r="F2257" s="36" t="s">
        <v>275</v>
      </c>
      <c r="G2257" s="36" t="s">
        <v>8544</v>
      </c>
      <c r="H2257" s="36" t="str">
        <f>IFERROR(VLOOKUP(Table2[[#This Row], [Ticket]],Okey!A:B,2,0),"")</f>
        <v/>
      </c>
      <c r="I2257" s="36"/>
      <c r="J2257" s="36" t="s">
        <v>19</v>
      </c>
      <c r="K2257" s="36" t="s">
        <v>11488</v>
      </c>
      <c r="L2257" s="36"/>
    </row>
    <row r="2258" spans="1:12" hidden="1">
      <c r="A2258" s="42">
        <f t="shared" si="34"/>
        <v>2257</v>
      </c>
      <c r="B2258" s="36" t="s">
        <v>8</v>
      </c>
      <c r="C2258" s="36" t="s">
        <v>11258</v>
      </c>
      <c r="D2258" s="9" t="s">
        <v>11276</v>
      </c>
      <c r="F2258" s="36" t="s">
        <v>275</v>
      </c>
      <c r="G2258" s="36" t="s">
        <v>8544</v>
      </c>
      <c r="H2258" s="36" t="str">
        <f>IFERROR(VLOOKUP(Table2[[#This Row], [Ticket]],Okey!A:B,2,0),"")</f>
        <v/>
      </c>
      <c r="I2258" s="36"/>
      <c r="J2258" s="36" t="s">
        <v>19</v>
      </c>
      <c r="K2258" s="36" t="s">
        <v>11488</v>
      </c>
      <c r="L2258" s="36"/>
    </row>
    <row r="2259" spans="1:12" hidden="1">
      <c r="A2259" s="42">
        <f t="shared" si="34"/>
        <v>2258</v>
      </c>
      <c r="B2259" s="36" t="s">
        <v>8</v>
      </c>
      <c r="C2259" s="36" t="s">
        <v>11258</v>
      </c>
      <c r="D2259" s="9" t="s">
        <v>11277</v>
      </c>
      <c r="F2259" s="36" t="s">
        <v>275</v>
      </c>
      <c r="G2259" s="36" t="s">
        <v>8544</v>
      </c>
      <c r="H2259" s="36" t="str">
        <f>IFERROR(VLOOKUP(Table2[[#This Row], [Ticket]],Okey!A:B,2,0),"")</f>
        <v/>
      </c>
      <c r="I2259" s="36"/>
      <c r="J2259" s="36" t="s">
        <v>19</v>
      </c>
      <c r="K2259" s="36" t="s">
        <v>11488</v>
      </c>
      <c r="L2259" s="36"/>
    </row>
    <row r="2260" spans="1:12" hidden="1">
      <c r="A2260" s="42">
        <f t="shared" si="34"/>
        <v>2259</v>
      </c>
      <c r="B2260" s="36" t="s">
        <v>8</v>
      </c>
      <c r="C2260" s="36" t="s">
        <v>11258</v>
      </c>
      <c r="D2260" s="9" t="s">
        <v>11278</v>
      </c>
      <c r="F2260" s="36" t="s">
        <v>275</v>
      </c>
      <c r="G2260" s="36" t="s">
        <v>8544</v>
      </c>
      <c r="H2260" s="36" t="str">
        <f>IFERROR(VLOOKUP(Table2[[#This Row], [Ticket]],Okey!A:B,2,0),"")</f>
        <v/>
      </c>
      <c r="I2260" s="36"/>
      <c r="J2260" s="36" t="s">
        <v>19</v>
      </c>
      <c r="K2260" s="36" t="s">
        <v>11488</v>
      </c>
      <c r="L2260" s="36"/>
    </row>
    <row r="2261" spans="1:12" hidden="1">
      <c r="A2261" s="42">
        <f t="shared" si="34"/>
        <v>2260</v>
      </c>
      <c r="B2261" s="36" t="s">
        <v>8</v>
      </c>
      <c r="C2261" s="36" t="s">
        <v>11258</v>
      </c>
      <c r="D2261" s="9" t="s">
        <v>11279</v>
      </c>
      <c r="F2261" s="36" t="s">
        <v>275</v>
      </c>
      <c r="G2261" s="36" t="s">
        <v>8544</v>
      </c>
      <c r="H2261" s="36" t="str">
        <f>IFERROR(VLOOKUP(Table2[[#This Row], [Ticket]],Okey!A:B,2,0),"")</f>
        <v/>
      </c>
      <c r="I2261" s="36"/>
      <c r="J2261" s="36" t="s">
        <v>19</v>
      </c>
      <c r="K2261" s="36" t="s">
        <v>11488</v>
      </c>
      <c r="L2261" s="36"/>
    </row>
    <row r="2262" spans="1:12" hidden="1">
      <c r="A2262" s="42">
        <f t="shared" si="34"/>
        <v>2261</v>
      </c>
      <c r="B2262" s="36" t="s">
        <v>8</v>
      </c>
      <c r="C2262" s="36" t="s">
        <v>11258</v>
      </c>
      <c r="D2262" s="9" t="s">
        <v>11280</v>
      </c>
      <c r="F2262" s="36" t="s">
        <v>275</v>
      </c>
      <c r="G2262" s="36" t="s">
        <v>8544</v>
      </c>
      <c r="H2262" s="36" t="str">
        <f>IFERROR(VLOOKUP(Table2[[#This Row], [Ticket]],Okey!A:B,2,0),"")</f>
        <v/>
      </c>
      <c r="I2262" s="36"/>
      <c r="J2262" s="36" t="s">
        <v>19</v>
      </c>
      <c r="K2262" s="36" t="s">
        <v>11488</v>
      </c>
      <c r="L2262" s="36"/>
    </row>
    <row r="2263" spans="1:12" hidden="1">
      <c r="A2263" s="42">
        <f t="shared" si="34"/>
        <v>2262</v>
      </c>
      <c r="B2263" s="36" t="s">
        <v>8</v>
      </c>
      <c r="C2263" s="36" t="s">
        <v>11258</v>
      </c>
      <c r="D2263" s="9" t="s">
        <v>11281</v>
      </c>
      <c r="F2263" s="36" t="s">
        <v>275</v>
      </c>
      <c r="G2263" s="36" t="s">
        <v>8544</v>
      </c>
      <c r="H2263" s="36" t="str">
        <f>IFERROR(VLOOKUP(Table2[[#This Row], [Ticket]],Okey!A:B,2,0),"")</f>
        <v/>
      </c>
      <c r="I2263" s="36"/>
      <c r="J2263" s="36" t="s">
        <v>19</v>
      </c>
      <c r="K2263" s="36" t="s">
        <v>11488</v>
      </c>
      <c r="L2263" s="36"/>
    </row>
    <row r="2264" spans="1:12">
      <c r="A2264" s="42">
        <f t="shared" si="34"/>
        <v>2263</v>
      </c>
      <c r="B2264" s="36" t="s">
        <v>8</v>
      </c>
      <c r="C2264" s="36" t="s">
        <v>11258</v>
      </c>
      <c r="D2264" s="9" t="s">
        <v>7412</v>
      </c>
      <c r="F2264" s="36" t="s">
        <v>275</v>
      </c>
      <c r="G2264" s="36" t="s">
        <v>8544</v>
      </c>
      <c r="H2264" s="36" t="str">
        <f>IFERROR(VLOOKUP(Table2[[#This Row], [Ticket]],Okey!A:B,2,0),"")</f>
        <v/>
      </c>
      <c r="I2264" s="36"/>
      <c r="J2264" s="36" t="s">
        <v>19</v>
      </c>
      <c r="K2264" s="36" t="s">
        <v>11488</v>
      </c>
      <c r="L2264" s="36"/>
    </row>
    <row r="2265" spans="1:12">
      <c r="A2265" s="42">
        <f t="shared" si="34"/>
        <v>2264</v>
      </c>
      <c r="B2265" s="36" t="s">
        <v>8</v>
      </c>
      <c r="C2265" s="36" t="s">
        <v>11258</v>
      </c>
      <c r="D2265" s="9" t="s">
        <v>7414</v>
      </c>
      <c r="F2265" s="36" t="s">
        <v>275</v>
      </c>
      <c r="G2265" s="36" t="s">
        <v>8544</v>
      </c>
      <c r="H2265" s="36" t="str">
        <f>IFERROR(VLOOKUP(Table2[[#This Row], [Ticket]],Okey!A:B,2,0),"")</f>
        <v/>
      </c>
      <c r="I2265" s="36"/>
      <c r="J2265" s="36" t="s">
        <v>19</v>
      </c>
      <c r="K2265" s="36" t="s">
        <v>11488</v>
      </c>
      <c r="L2265" s="36"/>
    </row>
    <row r="2266" spans="1:12">
      <c r="A2266" s="42">
        <f t="shared" si="34"/>
        <v>2265</v>
      </c>
      <c r="B2266" s="36" t="s">
        <v>8</v>
      </c>
      <c r="C2266" s="36" t="s">
        <v>11258</v>
      </c>
      <c r="D2266" s="9" t="s">
        <v>7415</v>
      </c>
      <c r="F2266" s="36" t="s">
        <v>275</v>
      </c>
      <c r="G2266" s="36" t="s">
        <v>8544</v>
      </c>
      <c r="H2266" s="36" t="str">
        <f>IFERROR(VLOOKUP(Table2[[#This Row], [Ticket]],Okey!A:B,2,0),"")</f>
        <v/>
      </c>
      <c r="I2266" s="36"/>
      <c r="J2266" s="36" t="s">
        <v>19</v>
      </c>
      <c r="K2266" s="36" t="s">
        <v>11488</v>
      </c>
      <c r="L2266" s="36"/>
    </row>
    <row r="2267" spans="1:12">
      <c r="A2267" s="42">
        <f t="shared" si="34"/>
        <v>2266</v>
      </c>
      <c r="B2267" s="36" t="s">
        <v>8</v>
      </c>
      <c r="C2267" s="36" t="s">
        <v>11258</v>
      </c>
      <c r="D2267" s="9" t="s">
        <v>7416</v>
      </c>
      <c r="F2267" s="36" t="s">
        <v>275</v>
      </c>
      <c r="G2267" s="36" t="s">
        <v>8544</v>
      </c>
      <c r="H2267" s="36" t="str">
        <f>IFERROR(VLOOKUP(Table2[[#This Row], [Ticket]],Okey!A:B,2,0),"")</f>
        <v/>
      </c>
      <c r="I2267" s="36"/>
      <c r="J2267" s="36" t="s">
        <v>19</v>
      </c>
      <c r="K2267" s="36" t="s">
        <v>11488</v>
      </c>
      <c r="L2267" s="36"/>
    </row>
    <row r="2268" spans="1:12">
      <c r="A2268" s="42">
        <f t="shared" si="34"/>
        <v>2267</v>
      </c>
      <c r="B2268" s="36" t="s">
        <v>8</v>
      </c>
      <c r="C2268" s="36" t="s">
        <v>11258</v>
      </c>
      <c r="D2268" s="9" t="s">
        <v>7417</v>
      </c>
      <c r="F2268" s="36" t="s">
        <v>275</v>
      </c>
      <c r="G2268" s="36" t="s">
        <v>8544</v>
      </c>
      <c r="H2268" s="36" t="str">
        <f>IFERROR(VLOOKUP(Table2[[#This Row], [Ticket]],Okey!A:B,2,0),"")</f>
        <v/>
      </c>
      <c r="I2268" s="36"/>
      <c r="J2268" s="36" t="s">
        <v>19</v>
      </c>
      <c r="K2268" s="36" t="s">
        <v>11488</v>
      </c>
      <c r="L2268" s="36"/>
    </row>
    <row r="2269" spans="1:12">
      <c r="A2269" s="42">
        <f t="shared" si="34"/>
        <v>2268</v>
      </c>
      <c r="B2269" s="36" t="s">
        <v>8</v>
      </c>
      <c r="C2269" s="36" t="s">
        <v>11258</v>
      </c>
      <c r="D2269" s="9" t="s">
        <v>7418</v>
      </c>
      <c r="F2269" s="36" t="s">
        <v>275</v>
      </c>
      <c r="G2269" s="36" t="s">
        <v>8544</v>
      </c>
      <c r="H2269" s="36" t="str">
        <f>IFERROR(VLOOKUP(Table2[[#This Row], [Ticket]],Okey!A:B,2,0),"")</f>
        <v/>
      </c>
      <c r="I2269" s="36"/>
      <c r="J2269" s="36" t="s">
        <v>19</v>
      </c>
      <c r="K2269" s="36" t="s">
        <v>11488</v>
      </c>
      <c r="L2269" s="36"/>
    </row>
    <row r="2270" spans="1:12">
      <c r="A2270" s="42">
        <f t="shared" si="34"/>
        <v>2269</v>
      </c>
      <c r="B2270" s="36" t="s">
        <v>8</v>
      </c>
      <c r="C2270" s="36" t="s">
        <v>11258</v>
      </c>
      <c r="D2270" s="9" t="s">
        <v>7419</v>
      </c>
      <c r="F2270" s="36" t="s">
        <v>275</v>
      </c>
      <c r="G2270" s="36" t="s">
        <v>8544</v>
      </c>
      <c r="H2270" s="36" t="str">
        <f>IFERROR(VLOOKUP(Table2[[#This Row], [Ticket]],Okey!A:B,2,0),"")</f>
        <v/>
      </c>
      <c r="I2270" s="36"/>
      <c r="J2270" s="36" t="s">
        <v>19</v>
      </c>
      <c r="K2270" s="36" t="s">
        <v>11488</v>
      </c>
      <c r="L2270" s="36"/>
    </row>
    <row r="2271" spans="1:12" hidden="1">
      <c r="A2271" s="42">
        <f t="shared" si="34"/>
        <v>2270</v>
      </c>
      <c r="B2271" s="36" t="s">
        <v>8</v>
      </c>
      <c r="C2271" s="36" t="s">
        <v>11258</v>
      </c>
      <c r="D2271" s="9" t="s">
        <v>11282</v>
      </c>
      <c r="F2271" s="36" t="s">
        <v>275</v>
      </c>
      <c r="G2271" s="36" t="s">
        <v>8544</v>
      </c>
      <c r="H2271" s="36" t="str">
        <f>IFERROR(VLOOKUP(Table2[[#This Row], [Ticket]],Okey!A:B,2,0),"")</f>
        <v/>
      </c>
      <c r="I2271" s="36"/>
      <c r="J2271" s="36" t="s">
        <v>19</v>
      </c>
      <c r="K2271" s="36" t="s">
        <v>11488</v>
      </c>
      <c r="L2271" s="36"/>
    </row>
    <row r="2272" spans="1:12" hidden="1">
      <c r="A2272" s="42">
        <f t="shared" si="34"/>
        <v>2271</v>
      </c>
      <c r="B2272" s="36" t="s">
        <v>8</v>
      </c>
      <c r="C2272" s="36" t="s">
        <v>11258</v>
      </c>
      <c r="D2272" s="9" t="s">
        <v>11283</v>
      </c>
      <c r="F2272" s="36" t="s">
        <v>275</v>
      </c>
      <c r="G2272" s="36" t="s">
        <v>8544</v>
      </c>
      <c r="H2272" s="36" t="str">
        <f>IFERROR(VLOOKUP(Table2[[#This Row], [Ticket]],Okey!A:B,2,0),"")</f>
        <v/>
      </c>
      <c r="I2272" s="36"/>
      <c r="J2272" s="36" t="s">
        <v>19</v>
      </c>
      <c r="K2272" s="36" t="s">
        <v>11488</v>
      </c>
      <c r="L2272" s="36"/>
    </row>
    <row r="2273" spans="1:12" hidden="1">
      <c r="A2273" s="42">
        <f t="shared" si="34"/>
        <v>2272</v>
      </c>
      <c r="B2273" s="36" t="s">
        <v>8</v>
      </c>
      <c r="C2273" s="36" t="s">
        <v>11258</v>
      </c>
      <c r="D2273" s="9" t="s">
        <v>11284</v>
      </c>
      <c r="F2273" s="36" t="s">
        <v>275</v>
      </c>
      <c r="G2273" s="36" t="s">
        <v>8544</v>
      </c>
      <c r="H2273" s="36" t="str">
        <f>IFERROR(VLOOKUP(Table2[[#This Row], [Ticket]],Okey!A:B,2,0),"")</f>
        <v/>
      </c>
      <c r="I2273" s="36"/>
      <c r="J2273" s="36" t="s">
        <v>19</v>
      </c>
      <c r="K2273" s="36" t="s">
        <v>11488</v>
      </c>
      <c r="L2273" s="36"/>
    </row>
    <row r="2274" spans="1:12" hidden="1">
      <c r="A2274" s="42">
        <f t="shared" si="34"/>
        <v>2273</v>
      </c>
      <c r="B2274" s="36" t="s">
        <v>8</v>
      </c>
      <c r="C2274" s="36" t="s">
        <v>11258</v>
      </c>
      <c r="D2274" s="9" t="s">
        <v>11285</v>
      </c>
      <c r="F2274" s="36" t="s">
        <v>275</v>
      </c>
      <c r="G2274" s="36" t="s">
        <v>8544</v>
      </c>
      <c r="H2274" s="36" t="str">
        <f>IFERROR(VLOOKUP(Table2[[#This Row], [Ticket]],Okey!A:B,2,0),"")</f>
        <v/>
      </c>
      <c r="I2274" s="36"/>
      <c r="J2274" s="36" t="s">
        <v>19</v>
      </c>
      <c r="K2274" s="36" t="s">
        <v>11488</v>
      </c>
      <c r="L2274" s="36"/>
    </row>
    <row r="2275" spans="1:12" hidden="1">
      <c r="A2275" s="42">
        <f t="shared" si="34"/>
        <v>2274</v>
      </c>
      <c r="B2275" s="36" t="s">
        <v>8</v>
      </c>
      <c r="C2275" s="36" t="s">
        <v>11258</v>
      </c>
      <c r="D2275" s="9" t="s">
        <v>11286</v>
      </c>
      <c r="F2275" s="36" t="s">
        <v>275</v>
      </c>
      <c r="G2275" s="36" t="s">
        <v>8544</v>
      </c>
      <c r="H2275" s="36" t="str">
        <f>IFERROR(VLOOKUP(Table2[[#This Row], [Ticket]],Okey!A:B,2,0),"")</f>
        <v/>
      </c>
      <c r="I2275" s="36"/>
      <c r="J2275" s="36" t="s">
        <v>19</v>
      </c>
      <c r="K2275" s="36" t="s">
        <v>11488</v>
      </c>
      <c r="L2275" s="36"/>
    </row>
    <row r="2276" spans="1:12" hidden="1">
      <c r="A2276" s="42">
        <f t="shared" si="34"/>
        <v>2275</v>
      </c>
      <c r="B2276" s="36" t="s">
        <v>8</v>
      </c>
      <c r="C2276" s="36" t="s">
        <v>11258</v>
      </c>
      <c r="D2276" s="9" t="s">
        <v>11287</v>
      </c>
      <c r="F2276" s="36" t="s">
        <v>275</v>
      </c>
      <c r="G2276" s="36" t="s">
        <v>8544</v>
      </c>
      <c r="H2276" s="36" t="str">
        <f>IFERROR(VLOOKUP(Table2[[#This Row], [Ticket]],Okey!A:B,2,0),"")</f>
        <v/>
      </c>
      <c r="I2276" s="36"/>
      <c r="J2276" s="36" t="s">
        <v>19</v>
      </c>
      <c r="K2276" s="36" t="s">
        <v>11488</v>
      </c>
      <c r="L2276" s="36"/>
    </row>
    <row r="2277" spans="1:12" hidden="1">
      <c r="A2277" s="42">
        <f t="shared" si="34"/>
        <v>2276</v>
      </c>
      <c r="B2277" s="36" t="s">
        <v>8</v>
      </c>
      <c r="C2277" s="36" t="s">
        <v>11258</v>
      </c>
      <c r="D2277" s="9" t="s">
        <v>11288</v>
      </c>
      <c r="F2277" s="36" t="s">
        <v>275</v>
      </c>
      <c r="G2277" s="36" t="s">
        <v>8544</v>
      </c>
      <c r="H2277" s="36" t="str">
        <f>IFERROR(VLOOKUP(Table2[[#This Row], [Ticket]],Okey!A:B,2,0),"")</f>
        <v/>
      </c>
      <c r="I2277" s="36"/>
      <c r="J2277" s="36" t="s">
        <v>19</v>
      </c>
      <c r="K2277" s="36" t="s">
        <v>11488</v>
      </c>
      <c r="L2277" s="36"/>
    </row>
    <row r="2278" spans="1:12" hidden="1">
      <c r="A2278" s="42">
        <f t="shared" si="34"/>
        <v>2277</v>
      </c>
      <c r="B2278" s="36" t="s">
        <v>8</v>
      </c>
      <c r="C2278" s="36" t="s">
        <v>11258</v>
      </c>
      <c r="D2278" s="9" t="s">
        <v>11289</v>
      </c>
      <c r="F2278" s="36" t="s">
        <v>275</v>
      </c>
      <c r="G2278" s="36" t="s">
        <v>8544</v>
      </c>
      <c r="H2278" s="36" t="str">
        <f>IFERROR(VLOOKUP(Table2[[#This Row], [Ticket]],Okey!A:B,2,0),"")</f>
        <v/>
      </c>
      <c r="I2278" s="36"/>
      <c r="J2278" s="36" t="s">
        <v>19</v>
      </c>
      <c r="K2278" s="36" t="s">
        <v>11488</v>
      </c>
      <c r="L2278" s="36"/>
    </row>
    <row r="2279" spans="1:12" hidden="1">
      <c r="A2279" s="42">
        <f t="shared" si="34"/>
        <v>2278</v>
      </c>
      <c r="B2279" s="36" t="s">
        <v>8</v>
      </c>
      <c r="C2279" s="36" t="s">
        <v>11258</v>
      </c>
      <c r="D2279" s="9" t="s">
        <v>11290</v>
      </c>
      <c r="F2279" s="36" t="s">
        <v>275</v>
      </c>
      <c r="G2279" s="36" t="s">
        <v>8544</v>
      </c>
      <c r="H2279" s="36" t="str">
        <f>IFERROR(VLOOKUP(Table2[[#This Row], [Ticket]],Okey!A:B,2,0),"")</f>
        <v/>
      </c>
      <c r="I2279" s="36"/>
      <c r="J2279" s="36" t="s">
        <v>19</v>
      </c>
      <c r="K2279" s="36" t="s">
        <v>11488</v>
      </c>
      <c r="L2279" s="36"/>
    </row>
    <row r="2280" spans="1:12" hidden="1">
      <c r="A2280" s="42">
        <f t="shared" si="34"/>
        <v>2279</v>
      </c>
      <c r="B2280" s="36" t="s">
        <v>8</v>
      </c>
      <c r="C2280" s="36" t="s">
        <v>11258</v>
      </c>
      <c r="D2280" s="9" t="s">
        <v>11291</v>
      </c>
      <c r="F2280" s="36" t="s">
        <v>275</v>
      </c>
      <c r="G2280" s="36" t="s">
        <v>8544</v>
      </c>
      <c r="H2280" s="36" t="str">
        <f>IFERROR(VLOOKUP(Table2[[#This Row], [Ticket]],Okey!A:B,2,0),"")</f>
        <v/>
      </c>
      <c r="I2280" s="36"/>
      <c r="J2280" s="36" t="s">
        <v>19</v>
      </c>
      <c r="K2280" s="36" t="s">
        <v>11488</v>
      </c>
      <c r="L2280" s="36"/>
    </row>
    <row r="2281" spans="1:12" hidden="1">
      <c r="A2281" s="42">
        <f t="shared" si="34"/>
        <v>2280</v>
      </c>
      <c r="B2281" s="36" t="s">
        <v>8</v>
      </c>
      <c r="C2281" s="36" t="s">
        <v>11258</v>
      </c>
      <c r="D2281" s="9" t="s">
        <v>11292</v>
      </c>
      <c r="F2281" s="36" t="s">
        <v>275</v>
      </c>
      <c r="G2281" s="36" t="s">
        <v>8544</v>
      </c>
      <c r="H2281" s="36" t="str">
        <f>IFERROR(VLOOKUP(Table2[[#This Row], [Ticket]],Okey!A:B,2,0),"")</f>
        <v/>
      </c>
      <c r="I2281" s="36"/>
      <c r="J2281" s="36" t="s">
        <v>19</v>
      </c>
      <c r="K2281" s="36" t="s">
        <v>11488</v>
      </c>
      <c r="L2281" s="36"/>
    </row>
    <row r="2282" spans="1:12" hidden="1">
      <c r="A2282" s="42">
        <f t="shared" si="34"/>
        <v>2281</v>
      </c>
      <c r="B2282" s="36" t="s">
        <v>8</v>
      </c>
      <c r="C2282" s="36" t="s">
        <v>11258</v>
      </c>
      <c r="D2282" s="9" t="s">
        <v>11293</v>
      </c>
      <c r="F2282" s="36" t="s">
        <v>275</v>
      </c>
      <c r="G2282" s="36" t="s">
        <v>8544</v>
      </c>
      <c r="H2282" s="36" t="str">
        <f>IFERROR(VLOOKUP(Table2[[#This Row], [Ticket]],Okey!A:B,2,0),"")</f>
        <v/>
      </c>
      <c r="I2282" s="36"/>
      <c r="J2282" s="36" t="s">
        <v>19</v>
      </c>
      <c r="K2282" s="36" t="s">
        <v>11488</v>
      </c>
      <c r="L2282" s="36"/>
    </row>
    <row r="2283" spans="1:12" hidden="1">
      <c r="A2283" s="42">
        <f t="shared" si="34"/>
        <v>2282</v>
      </c>
      <c r="B2283" s="36" t="s">
        <v>8</v>
      </c>
      <c r="C2283" s="36" t="s">
        <v>11258</v>
      </c>
      <c r="D2283" s="9" t="s">
        <v>11294</v>
      </c>
      <c r="F2283" s="36" t="s">
        <v>275</v>
      </c>
      <c r="G2283" s="36" t="s">
        <v>8544</v>
      </c>
      <c r="H2283" s="36" t="str">
        <f>IFERROR(VLOOKUP(Table2[[#This Row], [Ticket]],Okey!A:B,2,0),"")</f>
        <v/>
      </c>
      <c r="I2283" s="36"/>
      <c r="J2283" s="36" t="s">
        <v>19</v>
      </c>
      <c r="K2283" s="36" t="s">
        <v>11488</v>
      </c>
      <c r="L2283" s="36"/>
    </row>
    <row r="2284" spans="1:12" hidden="1">
      <c r="A2284" s="42">
        <f t="shared" si="34"/>
        <v>2283</v>
      </c>
      <c r="B2284" s="36" t="s">
        <v>8</v>
      </c>
      <c r="C2284" s="36" t="s">
        <v>11258</v>
      </c>
      <c r="D2284" s="9" t="s">
        <v>11295</v>
      </c>
      <c r="F2284" s="36" t="s">
        <v>275</v>
      </c>
      <c r="G2284" s="36" t="s">
        <v>8544</v>
      </c>
      <c r="H2284" s="36" t="str">
        <f>IFERROR(VLOOKUP(Table2[[#This Row], [Ticket]],Okey!A:B,2,0),"")</f>
        <v/>
      </c>
      <c r="I2284" s="36"/>
      <c r="J2284" s="36" t="s">
        <v>19</v>
      </c>
      <c r="K2284" s="36" t="s">
        <v>11488</v>
      </c>
      <c r="L2284" s="36"/>
    </row>
    <row r="2285" spans="1:12" hidden="1">
      <c r="A2285" s="42">
        <f t="shared" si="34"/>
        <v>2284</v>
      </c>
      <c r="B2285" s="36" t="s">
        <v>8</v>
      </c>
      <c r="C2285" s="36" t="s">
        <v>11258</v>
      </c>
      <c r="D2285" s="9" t="s">
        <v>11296</v>
      </c>
      <c r="F2285" s="36" t="s">
        <v>275</v>
      </c>
      <c r="G2285" s="36" t="s">
        <v>8544</v>
      </c>
      <c r="H2285" s="36" t="str">
        <f>IFERROR(VLOOKUP(Table2[[#This Row], [Ticket]],Okey!A:B,2,0),"")</f>
        <v/>
      </c>
      <c r="I2285" s="36"/>
      <c r="J2285" s="36" t="s">
        <v>19</v>
      </c>
      <c r="K2285" s="36" t="s">
        <v>11488</v>
      </c>
      <c r="L2285" s="36"/>
    </row>
    <row r="2286" spans="1:12" hidden="1">
      <c r="A2286" s="42">
        <f t="shared" si="34"/>
        <v>2285</v>
      </c>
      <c r="B2286" s="36" t="s">
        <v>8</v>
      </c>
      <c r="C2286" s="36" t="s">
        <v>11258</v>
      </c>
      <c r="D2286" s="9" t="s">
        <v>11297</v>
      </c>
      <c r="F2286" s="36" t="s">
        <v>275</v>
      </c>
      <c r="G2286" s="36" t="s">
        <v>8544</v>
      </c>
      <c r="H2286" s="36" t="str">
        <f>IFERROR(VLOOKUP(Table2[[#This Row], [Ticket]],Okey!A:B,2,0),"")</f>
        <v/>
      </c>
      <c r="I2286" s="36"/>
      <c r="J2286" s="36" t="s">
        <v>19</v>
      </c>
      <c r="K2286" s="36" t="s">
        <v>11488</v>
      </c>
      <c r="L2286" s="36"/>
    </row>
    <row r="2287" spans="1:12">
      <c r="A2287" s="42">
        <f t="shared" si="34"/>
        <v>2286</v>
      </c>
      <c r="B2287" s="36" t="s">
        <v>8</v>
      </c>
      <c r="C2287" s="36" t="s">
        <v>11258</v>
      </c>
      <c r="D2287" s="9" t="s">
        <v>7443</v>
      </c>
      <c r="F2287" s="36" t="s">
        <v>275</v>
      </c>
      <c r="G2287" s="36" t="s">
        <v>8544</v>
      </c>
      <c r="H2287" s="36" t="str">
        <f>IFERROR(VLOOKUP(Table2[[#This Row], [Ticket]],Okey!A:B,2,0),"")</f>
        <v/>
      </c>
      <c r="I2287" s="36"/>
      <c r="J2287" s="36" t="s">
        <v>19</v>
      </c>
      <c r="K2287" s="36" t="s">
        <v>11488</v>
      </c>
      <c r="L2287" s="36"/>
    </row>
    <row r="2288" spans="1:12">
      <c r="A2288" s="42">
        <f t="shared" si="34"/>
        <v>2287</v>
      </c>
      <c r="B2288" s="36" t="s">
        <v>8</v>
      </c>
      <c r="C2288" s="36" t="s">
        <v>11258</v>
      </c>
      <c r="D2288" s="9" t="s">
        <v>7444</v>
      </c>
      <c r="F2288" s="36" t="s">
        <v>275</v>
      </c>
      <c r="G2288" s="36" t="s">
        <v>8544</v>
      </c>
      <c r="H2288" s="36" t="str">
        <f>IFERROR(VLOOKUP(Table2[[#This Row], [Ticket]],Okey!A:B,2,0),"")</f>
        <v/>
      </c>
      <c r="I2288" s="36"/>
      <c r="J2288" s="36" t="s">
        <v>19</v>
      </c>
      <c r="K2288" s="36" t="s">
        <v>11488</v>
      </c>
      <c r="L2288" s="36"/>
    </row>
    <row r="2289" spans="1:12">
      <c r="A2289" s="42">
        <f t="shared" si="34"/>
        <v>2288</v>
      </c>
      <c r="B2289" s="36" t="s">
        <v>8</v>
      </c>
      <c r="C2289" s="36" t="s">
        <v>11258</v>
      </c>
      <c r="D2289" s="9" t="s">
        <v>7445</v>
      </c>
      <c r="F2289" s="36" t="s">
        <v>275</v>
      </c>
      <c r="G2289" s="36" t="s">
        <v>8544</v>
      </c>
      <c r="H2289" s="36" t="str">
        <f>IFERROR(VLOOKUP(Table2[[#This Row], [Ticket]],Okey!A:B,2,0),"")</f>
        <v/>
      </c>
      <c r="I2289" s="36"/>
      <c r="J2289" s="36" t="s">
        <v>19</v>
      </c>
      <c r="K2289" s="36" t="s">
        <v>11488</v>
      </c>
      <c r="L2289" s="36"/>
    </row>
    <row r="2290" spans="1:12" hidden="1">
      <c r="A2290" s="42">
        <f t="shared" si="34"/>
        <v>2289</v>
      </c>
      <c r="B2290" s="36" t="s">
        <v>8</v>
      </c>
      <c r="C2290" s="36" t="s">
        <v>11258</v>
      </c>
      <c r="D2290" s="9" t="s">
        <v>11298</v>
      </c>
      <c r="F2290" s="36" t="s">
        <v>275</v>
      </c>
      <c r="G2290" s="36" t="s">
        <v>8544</v>
      </c>
      <c r="H2290" s="36" t="str">
        <f>IFERROR(VLOOKUP(Table2[[#This Row], [Ticket]],Okey!A:B,2,0),"")</f>
        <v/>
      </c>
      <c r="I2290" s="36"/>
      <c r="J2290" s="36" t="s">
        <v>19</v>
      </c>
      <c r="K2290" s="36" t="s">
        <v>11488</v>
      </c>
      <c r="L2290" s="36"/>
    </row>
    <row r="2291" spans="1:12" hidden="1">
      <c r="A2291" s="42">
        <f t="shared" si="34"/>
        <v>2290</v>
      </c>
      <c r="B2291" s="36" t="s">
        <v>8</v>
      </c>
      <c r="C2291" s="36" t="s">
        <v>11258</v>
      </c>
      <c r="D2291" s="9" t="s">
        <v>11299</v>
      </c>
      <c r="F2291" s="36" t="s">
        <v>275</v>
      </c>
      <c r="G2291" s="36" t="s">
        <v>8544</v>
      </c>
      <c r="H2291" s="36" t="str">
        <f>IFERROR(VLOOKUP(Table2[[#This Row], [Ticket]],Okey!A:B,2,0),"")</f>
        <v/>
      </c>
      <c r="I2291" s="36"/>
      <c r="J2291" s="36" t="s">
        <v>19</v>
      </c>
      <c r="K2291" s="36" t="s">
        <v>11488</v>
      </c>
      <c r="L2291" s="36"/>
    </row>
    <row r="2292" spans="1:12" hidden="1">
      <c r="A2292" s="42">
        <f t="shared" si="34"/>
        <v>2291</v>
      </c>
      <c r="B2292" s="36" t="s">
        <v>8</v>
      </c>
      <c r="C2292" s="36" t="s">
        <v>11258</v>
      </c>
      <c r="D2292" s="9" t="s">
        <v>11300</v>
      </c>
      <c r="F2292" s="36" t="s">
        <v>275</v>
      </c>
      <c r="G2292" s="36" t="s">
        <v>8544</v>
      </c>
      <c r="H2292" s="36" t="str">
        <f>IFERROR(VLOOKUP(Table2[[#This Row], [Ticket]],Okey!A:B,2,0),"")</f>
        <v/>
      </c>
      <c r="I2292" s="36"/>
      <c r="J2292" s="36" t="s">
        <v>19</v>
      </c>
      <c r="K2292" s="36" t="s">
        <v>11488</v>
      </c>
      <c r="L2292" s="36"/>
    </row>
    <row r="2293" spans="1:12" hidden="1">
      <c r="A2293" s="42">
        <f t="shared" si="34"/>
        <v>2292</v>
      </c>
      <c r="B2293" s="36" t="s">
        <v>8</v>
      </c>
      <c r="C2293" s="36" t="s">
        <v>11258</v>
      </c>
      <c r="D2293" s="9" t="s">
        <v>11301</v>
      </c>
      <c r="F2293" s="36" t="s">
        <v>275</v>
      </c>
      <c r="G2293" s="36" t="s">
        <v>8544</v>
      </c>
      <c r="H2293" s="36" t="str">
        <f>IFERROR(VLOOKUP(Table2[[#This Row], [Ticket]],Okey!A:B,2,0),"")</f>
        <v/>
      </c>
      <c r="I2293" s="36"/>
      <c r="J2293" s="36" t="s">
        <v>19</v>
      </c>
      <c r="K2293" s="36" t="s">
        <v>11488</v>
      </c>
      <c r="L2293" s="36"/>
    </row>
    <row r="2294" spans="1:12" hidden="1">
      <c r="A2294" s="42">
        <f t="shared" si="34"/>
        <v>2293</v>
      </c>
      <c r="B2294" s="36" t="s">
        <v>8</v>
      </c>
      <c r="C2294" s="36" t="s">
        <v>11258</v>
      </c>
      <c r="D2294" s="9" t="s">
        <v>11302</v>
      </c>
      <c r="F2294" s="36" t="s">
        <v>275</v>
      </c>
      <c r="G2294" s="36" t="s">
        <v>8544</v>
      </c>
      <c r="H2294" s="36" t="str">
        <f>IFERROR(VLOOKUP(Table2[[#This Row], [Ticket]],Okey!A:B,2,0),"")</f>
        <v/>
      </c>
      <c r="I2294" s="36"/>
      <c r="J2294" s="36" t="s">
        <v>19</v>
      </c>
      <c r="K2294" s="36" t="s">
        <v>11488</v>
      </c>
      <c r="L2294" s="36"/>
    </row>
    <row r="2295" spans="1:12">
      <c r="A2295" s="42">
        <f t="shared" si="34"/>
        <v>2294</v>
      </c>
      <c r="B2295" s="36" t="s">
        <v>8</v>
      </c>
      <c r="C2295" s="36" t="s">
        <v>11258</v>
      </c>
      <c r="D2295" s="9" t="s">
        <v>7452</v>
      </c>
      <c r="F2295" s="36" t="s">
        <v>275</v>
      </c>
      <c r="G2295" s="36" t="s">
        <v>8544</v>
      </c>
      <c r="H2295" s="36" t="str">
        <f>IFERROR(VLOOKUP(Table2[[#This Row], [Ticket]],Okey!A:B,2,0),"")</f>
        <v/>
      </c>
      <c r="I2295" s="36"/>
      <c r="J2295" s="36" t="s">
        <v>19</v>
      </c>
      <c r="K2295" s="36" t="s">
        <v>11488</v>
      </c>
      <c r="L2295" s="36"/>
    </row>
    <row r="2296" spans="1:12">
      <c r="A2296" s="42">
        <f t="shared" si="34"/>
        <v>2295</v>
      </c>
      <c r="B2296" s="36" t="s">
        <v>8</v>
      </c>
      <c r="C2296" s="36" t="s">
        <v>11258</v>
      </c>
      <c r="D2296" s="9" t="s">
        <v>7454</v>
      </c>
      <c r="F2296" s="36" t="s">
        <v>275</v>
      </c>
      <c r="G2296" s="36" t="s">
        <v>8544</v>
      </c>
      <c r="H2296" s="36" t="str">
        <f>IFERROR(VLOOKUP(Table2[[#This Row], [Ticket]],Okey!A:B,2,0),"")</f>
        <v/>
      </c>
      <c r="I2296" s="36"/>
      <c r="J2296" s="36" t="s">
        <v>19</v>
      </c>
      <c r="K2296" s="36" t="s">
        <v>11488</v>
      </c>
      <c r="L2296" s="36"/>
    </row>
    <row r="2297" spans="1:12">
      <c r="A2297" s="42">
        <f t="shared" si="34"/>
        <v>2296</v>
      </c>
      <c r="B2297" s="36" t="s">
        <v>8</v>
      </c>
      <c r="C2297" s="36" t="s">
        <v>11258</v>
      </c>
      <c r="D2297" s="9" t="s">
        <v>7455</v>
      </c>
      <c r="F2297" s="36" t="s">
        <v>275</v>
      </c>
      <c r="G2297" s="36" t="s">
        <v>8544</v>
      </c>
      <c r="H2297" s="36" t="str">
        <f>IFERROR(VLOOKUP(Table2[[#This Row], [Ticket]],Okey!A:B,2,0),"")</f>
        <v/>
      </c>
      <c r="I2297" s="36"/>
      <c r="J2297" s="36" t="s">
        <v>19</v>
      </c>
      <c r="K2297" s="36" t="s">
        <v>11488</v>
      </c>
      <c r="L2297" s="36"/>
    </row>
    <row r="2298" spans="1:12">
      <c r="A2298" s="42">
        <f t="shared" si="34"/>
        <v>2297</v>
      </c>
      <c r="B2298" s="36" t="s">
        <v>8</v>
      </c>
      <c r="C2298" s="36" t="s">
        <v>11258</v>
      </c>
      <c r="D2298" s="9" t="s">
        <v>7456</v>
      </c>
      <c r="F2298" s="36" t="s">
        <v>275</v>
      </c>
      <c r="G2298" s="36" t="s">
        <v>8544</v>
      </c>
      <c r="H2298" s="36" t="str">
        <f>IFERROR(VLOOKUP(Table2[[#This Row], [Ticket]],Okey!A:B,2,0),"")</f>
        <v/>
      </c>
      <c r="I2298" s="36"/>
      <c r="J2298" s="36" t="s">
        <v>19</v>
      </c>
      <c r="K2298" s="36" t="s">
        <v>11488</v>
      </c>
      <c r="L2298" s="36"/>
    </row>
    <row r="2299" spans="1:12">
      <c r="A2299" s="42">
        <f t="shared" si="34"/>
        <v>2298</v>
      </c>
      <c r="B2299" s="36" t="s">
        <v>8</v>
      </c>
      <c r="C2299" s="36" t="s">
        <v>11258</v>
      </c>
      <c r="D2299" s="9" t="s">
        <v>7457</v>
      </c>
      <c r="F2299" s="36" t="s">
        <v>275</v>
      </c>
      <c r="G2299" s="36" t="s">
        <v>8544</v>
      </c>
      <c r="H2299" s="36" t="str">
        <f>IFERROR(VLOOKUP(Table2[[#This Row], [Ticket]],Okey!A:B,2,0),"")</f>
        <v/>
      </c>
      <c r="I2299" s="36"/>
      <c r="J2299" s="36" t="s">
        <v>19</v>
      </c>
      <c r="K2299" s="36" t="s">
        <v>11488</v>
      </c>
      <c r="L2299" s="36"/>
    </row>
    <row r="2300" spans="1:12">
      <c r="A2300" s="42">
        <f t="shared" si="34"/>
        <v>2299</v>
      </c>
      <c r="B2300" s="36" t="s">
        <v>8</v>
      </c>
      <c r="C2300" s="36" t="s">
        <v>11258</v>
      </c>
      <c r="D2300" s="9" t="s">
        <v>7458</v>
      </c>
      <c r="F2300" s="36" t="s">
        <v>275</v>
      </c>
      <c r="G2300" s="36" t="s">
        <v>8544</v>
      </c>
      <c r="H2300" s="36" t="str">
        <f>IFERROR(VLOOKUP(Table2[[#This Row], [Ticket]],Okey!A:B,2,0),"")</f>
        <v/>
      </c>
      <c r="I2300" s="36"/>
      <c r="J2300" s="36" t="s">
        <v>19</v>
      </c>
      <c r="K2300" s="36" t="s">
        <v>11488</v>
      </c>
      <c r="L2300" s="36"/>
    </row>
    <row r="2301" spans="1:12">
      <c r="A2301" s="42">
        <f t="shared" si="34"/>
        <v>2300</v>
      </c>
      <c r="B2301" s="36" t="s">
        <v>8</v>
      </c>
      <c r="C2301" s="36" t="s">
        <v>11258</v>
      </c>
      <c r="D2301" s="9" t="s">
        <v>7459</v>
      </c>
      <c r="F2301" s="36" t="s">
        <v>275</v>
      </c>
      <c r="G2301" s="36" t="s">
        <v>8544</v>
      </c>
      <c r="H2301" s="36" t="str">
        <f>IFERROR(VLOOKUP(Table2[[#This Row], [Ticket]],Okey!A:B,2,0),"")</f>
        <v/>
      </c>
      <c r="I2301" s="36"/>
      <c r="J2301" s="36" t="s">
        <v>19</v>
      </c>
      <c r="K2301" s="36" t="s">
        <v>11488</v>
      </c>
      <c r="L2301" s="36"/>
    </row>
    <row r="2302" spans="1:12" hidden="1">
      <c r="A2302" s="42">
        <f t="shared" ref="A2302:A2365" si="35">1+A2301</f>
        <v>2301</v>
      </c>
      <c r="B2302" s="36" t="s">
        <v>8</v>
      </c>
      <c r="C2302" s="36" t="s">
        <v>11258</v>
      </c>
      <c r="D2302" s="9" t="s">
        <v>11303</v>
      </c>
      <c r="F2302" s="36" t="s">
        <v>275</v>
      </c>
      <c r="G2302" s="36" t="s">
        <v>8544</v>
      </c>
      <c r="H2302" s="36" t="str">
        <f>IFERROR(VLOOKUP(Table2[[#This Row], [Ticket]],Okey!A:B,2,0),"")</f>
        <v/>
      </c>
      <c r="I2302" s="36"/>
      <c r="J2302" s="36" t="s">
        <v>19</v>
      </c>
      <c r="K2302" s="36" t="s">
        <v>11488</v>
      </c>
      <c r="L2302" s="36"/>
    </row>
    <row r="2303" spans="1:12" hidden="1">
      <c r="A2303" s="42">
        <f t="shared" si="35"/>
        <v>2302</v>
      </c>
      <c r="B2303" s="36" t="s">
        <v>8</v>
      </c>
      <c r="C2303" s="36" t="s">
        <v>11258</v>
      </c>
      <c r="D2303" s="9" t="s">
        <v>11304</v>
      </c>
      <c r="F2303" s="36" t="s">
        <v>275</v>
      </c>
      <c r="G2303" s="36" t="s">
        <v>8544</v>
      </c>
      <c r="H2303" s="36" t="str">
        <f>IFERROR(VLOOKUP(Table2[[#This Row], [Ticket]],Okey!A:B,2,0),"")</f>
        <v/>
      </c>
      <c r="I2303" s="36"/>
      <c r="J2303" s="36" t="s">
        <v>19</v>
      </c>
      <c r="K2303" s="36" t="s">
        <v>11488</v>
      </c>
      <c r="L2303" s="36"/>
    </row>
    <row r="2304" spans="1:12" hidden="1">
      <c r="A2304" s="42">
        <f t="shared" si="35"/>
        <v>2303</v>
      </c>
      <c r="B2304" s="36" t="s">
        <v>8</v>
      </c>
      <c r="C2304" s="36" t="s">
        <v>11258</v>
      </c>
      <c r="D2304" s="9" t="s">
        <v>11305</v>
      </c>
      <c r="F2304" s="36" t="s">
        <v>275</v>
      </c>
      <c r="G2304" s="36" t="s">
        <v>8544</v>
      </c>
      <c r="H2304" s="36" t="str">
        <f>IFERROR(VLOOKUP(Table2[[#This Row], [Ticket]],Okey!A:B,2,0),"")</f>
        <v/>
      </c>
      <c r="I2304" s="36"/>
      <c r="J2304" s="36" t="s">
        <v>19</v>
      </c>
      <c r="K2304" s="36" t="s">
        <v>11488</v>
      </c>
      <c r="L2304" s="36"/>
    </row>
    <row r="2305" spans="1:12" hidden="1">
      <c r="A2305" s="42">
        <f t="shared" si="35"/>
        <v>2304</v>
      </c>
      <c r="B2305" s="36" t="s">
        <v>8</v>
      </c>
      <c r="C2305" s="36" t="s">
        <v>11258</v>
      </c>
      <c r="D2305" s="9" t="s">
        <v>11306</v>
      </c>
      <c r="F2305" s="36" t="s">
        <v>275</v>
      </c>
      <c r="G2305" s="36" t="s">
        <v>8544</v>
      </c>
      <c r="H2305" s="36" t="str">
        <f>IFERROR(VLOOKUP(Table2[[#This Row], [Ticket]],Okey!A:B,2,0),"")</f>
        <v/>
      </c>
      <c r="I2305" s="36"/>
      <c r="J2305" s="36" t="s">
        <v>19</v>
      </c>
      <c r="K2305" s="36" t="s">
        <v>11488</v>
      </c>
      <c r="L2305" s="36"/>
    </row>
    <row r="2306" spans="1:12" hidden="1">
      <c r="A2306" s="42">
        <f t="shared" si="35"/>
        <v>2305</v>
      </c>
      <c r="B2306" s="36" t="s">
        <v>8</v>
      </c>
      <c r="C2306" s="36" t="s">
        <v>11258</v>
      </c>
      <c r="D2306" s="9" t="s">
        <v>11307</v>
      </c>
      <c r="F2306" s="36" t="s">
        <v>275</v>
      </c>
      <c r="G2306" s="36" t="s">
        <v>8544</v>
      </c>
      <c r="H2306" s="36" t="str">
        <f>IFERROR(VLOOKUP(Table2[[#This Row], [Ticket]],Okey!A:B,2,0),"")</f>
        <v/>
      </c>
      <c r="I2306" s="36"/>
      <c r="J2306" s="36" t="s">
        <v>19</v>
      </c>
      <c r="K2306" s="36" t="s">
        <v>11488</v>
      </c>
      <c r="L2306" s="36"/>
    </row>
    <row r="2307" spans="1:12" hidden="1">
      <c r="A2307" s="42">
        <f t="shared" si="35"/>
        <v>2306</v>
      </c>
      <c r="B2307" s="36" t="s">
        <v>8</v>
      </c>
      <c r="C2307" s="36" t="s">
        <v>11258</v>
      </c>
      <c r="D2307" s="9" t="s">
        <v>11308</v>
      </c>
      <c r="F2307" s="36" t="s">
        <v>275</v>
      </c>
      <c r="G2307" s="36" t="s">
        <v>8544</v>
      </c>
      <c r="H2307" s="36" t="str">
        <f>IFERROR(VLOOKUP(Table2[[#This Row], [Ticket]],Okey!A:B,2,0),"")</f>
        <v/>
      </c>
      <c r="I2307" s="36"/>
      <c r="J2307" s="36" t="s">
        <v>19</v>
      </c>
      <c r="K2307" s="36" t="s">
        <v>11488</v>
      </c>
      <c r="L2307" s="36"/>
    </row>
    <row r="2308" spans="1:12" hidden="1">
      <c r="A2308" s="42">
        <f t="shared" si="35"/>
        <v>2307</v>
      </c>
      <c r="B2308" s="36" t="s">
        <v>8</v>
      </c>
      <c r="C2308" s="36" t="s">
        <v>11258</v>
      </c>
      <c r="D2308" s="9" t="s">
        <v>11309</v>
      </c>
      <c r="F2308" s="36" t="s">
        <v>275</v>
      </c>
      <c r="G2308" s="36" t="s">
        <v>8544</v>
      </c>
      <c r="H2308" s="36" t="str">
        <f>IFERROR(VLOOKUP(Table2[[#This Row], [Ticket]],Okey!A:B,2,0),"")</f>
        <v/>
      </c>
      <c r="I2308" s="36"/>
      <c r="J2308" s="36" t="s">
        <v>19</v>
      </c>
      <c r="K2308" s="36" t="s">
        <v>11488</v>
      </c>
      <c r="L2308" s="36"/>
    </row>
    <row r="2309" spans="1:12" hidden="1">
      <c r="A2309" s="42">
        <f t="shared" si="35"/>
        <v>2308</v>
      </c>
      <c r="B2309" s="36" t="s">
        <v>8</v>
      </c>
      <c r="C2309" s="36" t="s">
        <v>11258</v>
      </c>
      <c r="D2309" s="9" t="s">
        <v>11310</v>
      </c>
      <c r="F2309" s="36" t="s">
        <v>275</v>
      </c>
      <c r="G2309" s="36" t="s">
        <v>8544</v>
      </c>
      <c r="H2309" s="36" t="str">
        <f>IFERROR(VLOOKUP(Table2[[#This Row], [Ticket]],Okey!A:B,2,0),"")</f>
        <v/>
      </c>
      <c r="I2309" s="36"/>
      <c r="J2309" s="36" t="s">
        <v>19</v>
      </c>
      <c r="K2309" s="36" t="s">
        <v>11488</v>
      </c>
      <c r="L2309" s="36"/>
    </row>
    <row r="2310" spans="1:12" hidden="1">
      <c r="A2310" s="42">
        <f t="shared" si="35"/>
        <v>2309</v>
      </c>
      <c r="B2310" s="36" t="s">
        <v>8</v>
      </c>
      <c r="C2310" s="36" t="s">
        <v>11258</v>
      </c>
      <c r="D2310" s="9" t="s">
        <v>11311</v>
      </c>
      <c r="F2310" s="36" t="s">
        <v>275</v>
      </c>
      <c r="G2310" s="36" t="s">
        <v>8544</v>
      </c>
      <c r="H2310" s="36" t="str">
        <f>IFERROR(VLOOKUP(Table2[[#This Row], [Ticket]],Okey!A:B,2,0),"")</f>
        <v/>
      </c>
      <c r="I2310" s="36"/>
      <c r="J2310" s="36" t="s">
        <v>19</v>
      </c>
      <c r="K2310" s="36" t="s">
        <v>11488</v>
      </c>
      <c r="L2310" s="36"/>
    </row>
    <row r="2311" spans="1:12" hidden="1">
      <c r="A2311" s="42">
        <f t="shared" si="35"/>
        <v>2310</v>
      </c>
      <c r="B2311" s="36" t="s">
        <v>8</v>
      </c>
      <c r="C2311" s="36" t="s">
        <v>11258</v>
      </c>
      <c r="D2311" s="9" t="s">
        <v>11312</v>
      </c>
      <c r="F2311" s="36" t="s">
        <v>275</v>
      </c>
      <c r="G2311" s="36" t="s">
        <v>8544</v>
      </c>
      <c r="H2311" s="36" t="str">
        <f>IFERROR(VLOOKUP(Table2[[#This Row], [Ticket]],Okey!A:B,2,0),"")</f>
        <v/>
      </c>
      <c r="I2311" s="36"/>
      <c r="J2311" s="36" t="s">
        <v>19</v>
      </c>
      <c r="K2311" s="36" t="s">
        <v>11488</v>
      </c>
      <c r="L2311" s="36"/>
    </row>
    <row r="2312" spans="1:12" hidden="1">
      <c r="A2312" s="42">
        <f t="shared" si="35"/>
        <v>2311</v>
      </c>
      <c r="B2312" s="36" t="s">
        <v>8</v>
      </c>
      <c r="C2312" s="36" t="s">
        <v>11258</v>
      </c>
      <c r="D2312" s="9" t="s">
        <v>11313</v>
      </c>
      <c r="F2312" s="36" t="s">
        <v>275</v>
      </c>
      <c r="G2312" s="36" t="s">
        <v>8544</v>
      </c>
      <c r="H2312" s="36" t="str">
        <f>IFERROR(VLOOKUP(Table2[[#This Row], [Ticket]],Okey!A:B,2,0),"")</f>
        <v/>
      </c>
      <c r="I2312" s="36"/>
      <c r="J2312" s="36" t="s">
        <v>19</v>
      </c>
      <c r="K2312" s="36" t="s">
        <v>11488</v>
      </c>
      <c r="L2312" s="36"/>
    </row>
    <row r="2313" spans="1:12" hidden="1">
      <c r="A2313" s="42">
        <f t="shared" si="35"/>
        <v>2312</v>
      </c>
      <c r="B2313" s="36" t="s">
        <v>8</v>
      </c>
      <c r="C2313" s="36" t="s">
        <v>11258</v>
      </c>
      <c r="D2313" s="9" t="s">
        <v>11314</v>
      </c>
      <c r="F2313" s="36" t="s">
        <v>275</v>
      </c>
      <c r="G2313" s="36" t="s">
        <v>8544</v>
      </c>
      <c r="H2313" s="36" t="str">
        <f>IFERROR(VLOOKUP(Table2[[#This Row], [Ticket]],Okey!A:B,2,0),"")</f>
        <v/>
      </c>
      <c r="I2313" s="36"/>
      <c r="J2313" s="36" t="s">
        <v>19</v>
      </c>
      <c r="K2313" s="36" t="s">
        <v>11488</v>
      </c>
      <c r="L2313" s="36"/>
    </row>
    <row r="2314" spans="1:12" hidden="1">
      <c r="A2314" s="42">
        <f t="shared" si="35"/>
        <v>2313</v>
      </c>
      <c r="B2314" s="36" t="s">
        <v>8</v>
      </c>
      <c r="C2314" s="36" t="s">
        <v>11258</v>
      </c>
      <c r="D2314" s="9" t="s">
        <v>11315</v>
      </c>
      <c r="F2314" s="36" t="s">
        <v>275</v>
      </c>
      <c r="G2314" s="36" t="s">
        <v>8544</v>
      </c>
      <c r="H2314" s="36" t="str">
        <f>IFERROR(VLOOKUP(Table2[[#This Row], [Ticket]],Okey!A:B,2,0),"")</f>
        <v/>
      </c>
      <c r="I2314" s="36"/>
      <c r="J2314" s="36" t="s">
        <v>19</v>
      </c>
      <c r="K2314" s="36" t="s">
        <v>11488</v>
      </c>
      <c r="L2314" s="36"/>
    </row>
    <row r="2315" spans="1:12" hidden="1">
      <c r="A2315" s="42">
        <f t="shared" si="35"/>
        <v>2314</v>
      </c>
      <c r="B2315" s="36" t="s">
        <v>8</v>
      </c>
      <c r="C2315" s="36" t="s">
        <v>11258</v>
      </c>
      <c r="D2315" s="9" t="s">
        <v>11316</v>
      </c>
      <c r="F2315" s="36" t="s">
        <v>275</v>
      </c>
      <c r="G2315" s="36" t="s">
        <v>8544</v>
      </c>
      <c r="H2315" s="36" t="str">
        <f>IFERROR(VLOOKUP(Table2[[#This Row], [Ticket]],Okey!A:B,2,0),"")</f>
        <v/>
      </c>
      <c r="I2315" s="36"/>
      <c r="J2315" s="36" t="s">
        <v>19</v>
      </c>
      <c r="K2315" s="36" t="s">
        <v>11488</v>
      </c>
      <c r="L2315" s="36"/>
    </row>
    <row r="2316" spans="1:12" hidden="1">
      <c r="A2316" s="42">
        <f t="shared" si="35"/>
        <v>2315</v>
      </c>
      <c r="B2316" s="36" t="s">
        <v>8</v>
      </c>
      <c r="C2316" s="36" t="s">
        <v>11258</v>
      </c>
      <c r="D2316" s="9" t="s">
        <v>11317</v>
      </c>
      <c r="F2316" s="36" t="s">
        <v>275</v>
      </c>
      <c r="G2316" s="36" t="s">
        <v>8544</v>
      </c>
      <c r="H2316" s="36" t="str">
        <f>IFERROR(VLOOKUP(Table2[[#This Row], [Ticket]],Okey!A:B,2,0),"")</f>
        <v/>
      </c>
      <c r="I2316" s="36"/>
      <c r="J2316" s="36" t="s">
        <v>19</v>
      </c>
      <c r="K2316" s="36" t="s">
        <v>11488</v>
      </c>
      <c r="L2316" s="36"/>
    </row>
    <row r="2317" spans="1:12" hidden="1">
      <c r="A2317" s="42">
        <f t="shared" si="35"/>
        <v>2316</v>
      </c>
      <c r="B2317" s="36" t="s">
        <v>8</v>
      </c>
      <c r="C2317" s="36" t="s">
        <v>11258</v>
      </c>
      <c r="D2317" s="9" t="s">
        <v>11318</v>
      </c>
      <c r="F2317" s="36" t="s">
        <v>275</v>
      </c>
      <c r="G2317" s="36" t="s">
        <v>8544</v>
      </c>
      <c r="H2317" s="36" t="str">
        <f>IFERROR(VLOOKUP(Table2[[#This Row], [Ticket]],Okey!A:B,2,0),"")</f>
        <v/>
      </c>
      <c r="I2317" s="36"/>
      <c r="J2317" s="36" t="s">
        <v>19</v>
      </c>
      <c r="K2317" s="36" t="s">
        <v>11488</v>
      </c>
      <c r="L2317" s="36"/>
    </row>
    <row r="2318" spans="1:12" hidden="1">
      <c r="A2318" s="42">
        <f t="shared" si="35"/>
        <v>2317</v>
      </c>
      <c r="B2318" s="36" t="s">
        <v>8</v>
      </c>
      <c r="C2318" s="36" t="s">
        <v>11258</v>
      </c>
      <c r="D2318" s="9" t="s">
        <v>11319</v>
      </c>
      <c r="F2318" s="36" t="s">
        <v>275</v>
      </c>
      <c r="G2318" s="36" t="s">
        <v>8544</v>
      </c>
      <c r="H2318" s="36" t="str">
        <f>IFERROR(VLOOKUP(Table2[[#This Row], [Ticket]],Okey!A:B,2,0),"")</f>
        <v/>
      </c>
      <c r="I2318" s="36"/>
      <c r="J2318" s="36" t="s">
        <v>19</v>
      </c>
      <c r="K2318" s="36" t="s">
        <v>11488</v>
      </c>
      <c r="L2318" s="36"/>
    </row>
    <row r="2319" spans="1:12" hidden="1">
      <c r="A2319" s="42">
        <f t="shared" si="35"/>
        <v>2318</v>
      </c>
      <c r="B2319" s="36" t="s">
        <v>8</v>
      </c>
      <c r="C2319" s="36" t="s">
        <v>11258</v>
      </c>
      <c r="D2319" s="9" t="s">
        <v>11320</v>
      </c>
      <c r="F2319" s="36" t="s">
        <v>275</v>
      </c>
      <c r="G2319" s="36" t="s">
        <v>8544</v>
      </c>
      <c r="H2319" s="36" t="str">
        <f>IFERROR(VLOOKUP(Table2[[#This Row], [Ticket]],Okey!A:B,2,0),"")</f>
        <v/>
      </c>
      <c r="I2319" s="36"/>
      <c r="J2319" s="36" t="s">
        <v>19</v>
      </c>
      <c r="K2319" s="36" t="s">
        <v>11488</v>
      </c>
      <c r="L2319" s="36"/>
    </row>
    <row r="2320" spans="1:12" hidden="1">
      <c r="A2320" s="42">
        <f t="shared" si="35"/>
        <v>2319</v>
      </c>
      <c r="B2320" s="36" t="s">
        <v>8</v>
      </c>
      <c r="C2320" s="36" t="s">
        <v>11258</v>
      </c>
      <c r="D2320" s="9" t="s">
        <v>11321</v>
      </c>
      <c r="F2320" s="36" t="s">
        <v>275</v>
      </c>
      <c r="G2320" s="36" t="s">
        <v>8544</v>
      </c>
      <c r="H2320" s="36" t="str">
        <f>IFERROR(VLOOKUP(Table2[[#This Row], [Ticket]],Okey!A:B,2,0),"")</f>
        <v/>
      </c>
      <c r="I2320" s="36"/>
      <c r="J2320" s="36" t="s">
        <v>19</v>
      </c>
      <c r="K2320" s="36" t="s">
        <v>11488</v>
      </c>
      <c r="L2320" s="36"/>
    </row>
    <row r="2321" spans="1:12" hidden="1">
      <c r="A2321" s="42">
        <f t="shared" si="35"/>
        <v>2320</v>
      </c>
      <c r="B2321" s="36" t="s">
        <v>8</v>
      </c>
      <c r="C2321" s="36" t="s">
        <v>11258</v>
      </c>
      <c r="D2321" s="9" t="s">
        <v>11322</v>
      </c>
      <c r="F2321" s="36" t="s">
        <v>275</v>
      </c>
      <c r="G2321" s="36" t="s">
        <v>8544</v>
      </c>
      <c r="H2321" s="36" t="str">
        <f>IFERROR(VLOOKUP(Table2[[#This Row], [Ticket]],Okey!A:B,2,0),"")</f>
        <v/>
      </c>
      <c r="I2321" s="36"/>
      <c r="J2321" s="36" t="s">
        <v>19</v>
      </c>
      <c r="K2321" s="36" t="s">
        <v>11488</v>
      </c>
      <c r="L2321" s="36"/>
    </row>
    <row r="2322" spans="1:12">
      <c r="A2322" s="42">
        <f t="shared" si="35"/>
        <v>2321</v>
      </c>
      <c r="B2322" s="36" t="s">
        <v>8</v>
      </c>
      <c r="C2322" s="36" t="s">
        <v>11258</v>
      </c>
      <c r="D2322" s="9" t="s">
        <v>7463</v>
      </c>
      <c r="F2322" s="36" t="s">
        <v>275</v>
      </c>
      <c r="G2322" s="36" t="s">
        <v>8544</v>
      </c>
      <c r="H2322" s="36" t="str">
        <f>IFERROR(VLOOKUP(Table2[[#This Row], [Ticket]],Okey!A:B,2,0),"")</f>
        <v/>
      </c>
      <c r="I2322" s="36"/>
      <c r="J2322" s="36" t="s">
        <v>19</v>
      </c>
      <c r="K2322" s="36" t="s">
        <v>11488</v>
      </c>
      <c r="L2322" s="36"/>
    </row>
    <row r="2323" spans="1:12">
      <c r="A2323" s="42">
        <f t="shared" si="35"/>
        <v>2322</v>
      </c>
      <c r="B2323" s="36" t="s">
        <v>8</v>
      </c>
      <c r="C2323" s="36" t="s">
        <v>11258</v>
      </c>
      <c r="D2323" s="9" t="s">
        <v>7464</v>
      </c>
      <c r="F2323" s="36" t="s">
        <v>275</v>
      </c>
      <c r="G2323" s="36" t="s">
        <v>8544</v>
      </c>
      <c r="H2323" s="36" t="str">
        <f>IFERROR(VLOOKUP(Table2[[#This Row], [Ticket]],Okey!A:B,2,0),"")</f>
        <v/>
      </c>
      <c r="I2323" s="36"/>
      <c r="J2323" s="36" t="s">
        <v>19</v>
      </c>
      <c r="K2323" s="36" t="s">
        <v>11488</v>
      </c>
      <c r="L2323" s="36"/>
    </row>
    <row r="2324" spans="1:12">
      <c r="A2324" s="42">
        <f t="shared" si="35"/>
        <v>2323</v>
      </c>
      <c r="B2324" s="36" t="s">
        <v>8</v>
      </c>
      <c r="C2324" s="36" t="s">
        <v>11258</v>
      </c>
      <c r="D2324" s="9" t="s">
        <v>7465</v>
      </c>
      <c r="F2324" s="36" t="s">
        <v>275</v>
      </c>
      <c r="G2324" s="36" t="s">
        <v>8544</v>
      </c>
      <c r="H2324" s="36" t="str">
        <f>IFERROR(VLOOKUP(Table2[[#This Row], [Ticket]],Okey!A:B,2,0),"")</f>
        <v/>
      </c>
      <c r="I2324" s="36"/>
      <c r="J2324" s="36" t="s">
        <v>19</v>
      </c>
      <c r="K2324" s="36" t="s">
        <v>11488</v>
      </c>
      <c r="L2324" s="36"/>
    </row>
    <row r="2325" spans="1:12" hidden="1">
      <c r="A2325" s="42">
        <f t="shared" si="35"/>
        <v>2324</v>
      </c>
      <c r="B2325" s="36" t="s">
        <v>8</v>
      </c>
      <c r="C2325" s="36" t="s">
        <v>11258</v>
      </c>
      <c r="D2325" s="9" t="s">
        <v>11323</v>
      </c>
      <c r="F2325" s="36" t="s">
        <v>275</v>
      </c>
      <c r="G2325" s="36" t="s">
        <v>8544</v>
      </c>
      <c r="H2325" s="36" t="str">
        <f>IFERROR(VLOOKUP(Table2[[#This Row], [Ticket]],Okey!A:B,2,0),"")</f>
        <v/>
      </c>
      <c r="I2325" s="36"/>
      <c r="J2325" s="36" t="s">
        <v>19</v>
      </c>
      <c r="K2325" s="36" t="s">
        <v>11488</v>
      </c>
      <c r="L2325" s="36"/>
    </row>
    <row r="2326" spans="1:12" hidden="1">
      <c r="A2326" s="42">
        <f t="shared" si="35"/>
        <v>2325</v>
      </c>
      <c r="B2326" s="36" t="s">
        <v>8</v>
      </c>
      <c r="C2326" s="36" t="s">
        <v>11258</v>
      </c>
      <c r="D2326" s="9" t="s">
        <v>11324</v>
      </c>
      <c r="F2326" s="36" t="s">
        <v>275</v>
      </c>
      <c r="G2326" s="36" t="s">
        <v>8544</v>
      </c>
      <c r="H2326" s="36" t="str">
        <f>IFERROR(VLOOKUP(Table2[[#This Row], [Ticket]],Okey!A:B,2,0),"")</f>
        <v/>
      </c>
      <c r="I2326" s="36"/>
      <c r="J2326" s="36" t="s">
        <v>19</v>
      </c>
      <c r="K2326" s="36" t="s">
        <v>11488</v>
      </c>
      <c r="L2326" s="36"/>
    </row>
    <row r="2327" spans="1:12" hidden="1">
      <c r="A2327" s="42">
        <f t="shared" si="35"/>
        <v>2326</v>
      </c>
      <c r="B2327" s="36" t="s">
        <v>8</v>
      </c>
      <c r="C2327" s="36" t="s">
        <v>11258</v>
      </c>
      <c r="D2327" s="9" t="s">
        <v>11325</v>
      </c>
      <c r="F2327" s="36" t="s">
        <v>275</v>
      </c>
      <c r="G2327" s="36" t="s">
        <v>8544</v>
      </c>
      <c r="H2327" s="36" t="str">
        <f>IFERROR(VLOOKUP(Table2[[#This Row], [Ticket]],Okey!A:B,2,0),"")</f>
        <v/>
      </c>
      <c r="I2327" s="36"/>
      <c r="J2327" s="36" t="s">
        <v>19</v>
      </c>
      <c r="K2327" s="36" t="s">
        <v>11488</v>
      </c>
      <c r="L2327" s="36"/>
    </row>
    <row r="2328" spans="1:12" hidden="1">
      <c r="A2328" s="42">
        <f t="shared" si="35"/>
        <v>2327</v>
      </c>
      <c r="B2328" s="36" t="s">
        <v>8</v>
      </c>
      <c r="C2328" s="36" t="s">
        <v>11258</v>
      </c>
      <c r="D2328" s="9" t="s">
        <v>11326</v>
      </c>
      <c r="F2328" s="36" t="s">
        <v>275</v>
      </c>
      <c r="G2328" s="36" t="s">
        <v>8544</v>
      </c>
      <c r="H2328" s="36" t="str">
        <f>IFERROR(VLOOKUP(Table2[[#This Row], [Ticket]],Okey!A:B,2,0),"")</f>
        <v/>
      </c>
      <c r="I2328" s="36"/>
      <c r="J2328" s="36" t="s">
        <v>19</v>
      </c>
      <c r="K2328" s="36" t="s">
        <v>11488</v>
      </c>
      <c r="L2328" s="36"/>
    </row>
    <row r="2329" spans="1:12" hidden="1">
      <c r="A2329" s="42">
        <f t="shared" si="35"/>
        <v>2328</v>
      </c>
      <c r="B2329" s="36" t="s">
        <v>8</v>
      </c>
      <c r="C2329" s="36" t="s">
        <v>11258</v>
      </c>
      <c r="D2329" s="9" t="s">
        <v>11327</v>
      </c>
      <c r="F2329" s="36" t="s">
        <v>275</v>
      </c>
      <c r="G2329" s="36" t="s">
        <v>8544</v>
      </c>
      <c r="H2329" s="36" t="str">
        <f>IFERROR(VLOOKUP(Table2[[#This Row], [Ticket]],Okey!A:B,2,0),"")</f>
        <v/>
      </c>
      <c r="I2329" s="36"/>
      <c r="J2329" s="36" t="s">
        <v>19</v>
      </c>
      <c r="K2329" s="36" t="s">
        <v>11488</v>
      </c>
      <c r="L2329" s="36"/>
    </row>
    <row r="2330" spans="1:12" hidden="1">
      <c r="A2330" s="42">
        <f t="shared" si="35"/>
        <v>2329</v>
      </c>
      <c r="B2330" s="36" t="s">
        <v>8</v>
      </c>
      <c r="C2330" s="36" t="s">
        <v>11258</v>
      </c>
      <c r="D2330" s="9" t="s">
        <v>11328</v>
      </c>
      <c r="F2330" s="36" t="s">
        <v>275</v>
      </c>
      <c r="G2330" s="36" t="s">
        <v>8544</v>
      </c>
      <c r="H2330" s="36" t="str">
        <f>IFERROR(VLOOKUP(Table2[[#This Row], [Ticket]],Okey!A:B,2,0),"")</f>
        <v/>
      </c>
      <c r="I2330" s="36"/>
      <c r="J2330" s="36" t="s">
        <v>19</v>
      </c>
      <c r="K2330" s="36" t="s">
        <v>11488</v>
      </c>
      <c r="L2330" s="36"/>
    </row>
    <row r="2331" spans="1:12" hidden="1">
      <c r="A2331" s="42">
        <f t="shared" si="35"/>
        <v>2330</v>
      </c>
      <c r="B2331" s="36" t="s">
        <v>8</v>
      </c>
      <c r="C2331" s="36" t="s">
        <v>11258</v>
      </c>
      <c r="D2331" s="9" t="s">
        <v>11329</v>
      </c>
      <c r="F2331" s="36" t="s">
        <v>275</v>
      </c>
      <c r="G2331" s="36" t="s">
        <v>8544</v>
      </c>
      <c r="H2331" s="36" t="str">
        <f>IFERROR(VLOOKUP(Table2[[#This Row], [Ticket]],Okey!A:B,2,0),"")</f>
        <v/>
      </c>
      <c r="I2331" s="36"/>
      <c r="J2331" s="36" t="s">
        <v>19</v>
      </c>
      <c r="K2331" s="36" t="s">
        <v>11488</v>
      </c>
      <c r="L2331" s="36"/>
    </row>
    <row r="2332" spans="1:12" hidden="1">
      <c r="A2332" s="42">
        <f t="shared" si="35"/>
        <v>2331</v>
      </c>
      <c r="B2332" s="36" t="s">
        <v>8</v>
      </c>
      <c r="C2332" s="36" t="s">
        <v>11258</v>
      </c>
      <c r="D2332" s="9" t="s">
        <v>11330</v>
      </c>
      <c r="F2332" s="36" t="s">
        <v>275</v>
      </c>
      <c r="G2332" s="36" t="s">
        <v>8544</v>
      </c>
      <c r="H2332" s="36" t="str">
        <f>IFERROR(VLOOKUP(Table2[[#This Row], [Ticket]],Okey!A:B,2,0),"")</f>
        <v/>
      </c>
      <c r="I2332" s="36"/>
      <c r="J2332" s="36" t="s">
        <v>19</v>
      </c>
      <c r="K2332" s="36" t="s">
        <v>11488</v>
      </c>
      <c r="L2332" s="36"/>
    </row>
    <row r="2333" spans="1:12" hidden="1">
      <c r="A2333" s="42">
        <f t="shared" si="35"/>
        <v>2332</v>
      </c>
      <c r="B2333" s="36" t="s">
        <v>8</v>
      </c>
      <c r="C2333" s="36" t="s">
        <v>11258</v>
      </c>
      <c r="D2333" s="9" t="s">
        <v>11331</v>
      </c>
      <c r="F2333" s="36" t="s">
        <v>275</v>
      </c>
      <c r="G2333" s="36" t="s">
        <v>8544</v>
      </c>
      <c r="H2333" s="36" t="str">
        <f>IFERROR(VLOOKUP(Table2[[#This Row], [Ticket]],Okey!A:B,2,0),"")</f>
        <v/>
      </c>
      <c r="I2333" s="36"/>
      <c r="J2333" s="36" t="s">
        <v>19</v>
      </c>
      <c r="K2333" s="36" t="s">
        <v>11488</v>
      </c>
      <c r="L2333" s="36"/>
    </row>
    <row r="2334" spans="1:12">
      <c r="A2334" s="42">
        <f t="shared" si="35"/>
        <v>2333</v>
      </c>
      <c r="B2334" s="36" t="s">
        <v>8</v>
      </c>
      <c r="C2334" s="36" t="s">
        <v>11258</v>
      </c>
      <c r="D2334" s="9" t="s">
        <v>7472</v>
      </c>
      <c r="F2334" s="36" t="s">
        <v>275</v>
      </c>
      <c r="G2334" s="36" t="s">
        <v>8544</v>
      </c>
      <c r="H2334" s="36" t="str">
        <f>IFERROR(VLOOKUP(Table2[[#This Row], [Ticket]],Okey!A:B,2,0),"")</f>
        <v/>
      </c>
      <c r="I2334" s="36"/>
      <c r="J2334" s="36" t="s">
        <v>19</v>
      </c>
      <c r="K2334" s="36" t="s">
        <v>11488</v>
      </c>
      <c r="L2334" s="36"/>
    </row>
    <row r="2335" spans="1:12">
      <c r="A2335" s="42">
        <f t="shared" si="35"/>
        <v>2334</v>
      </c>
      <c r="B2335" s="36" t="s">
        <v>8</v>
      </c>
      <c r="C2335" s="36" t="s">
        <v>11258</v>
      </c>
      <c r="D2335" s="9" t="s">
        <v>7474</v>
      </c>
      <c r="F2335" s="36" t="s">
        <v>275</v>
      </c>
      <c r="G2335" s="36" t="s">
        <v>8544</v>
      </c>
      <c r="H2335" s="36" t="str">
        <f>IFERROR(VLOOKUP(Table2[[#This Row], [Ticket]],Okey!A:B,2,0),"")</f>
        <v/>
      </c>
      <c r="I2335" s="36"/>
      <c r="J2335" s="36" t="s">
        <v>19</v>
      </c>
      <c r="K2335" s="36" t="s">
        <v>11488</v>
      </c>
      <c r="L2335" s="36"/>
    </row>
    <row r="2336" spans="1:12">
      <c r="A2336" s="42">
        <f t="shared" si="35"/>
        <v>2335</v>
      </c>
      <c r="B2336" s="36" t="s">
        <v>8</v>
      </c>
      <c r="C2336" s="36" t="s">
        <v>11258</v>
      </c>
      <c r="D2336" s="9" t="s">
        <v>7475</v>
      </c>
      <c r="F2336" s="36" t="s">
        <v>275</v>
      </c>
      <c r="G2336" s="36" t="s">
        <v>8544</v>
      </c>
      <c r="H2336" s="36" t="str">
        <f>IFERROR(VLOOKUP(Table2[[#This Row], [Ticket]],Okey!A:B,2,0),"")</f>
        <v/>
      </c>
      <c r="I2336" s="36"/>
      <c r="J2336" s="36" t="s">
        <v>19</v>
      </c>
      <c r="K2336" s="36" t="s">
        <v>11488</v>
      </c>
      <c r="L2336" s="36"/>
    </row>
    <row r="2337" spans="1:12">
      <c r="A2337" s="42">
        <f t="shared" si="35"/>
        <v>2336</v>
      </c>
      <c r="B2337" s="36" t="s">
        <v>8</v>
      </c>
      <c r="C2337" s="36" t="s">
        <v>11258</v>
      </c>
      <c r="D2337" s="9" t="s">
        <v>7476</v>
      </c>
      <c r="F2337" s="36" t="s">
        <v>275</v>
      </c>
      <c r="G2337" s="36" t="s">
        <v>8544</v>
      </c>
      <c r="H2337" s="36" t="str">
        <f>IFERROR(VLOOKUP(Table2[[#This Row], [Ticket]],Okey!A:B,2,0),"")</f>
        <v/>
      </c>
      <c r="I2337" s="36"/>
      <c r="J2337" s="36" t="s">
        <v>19</v>
      </c>
      <c r="K2337" s="36" t="s">
        <v>11488</v>
      </c>
      <c r="L2337" s="36"/>
    </row>
    <row r="2338" spans="1:12">
      <c r="A2338" s="42">
        <f t="shared" si="35"/>
        <v>2337</v>
      </c>
      <c r="B2338" s="36" t="s">
        <v>8</v>
      </c>
      <c r="C2338" s="36" t="s">
        <v>11258</v>
      </c>
      <c r="D2338" s="9" t="s">
        <v>7477</v>
      </c>
      <c r="F2338" s="36" t="s">
        <v>275</v>
      </c>
      <c r="G2338" s="36" t="s">
        <v>8544</v>
      </c>
      <c r="H2338" s="36" t="str">
        <f>IFERROR(VLOOKUP(Table2[[#This Row], [Ticket]],Okey!A:B,2,0),"")</f>
        <v/>
      </c>
      <c r="I2338" s="36"/>
      <c r="J2338" s="36" t="s">
        <v>19</v>
      </c>
      <c r="K2338" s="36" t="s">
        <v>11488</v>
      </c>
      <c r="L2338" s="36"/>
    </row>
    <row r="2339" spans="1:12">
      <c r="A2339" s="42">
        <f t="shared" si="35"/>
        <v>2338</v>
      </c>
      <c r="B2339" s="36" t="s">
        <v>8</v>
      </c>
      <c r="C2339" s="36" t="s">
        <v>11258</v>
      </c>
      <c r="D2339" s="9" t="s">
        <v>7478</v>
      </c>
      <c r="F2339" s="36" t="s">
        <v>275</v>
      </c>
      <c r="G2339" s="36" t="s">
        <v>8544</v>
      </c>
      <c r="H2339" s="36" t="str">
        <f>IFERROR(VLOOKUP(Table2[[#This Row], [Ticket]],Okey!A:B,2,0),"")</f>
        <v/>
      </c>
      <c r="I2339" s="36"/>
      <c r="J2339" s="36" t="s">
        <v>19</v>
      </c>
      <c r="K2339" s="36" t="s">
        <v>11488</v>
      </c>
      <c r="L2339" s="36"/>
    </row>
    <row r="2340" spans="1:12">
      <c r="A2340" s="42">
        <f t="shared" si="35"/>
        <v>2339</v>
      </c>
      <c r="B2340" s="36" t="s">
        <v>8</v>
      </c>
      <c r="C2340" s="36" t="s">
        <v>11258</v>
      </c>
      <c r="D2340" s="9" t="s">
        <v>7479</v>
      </c>
      <c r="F2340" s="36" t="s">
        <v>275</v>
      </c>
      <c r="G2340" s="36" t="s">
        <v>8544</v>
      </c>
      <c r="H2340" s="36" t="str">
        <f>IFERROR(VLOOKUP(Table2[[#This Row], [Ticket]],Okey!A:B,2,0),"")</f>
        <v/>
      </c>
      <c r="I2340" s="36"/>
      <c r="J2340" s="36" t="s">
        <v>19</v>
      </c>
      <c r="K2340" s="36" t="s">
        <v>11488</v>
      </c>
      <c r="L2340" s="36"/>
    </row>
    <row r="2341" spans="1:12" hidden="1">
      <c r="A2341" s="42">
        <f t="shared" si="35"/>
        <v>2340</v>
      </c>
      <c r="B2341" s="36" t="s">
        <v>8</v>
      </c>
      <c r="C2341" s="36" t="s">
        <v>11258</v>
      </c>
      <c r="D2341" s="9" t="s">
        <v>11332</v>
      </c>
      <c r="F2341" s="36" t="s">
        <v>275</v>
      </c>
      <c r="G2341" s="36" t="s">
        <v>8544</v>
      </c>
      <c r="H2341" s="36" t="str">
        <f>IFERROR(VLOOKUP(Table2[[#This Row], [Ticket]],Okey!A:B,2,0),"")</f>
        <v/>
      </c>
      <c r="I2341" s="36"/>
      <c r="J2341" s="36" t="s">
        <v>19</v>
      </c>
      <c r="K2341" s="36" t="s">
        <v>11488</v>
      </c>
      <c r="L2341" s="36"/>
    </row>
    <row r="2342" spans="1:12" hidden="1">
      <c r="A2342" s="42">
        <f t="shared" si="35"/>
        <v>2341</v>
      </c>
      <c r="B2342" s="36" t="s">
        <v>8</v>
      </c>
      <c r="C2342" s="36" t="s">
        <v>11258</v>
      </c>
      <c r="D2342" s="9" t="s">
        <v>11333</v>
      </c>
      <c r="F2342" s="36" t="s">
        <v>275</v>
      </c>
      <c r="G2342" s="36" t="s">
        <v>8544</v>
      </c>
      <c r="H2342" s="36" t="str">
        <f>IFERROR(VLOOKUP(Table2[[#This Row], [Ticket]],Okey!A:B,2,0),"")</f>
        <v/>
      </c>
      <c r="I2342" s="36"/>
      <c r="J2342" s="36" t="s">
        <v>19</v>
      </c>
      <c r="K2342" s="36" t="s">
        <v>11488</v>
      </c>
      <c r="L2342" s="36"/>
    </row>
    <row r="2343" spans="1:12" hidden="1">
      <c r="A2343" s="42">
        <f t="shared" si="35"/>
        <v>2342</v>
      </c>
      <c r="B2343" s="36" t="s">
        <v>8</v>
      </c>
      <c r="C2343" s="36" t="s">
        <v>11258</v>
      </c>
      <c r="D2343" s="9" t="s">
        <v>11334</v>
      </c>
      <c r="F2343" s="36" t="s">
        <v>275</v>
      </c>
      <c r="G2343" s="36" t="s">
        <v>8544</v>
      </c>
      <c r="H2343" s="36" t="str">
        <f>IFERROR(VLOOKUP(Table2[[#This Row], [Ticket]],Okey!A:B,2,0),"")</f>
        <v/>
      </c>
      <c r="I2343" s="36"/>
      <c r="J2343" s="36" t="s">
        <v>19</v>
      </c>
      <c r="K2343" s="36" t="s">
        <v>11488</v>
      </c>
      <c r="L2343" s="36"/>
    </row>
    <row r="2344" spans="1:12" hidden="1">
      <c r="A2344" s="42">
        <f t="shared" si="35"/>
        <v>2343</v>
      </c>
      <c r="B2344" s="36" t="s">
        <v>8</v>
      </c>
      <c r="C2344" s="36" t="s">
        <v>11258</v>
      </c>
      <c r="D2344" s="9" t="s">
        <v>11335</v>
      </c>
      <c r="F2344" s="36" t="s">
        <v>275</v>
      </c>
      <c r="G2344" s="36" t="s">
        <v>8544</v>
      </c>
      <c r="H2344" s="36" t="str">
        <f>IFERROR(VLOOKUP(Table2[[#This Row], [Ticket]],Okey!A:B,2,0),"")</f>
        <v/>
      </c>
      <c r="I2344" s="36"/>
      <c r="J2344" s="36" t="s">
        <v>19</v>
      </c>
      <c r="K2344" s="36" t="s">
        <v>11488</v>
      </c>
      <c r="L2344" s="36"/>
    </row>
    <row r="2345" spans="1:12" hidden="1">
      <c r="A2345" s="42">
        <f t="shared" si="35"/>
        <v>2344</v>
      </c>
      <c r="B2345" s="36" t="s">
        <v>8</v>
      </c>
      <c r="C2345" s="36" t="s">
        <v>11258</v>
      </c>
      <c r="D2345" s="9" t="s">
        <v>11336</v>
      </c>
      <c r="F2345" s="36" t="s">
        <v>275</v>
      </c>
      <c r="G2345" s="36" t="s">
        <v>8544</v>
      </c>
      <c r="H2345" s="36" t="str">
        <f>IFERROR(VLOOKUP(Table2[[#This Row], [Ticket]],Okey!A:B,2,0),"")</f>
        <v/>
      </c>
      <c r="I2345" s="36"/>
      <c r="J2345" s="36" t="s">
        <v>19</v>
      </c>
      <c r="K2345" s="36" t="s">
        <v>11488</v>
      </c>
      <c r="L2345" s="36"/>
    </row>
    <row r="2346" spans="1:12" hidden="1">
      <c r="A2346" s="42">
        <f t="shared" si="35"/>
        <v>2345</v>
      </c>
      <c r="B2346" s="36" t="s">
        <v>8</v>
      </c>
      <c r="C2346" s="36" t="s">
        <v>11258</v>
      </c>
      <c r="D2346" s="9" t="s">
        <v>11337</v>
      </c>
      <c r="F2346" s="36" t="s">
        <v>275</v>
      </c>
      <c r="G2346" s="36" t="s">
        <v>8544</v>
      </c>
      <c r="H2346" s="36" t="str">
        <f>IFERROR(VLOOKUP(Table2[[#This Row], [Ticket]],Okey!A:B,2,0),"")</f>
        <v/>
      </c>
      <c r="I2346" s="36"/>
      <c r="J2346" s="36" t="s">
        <v>19</v>
      </c>
      <c r="K2346" s="36" t="s">
        <v>11488</v>
      </c>
      <c r="L2346" s="36"/>
    </row>
    <row r="2347" spans="1:12" hidden="1">
      <c r="A2347" s="42">
        <f t="shared" si="35"/>
        <v>2346</v>
      </c>
      <c r="B2347" s="36" t="s">
        <v>8</v>
      </c>
      <c r="C2347" s="36" t="s">
        <v>11258</v>
      </c>
      <c r="D2347" s="9" t="s">
        <v>11338</v>
      </c>
      <c r="F2347" s="36" t="s">
        <v>275</v>
      </c>
      <c r="G2347" s="36" t="s">
        <v>8544</v>
      </c>
      <c r="H2347" s="36" t="str">
        <f>IFERROR(VLOOKUP(Table2[[#This Row], [Ticket]],Okey!A:B,2,0),"")</f>
        <v/>
      </c>
      <c r="I2347" s="36"/>
      <c r="J2347" s="36" t="s">
        <v>19</v>
      </c>
      <c r="K2347" s="36" t="s">
        <v>11488</v>
      </c>
      <c r="L2347" s="36"/>
    </row>
    <row r="2348" spans="1:12" hidden="1">
      <c r="A2348" s="42">
        <f t="shared" si="35"/>
        <v>2347</v>
      </c>
      <c r="B2348" s="36" t="s">
        <v>8</v>
      </c>
      <c r="C2348" s="36" t="s">
        <v>11258</v>
      </c>
      <c r="D2348" s="9" t="s">
        <v>11339</v>
      </c>
      <c r="F2348" s="36" t="s">
        <v>275</v>
      </c>
      <c r="G2348" s="36" t="s">
        <v>8544</v>
      </c>
      <c r="H2348" s="36" t="str">
        <f>IFERROR(VLOOKUP(Table2[[#This Row], [Ticket]],Okey!A:B,2,0),"")</f>
        <v/>
      </c>
      <c r="I2348" s="36"/>
      <c r="J2348" s="36" t="s">
        <v>19</v>
      </c>
      <c r="K2348" s="36" t="s">
        <v>11488</v>
      </c>
      <c r="L2348" s="36"/>
    </row>
    <row r="2349" spans="1:12" hidden="1">
      <c r="A2349" s="42">
        <f t="shared" si="35"/>
        <v>2348</v>
      </c>
      <c r="B2349" s="36" t="s">
        <v>8</v>
      </c>
      <c r="C2349" s="36" t="s">
        <v>11258</v>
      </c>
      <c r="D2349" s="9" t="s">
        <v>11340</v>
      </c>
      <c r="F2349" s="36" t="s">
        <v>275</v>
      </c>
      <c r="G2349" s="36" t="s">
        <v>8544</v>
      </c>
      <c r="H2349" s="36" t="str">
        <f>IFERROR(VLOOKUP(Table2[[#This Row], [Ticket]],Okey!A:B,2,0),"")</f>
        <v/>
      </c>
      <c r="I2349" s="36"/>
      <c r="J2349" s="36" t="s">
        <v>19</v>
      </c>
      <c r="K2349" s="36" t="s">
        <v>11488</v>
      </c>
      <c r="L2349" s="36"/>
    </row>
    <row r="2350" spans="1:12" hidden="1">
      <c r="A2350" s="42">
        <f t="shared" si="35"/>
        <v>2349</v>
      </c>
      <c r="B2350" s="36" t="s">
        <v>8</v>
      </c>
      <c r="C2350" s="36" t="s">
        <v>11258</v>
      </c>
      <c r="D2350" s="9" t="s">
        <v>11341</v>
      </c>
      <c r="F2350" s="36" t="s">
        <v>275</v>
      </c>
      <c r="G2350" s="36" t="s">
        <v>8544</v>
      </c>
      <c r="H2350" s="36" t="str">
        <f>IFERROR(VLOOKUP(Table2[[#This Row], [Ticket]],Okey!A:B,2,0),"")</f>
        <v/>
      </c>
      <c r="I2350" s="36"/>
      <c r="J2350" s="36" t="s">
        <v>19</v>
      </c>
      <c r="K2350" s="36" t="s">
        <v>11488</v>
      </c>
      <c r="L2350" s="36"/>
    </row>
    <row r="2351" spans="1:12" hidden="1">
      <c r="A2351" s="42">
        <f t="shared" si="35"/>
        <v>2350</v>
      </c>
      <c r="B2351" s="36" t="s">
        <v>8</v>
      </c>
      <c r="C2351" s="36" t="s">
        <v>11258</v>
      </c>
      <c r="D2351" s="9" t="s">
        <v>11342</v>
      </c>
      <c r="F2351" s="36" t="s">
        <v>275</v>
      </c>
      <c r="G2351" s="36" t="s">
        <v>8544</v>
      </c>
      <c r="H2351" s="36" t="str">
        <f>IFERROR(VLOOKUP(Table2[[#This Row], [Ticket]],Okey!A:B,2,0),"")</f>
        <v/>
      </c>
      <c r="I2351" s="36"/>
      <c r="J2351" s="36" t="s">
        <v>19</v>
      </c>
      <c r="K2351" s="36" t="s">
        <v>11488</v>
      </c>
      <c r="L2351" s="36"/>
    </row>
    <row r="2352" spans="1:12" hidden="1">
      <c r="A2352" s="42">
        <f t="shared" si="35"/>
        <v>2351</v>
      </c>
      <c r="B2352" s="36" t="s">
        <v>8</v>
      </c>
      <c r="C2352" s="36" t="s">
        <v>11258</v>
      </c>
      <c r="D2352" s="9" t="s">
        <v>11343</v>
      </c>
      <c r="F2352" s="36" t="s">
        <v>275</v>
      </c>
      <c r="G2352" s="36" t="s">
        <v>8544</v>
      </c>
      <c r="H2352" s="36" t="str">
        <f>IFERROR(VLOOKUP(Table2[[#This Row], [Ticket]],Okey!A:B,2,0),"")</f>
        <v/>
      </c>
      <c r="I2352" s="36"/>
      <c r="J2352" s="36" t="s">
        <v>19</v>
      </c>
      <c r="K2352" s="36" t="s">
        <v>11488</v>
      </c>
      <c r="L2352" s="36"/>
    </row>
    <row r="2353" spans="1:12" hidden="1">
      <c r="A2353" s="42">
        <f t="shared" si="35"/>
        <v>2352</v>
      </c>
      <c r="B2353" s="36" t="s">
        <v>8</v>
      </c>
      <c r="C2353" s="36" t="s">
        <v>11258</v>
      </c>
      <c r="D2353" s="9" t="s">
        <v>11344</v>
      </c>
      <c r="F2353" s="36" t="s">
        <v>275</v>
      </c>
      <c r="G2353" s="36" t="s">
        <v>8544</v>
      </c>
      <c r="H2353" s="36" t="str">
        <f>IFERROR(VLOOKUP(Table2[[#This Row], [Ticket]],Okey!A:B,2,0),"")</f>
        <v/>
      </c>
      <c r="I2353" s="36"/>
      <c r="J2353" s="36" t="s">
        <v>19</v>
      </c>
      <c r="K2353" s="36" t="s">
        <v>11488</v>
      </c>
      <c r="L2353" s="36"/>
    </row>
    <row r="2354" spans="1:12" hidden="1">
      <c r="A2354" s="42">
        <f t="shared" si="35"/>
        <v>2353</v>
      </c>
      <c r="B2354" s="36" t="s">
        <v>8</v>
      </c>
      <c r="C2354" s="36" t="s">
        <v>11258</v>
      </c>
      <c r="D2354" s="9" t="s">
        <v>11345</v>
      </c>
      <c r="F2354" s="36" t="s">
        <v>275</v>
      </c>
      <c r="G2354" s="36" t="s">
        <v>8544</v>
      </c>
      <c r="H2354" s="36" t="str">
        <f>IFERROR(VLOOKUP(Table2[[#This Row], [Ticket]],Okey!A:B,2,0),"")</f>
        <v/>
      </c>
      <c r="I2354" s="36"/>
      <c r="J2354" s="36" t="s">
        <v>19</v>
      </c>
      <c r="K2354" s="36" t="s">
        <v>11488</v>
      </c>
      <c r="L2354" s="36"/>
    </row>
    <row r="2355" spans="1:12" hidden="1">
      <c r="A2355" s="42">
        <f t="shared" si="35"/>
        <v>2354</v>
      </c>
      <c r="B2355" s="36" t="s">
        <v>8</v>
      </c>
      <c r="C2355" s="36" t="s">
        <v>11258</v>
      </c>
      <c r="D2355" s="9" t="s">
        <v>11346</v>
      </c>
      <c r="F2355" s="36" t="s">
        <v>275</v>
      </c>
      <c r="G2355" s="36" t="s">
        <v>8544</v>
      </c>
      <c r="H2355" s="36" t="str">
        <f>IFERROR(VLOOKUP(Table2[[#This Row], [Ticket]],Okey!A:B,2,0),"")</f>
        <v/>
      </c>
      <c r="I2355" s="36"/>
      <c r="J2355" s="36" t="s">
        <v>19</v>
      </c>
      <c r="K2355" s="36" t="s">
        <v>11488</v>
      </c>
      <c r="L2355" s="36"/>
    </row>
    <row r="2356" spans="1:12" hidden="1">
      <c r="A2356" s="42">
        <f t="shared" si="35"/>
        <v>2355</v>
      </c>
      <c r="B2356" s="36" t="s">
        <v>8</v>
      </c>
      <c r="C2356" s="36" t="s">
        <v>11258</v>
      </c>
      <c r="D2356" s="9" t="s">
        <v>11347</v>
      </c>
      <c r="F2356" s="36" t="s">
        <v>275</v>
      </c>
      <c r="G2356" s="36" t="s">
        <v>8544</v>
      </c>
      <c r="H2356" s="36" t="str">
        <f>IFERROR(VLOOKUP(Table2[[#This Row], [Ticket]],Okey!A:B,2,0),"")</f>
        <v/>
      </c>
      <c r="I2356" s="36"/>
      <c r="J2356" s="36" t="s">
        <v>19</v>
      </c>
      <c r="K2356" s="36" t="s">
        <v>11488</v>
      </c>
      <c r="L2356" s="36"/>
    </row>
    <row r="2357" spans="1:12">
      <c r="A2357" s="42">
        <f t="shared" si="35"/>
        <v>2356</v>
      </c>
      <c r="B2357" s="36" t="s">
        <v>8</v>
      </c>
      <c r="C2357" s="36" t="s">
        <v>11258</v>
      </c>
      <c r="D2357" s="9" t="s">
        <v>7423</v>
      </c>
      <c r="F2357" s="36" t="s">
        <v>275</v>
      </c>
      <c r="G2357" s="36" t="s">
        <v>8544</v>
      </c>
      <c r="H2357" s="36" t="str">
        <f>IFERROR(VLOOKUP(Table2[[#This Row], [Ticket]],Okey!A:B,2,0),"")</f>
        <v/>
      </c>
      <c r="I2357" s="36"/>
      <c r="J2357" s="36" t="s">
        <v>19</v>
      </c>
      <c r="K2357" s="36" t="s">
        <v>11488</v>
      </c>
      <c r="L2357" s="36"/>
    </row>
    <row r="2358" spans="1:12">
      <c r="A2358" s="42">
        <f t="shared" si="35"/>
        <v>2357</v>
      </c>
      <c r="B2358" s="36" t="s">
        <v>8</v>
      </c>
      <c r="C2358" s="36" t="s">
        <v>11258</v>
      </c>
      <c r="D2358" s="9" t="s">
        <v>7424</v>
      </c>
      <c r="F2358" s="36" t="s">
        <v>275</v>
      </c>
      <c r="G2358" s="36" t="s">
        <v>8544</v>
      </c>
      <c r="H2358" s="36" t="str">
        <f>IFERROR(VLOOKUP(Table2[[#This Row], [Ticket]],Okey!A:B,2,0),"")</f>
        <v/>
      </c>
      <c r="I2358" s="36"/>
      <c r="J2358" s="36" t="s">
        <v>19</v>
      </c>
      <c r="K2358" s="36" t="s">
        <v>11488</v>
      </c>
      <c r="L2358" s="36"/>
    </row>
    <row r="2359" spans="1:12">
      <c r="A2359" s="42">
        <f t="shared" si="35"/>
        <v>2358</v>
      </c>
      <c r="B2359" s="36" t="s">
        <v>8</v>
      </c>
      <c r="C2359" s="36" t="s">
        <v>11258</v>
      </c>
      <c r="D2359" s="9" t="s">
        <v>7425</v>
      </c>
      <c r="F2359" s="36" t="s">
        <v>275</v>
      </c>
      <c r="G2359" s="36" t="s">
        <v>8544</v>
      </c>
      <c r="H2359" s="36" t="str">
        <f>IFERROR(VLOOKUP(Table2[[#This Row], [Ticket]],Okey!A:B,2,0),"")</f>
        <v/>
      </c>
      <c r="I2359" s="36"/>
      <c r="J2359" s="36" t="s">
        <v>19</v>
      </c>
      <c r="K2359" s="36" t="s">
        <v>11488</v>
      </c>
      <c r="L2359" s="36"/>
    </row>
    <row r="2360" spans="1:12" hidden="1">
      <c r="A2360" s="42">
        <f t="shared" si="35"/>
        <v>2359</v>
      </c>
      <c r="B2360" s="36" t="s">
        <v>8</v>
      </c>
      <c r="C2360" s="36" t="s">
        <v>11258</v>
      </c>
      <c r="D2360" s="9" t="s">
        <v>11348</v>
      </c>
      <c r="F2360" s="36" t="s">
        <v>275</v>
      </c>
      <c r="G2360" s="36" t="s">
        <v>8544</v>
      </c>
      <c r="H2360" s="36" t="str">
        <f>IFERROR(VLOOKUP(Table2[[#This Row], [Ticket]],Okey!A:B,2,0),"")</f>
        <v/>
      </c>
      <c r="I2360" s="36"/>
      <c r="J2360" s="36" t="s">
        <v>19</v>
      </c>
      <c r="K2360" s="36" t="s">
        <v>11488</v>
      </c>
      <c r="L2360" s="36"/>
    </row>
    <row r="2361" spans="1:12" hidden="1">
      <c r="A2361" s="42">
        <f t="shared" si="35"/>
        <v>2360</v>
      </c>
      <c r="B2361" s="36" t="s">
        <v>8</v>
      </c>
      <c r="C2361" s="36" t="s">
        <v>11258</v>
      </c>
      <c r="D2361" s="9" t="s">
        <v>11349</v>
      </c>
      <c r="F2361" s="36" t="s">
        <v>275</v>
      </c>
      <c r="G2361" s="36" t="s">
        <v>8544</v>
      </c>
      <c r="H2361" s="36" t="str">
        <f>IFERROR(VLOOKUP(Table2[[#This Row], [Ticket]],Okey!A:B,2,0),"")</f>
        <v/>
      </c>
      <c r="I2361" s="36"/>
      <c r="J2361" s="36" t="s">
        <v>19</v>
      </c>
      <c r="K2361" s="36" t="s">
        <v>11488</v>
      </c>
      <c r="L2361" s="36"/>
    </row>
    <row r="2362" spans="1:12" hidden="1">
      <c r="A2362" s="42">
        <f t="shared" si="35"/>
        <v>2361</v>
      </c>
      <c r="B2362" s="36" t="s">
        <v>8</v>
      </c>
      <c r="C2362" s="36" t="s">
        <v>11258</v>
      </c>
      <c r="D2362" s="9" t="s">
        <v>11350</v>
      </c>
      <c r="F2362" s="36" t="s">
        <v>275</v>
      </c>
      <c r="G2362" s="36" t="s">
        <v>8544</v>
      </c>
      <c r="H2362" s="36" t="str">
        <f>IFERROR(VLOOKUP(Table2[[#This Row], [Ticket]],Okey!A:B,2,0),"")</f>
        <v/>
      </c>
      <c r="I2362" s="36"/>
      <c r="J2362" s="36" t="s">
        <v>19</v>
      </c>
      <c r="K2362" s="36" t="s">
        <v>11488</v>
      </c>
      <c r="L2362" s="36"/>
    </row>
    <row r="2363" spans="1:12" hidden="1">
      <c r="A2363" s="42">
        <f t="shared" si="35"/>
        <v>2362</v>
      </c>
      <c r="B2363" s="36" t="s">
        <v>8</v>
      </c>
      <c r="C2363" s="36" t="s">
        <v>11258</v>
      </c>
      <c r="D2363" s="9" t="s">
        <v>11351</v>
      </c>
      <c r="F2363" s="36" t="s">
        <v>275</v>
      </c>
      <c r="G2363" s="36" t="s">
        <v>8544</v>
      </c>
      <c r="H2363" s="36" t="str">
        <f>IFERROR(VLOOKUP(Table2[[#This Row], [Ticket]],Okey!A:B,2,0),"")</f>
        <v/>
      </c>
      <c r="I2363" s="36"/>
      <c r="J2363" s="36" t="s">
        <v>19</v>
      </c>
      <c r="K2363" s="36" t="s">
        <v>11488</v>
      </c>
      <c r="L2363" s="36"/>
    </row>
    <row r="2364" spans="1:12" hidden="1">
      <c r="A2364" s="42">
        <f t="shared" si="35"/>
        <v>2363</v>
      </c>
      <c r="B2364" s="36" t="s">
        <v>8</v>
      </c>
      <c r="C2364" s="36" t="s">
        <v>11258</v>
      </c>
      <c r="D2364" s="9" t="s">
        <v>11352</v>
      </c>
      <c r="F2364" s="36" t="s">
        <v>275</v>
      </c>
      <c r="G2364" s="36" t="s">
        <v>8544</v>
      </c>
      <c r="H2364" s="36" t="str">
        <f>IFERROR(VLOOKUP(Table2[[#This Row], [Ticket]],Okey!A:B,2,0),"")</f>
        <v/>
      </c>
      <c r="I2364" s="36"/>
      <c r="J2364" s="36" t="s">
        <v>19</v>
      </c>
      <c r="K2364" s="36" t="s">
        <v>11488</v>
      </c>
      <c r="L2364" s="36"/>
    </row>
    <row r="2365" spans="1:12">
      <c r="A2365" s="42">
        <f t="shared" si="35"/>
        <v>2364</v>
      </c>
      <c r="B2365" s="36" t="s">
        <v>8</v>
      </c>
      <c r="C2365" s="36" t="s">
        <v>11258</v>
      </c>
      <c r="D2365" s="9" t="s">
        <v>7432</v>
      </c>
      <c r="F2365" s="36" t="s">
        <v>275</v>
      </c>
      <c r="G2365" s="36" t="s">
        <v>8544</v>
      </c>
      <c r="H2365" s="36" t="str">
        <f>IFERROR(VLOOKUP(Table2[[#This Row], [Ticket]],Okey!A:B,2,0),"")</f>
        <v/>
      </c>
      <c r="I2365" s="36"/>
      <c r="J2365" s="36" t="s">
        <v>19</v>
      </c>
      <c r="K2365" s="36" t="s">
        <v>11488</v>
      </c>
      <c r="L2365" s="36"/>
    </row>
    <row r="2366" spans="1:12">
      <c r="A2366" s="42">
        <f t="shared" ref="A2366:A2429" si="36">1+A2365</f>
        <v>2365</v>
      </c>
      <c r="B2366" s="36" t="s">
        <v>8</v>
      </c>
      <c r="C2366" s="36" t="s">
        <v>11258</v>
      </c>
      <c r="D2366" s="9" t="s">
        <v>7434</v>
      </c>
      <c r="F2366" s="36" t="s">
        <v>275</v>
      </c>
      <c r="G2366" s="36" t="s">
        <v>8544</v>
      </c>
      <c r="H2366" s="36" t="str">
        <f>IFERROR(VLOOKUP(Table2[[#This Row], [Ticket]],Okey!A:B,2,0),"")</f>
        <v/>
      </c>
      <c r="I2366" s="36"/>
      <c r="J2366" s="36" t="s">
        <v>19</v>
      </c>
      <c r="K2366" s="36" t="s">
        <v>11488</v>
      </c>
      <c r="L2366" s="36"/>
    </row>
    <row r="2367" spans="1:12">
      <c r="A2367" s="42">
        <f t="shared" si="36"/>
        <v>2366</v>
      </c>
      <c r="B2367" s="36" t="s">
        <v>8</v>
      </c>
      <c r="C2367" s="36" t="s">
        <v>11258</v>
      </c>
      <c r="D2367" s="9" t="s">
        <v>7435</v>
      </c>
      <c r="F2367" s="36" t="s">
        <v>275</v>
      </c>
      <c r="G2367" s="36" t="s">
        <v>8544</v>
      </c>
      <c r="H2367" s="36" t="str">
        <f>IFERROR(VLOOKUP(Table2[[#This Row], [Ticket]],Okey!A:B,2,0),"")</f>
        <v/>
      </c>
      <c r="I2367" s="36"/>
      <c r="J2367" s="36" t="s">
        <v>19</v>
      </c>
      <c r="K2367" s="36" t="s">
        <v>11488</v>
      </c>
      <c r="L2367" s="36"/>
    </row>
    <row r="2368" spans="1:12">
      <c r="A2368" s="42">
        <f t="shared" si="36"/>
        <v>2367</v>
      </c>
      <c r="B2368" s="36" t="s">
        <v>8</v>
      </c>
      <c r="C2368" s="36" t="s">
        <v>11258</v>
      </c>
      <c r="D2368" s="9" t="s">
        <v>7436</v>
      </c>
      <c r="F2368" s="36" t="s">
        <v>275</v>
      </c>
      <c r="G2368" s="36" t="s">
        <v>8544</v>
      </c>
      <c r="H2368" s="36" t="str">
        <f>IFERROR(VLOOKUP(Table2[[#This Row], [Ticket]],Okey!A:B,2,0),"")</f>
        <v/>
      </c>
      <c r="I2368" s="36"/>
      <c r="J2368" s="36" t="s">
        <v>19</v>
      </c>
      <c r="K2368" s="36" t="s">
        <v>11488</v>
      </c>
      <c r="L2368" s="36"/>
    </row>
    <row r="2369" spans="1:12">
      <c r="A2369" s="42">
        <f t="shared" si="36"/>
        <v>2368</v>
      </c>
      <c r="B2369" s="36" t="s">
        <v>8</v>
      </c>
      <c r="C2369" s="36" t="s">
        <v>11258</v>
      </c>
      <c r="D2369" s="9" t="s">
        <v>7437</v>
      </c>
      <c r="F2369" s="36" t="s">
        <v>275</v>
      </c>
      <c r="G2369" s="36" t="s">
        <v>8544</v>
      </c>
      <c r="H2369" s="36" t="str">
        <f>IFERROR(VLOOKUP(Table2[[#This Row], [Ticket]],Okey!A:B,2,0),"")</f>
        <v/>
      </c>
      <c r="I2369" s="36"/>
      <c r="J2369" s="36" t="s">
        <v>19</v>
      </c>
      <c r="K2369" s="36" t="s">
        <v>11488</v>
      </c>
      <c r="L2369" s="36"/>
    </row>
    <row r="2370" spans="1:12">
      <c r="A2370" s="42">
        <f t="shared" si="36"/>
        <v>2369</v>
      </c>
      <c r="B2370" s="36" t="s">
        <v>8</v>
      </c>
      <c r="C2370" s="36" t="s">
        <v>11258</v>
      </c>
      <c r="D2370" s="9" t="s">
        <v>7438</v>
      </c>
      <c r="F2370" s="36" t="s">
        <v>275</v>
      </c>
      <c r="G2370" s="36" t="s">
        <v>8544</v>
      </c>
      <c r="H2370" s="36" t="str">
        <f>IFERROR(VLOOKUP(Table2[[#This Row], [Ticket]],Okey!A:B,2,0),"")</f>
        <v/>
      </c>
      <c r="I2370" s="36"/>
      <c r="J2370" s="36" t="s">
        <v>19</v>
      </c>
      <c r="K2370" s="36" t="s">
        <v>11488</v>
      </c>
      <c r="L2370" s="36"/>
    </row>
    <row r="2371" spans="1:12">
      <c r="A2371" s="42">
        <f t="shared" si="36"/>
        <v>2370</v>
      </c>
      <c r="B2371" s="36" t="s">
        <v>8</v>
      </c>
      <c r="C2371" s="36" t="s">
        <v>11258</v>
      </c>
      <c r="D2371" s="9" t="s">
        <v>7439</v>
      </c>
      <c r="F2371" s="36" t="s">
        <v>275</v>
      </c>
      <c r="G2371" s="36" t="s">
        <v>8544</v>
      </c>
      <c r="H2371" s="36" t="str">
        <f>IFERROR(VLOOKUP(Table2[[#This Row], [Ticket]],Okey!A:B,2,0),"")</f>
        <v/>
      </c>
      <c r="I2371" s="36"/>
      <c r="J2371" s="36" t="s">
        <v>19</v>
      </c>
      <c r="K2371" s="36" t="s">
        <v>11488</v>
      </c>
      <c r="L2371" s="36"/>
    </row>
    <row r="2372" spans="1:12" hidden="1">
      <c r="A2372" s="42">
        <f t="shared" si="36"/>
        <v>2371</v>
      </c>
      <c r="B2372" s="36" t="s">
        <v>8</v>
      </c>
      <c r="C2372" s="36" t="s">
        <v>11258</v>
      </c>
      <c r="D2372" s="9" t="s">
        <v>11353</v>
      </c>
      <c r="F2372" s="36" t="s">
        <v>275</v>
      </c>
      <c r="G2372" s="36" t="s">
        <v>8544</v>
      </c>
      <c r="H2372" s="36" t="str">
        <f>IFERROR(VLOOKUP(Table2[[#This Row], [Ticket]],Okey!A:B,2,0),"")</f>
        <v/>
      </c>
      <c r="I2372" s="36"/>
      <c r="J2372" s="36" t="s">
        <v>19</v>
      </c>
      <c r="K2372" s="36" t="s">
        <v>11488</v>
      </c>
      <c r="L2372" s="36"/>
    </row>
    <row r="2373" spans="1:12" hidden="1">
      <c r="A2373" s="42">
        <f t="shared" si="36"/>
        <v>2372</v>
      </c>
      <c r="B2373" s="36" t="s">
        <v>8</v>
      </c>
      <c r="C2373" s="36" t="s">
        <v>11258</v>
      </c>
      <c r="D2373" s="9" t="s">
        <v>11354</v>
      </c>
      <c r="F2373" s="36" t="s">
        <v>275</v>
      </c>
      <c r="G2373" s="36" t="s">
        <v>8544</v>
      </c>
      <c r="H2373" s="36" t="str">
        <f>IFERROR(VLOOKUP(Table2[[#This Row], [Ticket]],Okey!A:B,2,0),"")</f>
        <v/>
      </c>
      <c r="I2373" s="36"/>
      <c r="J2373" s="36" t="s">
        <v>19</v>
      </c>
      <c r="K2373" s="36" t="s">
        <v>11488</v>
      </c>
      <c r="L2373" s="36"/>
    </row>
    <row r="2374" spans="1:12" hidden="1">
      <c r="A2374" s="42">
        <f t="shared" si="36"/>
        <v>2373</v>
      </c>
      <c r="B2374" s="36" t="s">
        <v>8</v>
      </c>
      <c r="C2374" s="36" t="s">
        <v>11258</v>
      </c>
      <c r="D2374" s="9" t="s">
        <v>11355</v>
      </c>
      <c r="F2374" s="36" t="s">
        <v>275</v>
      </c>
      <c r="G2374" s="36" t="s">
        <v>8544</v>
      </c>
      <c r="H2374" s="36" t="str">
        <f>IFERROR(VLOOKUP(Table2[[#This Row], [Ticket]],Okey!A:B,2,0),"")</f>
        <v/>
      </c>
      <c r="I2374" s="36"/>
      <c r="J2374" s="36" t="s">
        <v>19</v>
      </c>
      <c r="K2374" s="36" t="s">
        <v>11488</v>
      </c>
      <c r="L2374" s="36"/>
    </row>
    <row r="2375" spans="1:12" hidden="1">
      <c r="A2375" s="42">
        <f t="shared" si="36"/>
        <v>2374</v>
      </c>
      <c r="B2375" s="36" t="s">
        <v>8</v>
      </c>
      <c r="C2375" s="36" t="s">
        <v>11258</v>
      </c>
      <c r="D2375" s="9" t="s">
        <v>11356</v>
      </c>
      <c r="F2375" s="36" t="s">
        <v>275</v>
      </c>
      <c r="G2375" s="36" t="s">
        <v>8544</v>
      </c>
      <c r="H2375" s="36" t="str">
        <f>IFERROR(VLOOKUP(Table2[[#This Row], [Ticket]],Okey!A:B,2,0),"")</f>
        <v/>
      </c>
      <c r="I2375" s="36"/>
      <c r="J2375" s="36" t="s">
        <v>19</v>
      </c>
      <c r="K2375" s="36" t="s">
        <v>11488</v>
      </c>
      <c r="L2375" s="36"/>
    </row>
    <row r="2376" spans="1:12" hidden="1">
      <c r="A2376" s="42">
        <f t="shared" si="36"/>
        <v>2375</v>
      </c>
      <c r="B2376" s="36" t="s">
        <v>8</v>
      </c>
      <c r="C2376" s="36" t="s">
        <v>11258</v>
      </c>
      <c r="D2376" s="9" t="s">
        <v>11357</v>
      </c>
      <c r="F2376" s="36" t="s">
        <v>275</v>
      </c>
      <c r="G2376" s="36" t="s">
        <v>8544</v>
      </c>
      <c r="H2376" s="36" t="str">
        <f>IFERROR(VLOOKUP(Table2[[#This Row], [Ticket]],Okey!A:B,2,0),"")</f>
        <v/>
      </c>
      <c r="I2376" s="36"/>
      <c r="J2376" s="36" t="s">
        <v>19</v>
      </c>
      <c r="K2376" s="36" t="s">
        <v>11488</v>
      </c>
      <c r="L2376" s="36"/>
    </row>
    <row r="2377" spans="1:12" hidden="1">
      <c r="A2377" s="42">
        <f t="shared" si="36"/>
        <v>2376</v>
      </c>
      <c r="B2377" s="36" t="s">
        <v>8</v>
      </c>
      <c r="C2377" s="36" t="s">
        <v>11258</v>
      </c>
      <c r="D2377" s="9" t="s">
        <v>11358</v>
      </c>
      <c r="F2377" s="36" t="s">
        <v>275</v>
      </c>
      <c r="G2377" s="36" t="s">
        <v>8544</v>
      </c>
      <c r="H2377" s="36" t="str">
        <f>IFERROR(VLOOKUP(Table2[[#This Row], [Ticket]],Okey!A:B,2,0),"")</f>
        <v/>
      </c>
      <c r="I2377" s="36"/>
      <c r="J2377" s="36" t="s">
        <v>19</v>
      </c>
      <c r="K2377" s="36" t="s">
        <v>11488</v>
      </c>
      <c r="L2377" s="36"/>
    </row>
    <row r="2378" spans="1:12" hidden="1">
      <c r="A2378" s="42">
        <f t="shared" si="36"/>
        <v>2377</v>
      </c>
      <c r="B2378" s="36" t="s">
        <v>8</v>
      </c>
      <c r="C2378" s="36" t="s">
        <v>11258</v>
      </c>
      <c r="D2378" s="9" t="s">
        <v>11359</v>
      </c>
      <c r="F2378" s="36" t="s">
        <v>275</v>
      </c>
      <c r="G2378" s="36" t="s">
        <v>8544</v>
      </c>
      <c r="H2378" s="36" t="str">
        <f>IFERROR(VLOOKUP(Table2[[#This Row], [Ticket]],Okey!A:B,2,0),"")</f>
        <v/>
      </c>
      <c r="I2378" s="36"/>
      <c r="J2378" s="36" t="s">
        <v>19</v>
      </c>
      <c r="K2378" s="36" t="s">
        <v>11488</v>
      </c>
      <c r="L2378" s="36"/>
    </row>
    <row r="2379" spans="1:12" hidden="1">
      <c r="A2379" s="42">
        <f t="shared" si="36"/>
        <v>2378</v>
      </c>
      <c r="B2379" s="36" t="s">
        <v>8</v>
      </c>
      <c r="C2379" s="36" t="s">
        <v>11258</v>
      </c>
      <c r="D2379" s="9" t="s">
        <v>11360</v>
      </c>
      <c r="F2379" s="36" t="s">
        <v>275</v>
      </c>
      <c r="G2379" s="36" t="s">
        <v>8544</v>
      </c>
      <c r="H2379" s="36" t="str">
        <f>IFERROR(VLOOKUP(Table2[[#This Row], [Ticket]],Okey!A:B,2,0),"")</f>
        <v/>
      </c>
      <c r="I2379" s="36"/>
      <c r="J2379" s="36" t="s">
        <v>19</v>
      </c>
      <c r="K2379" s="36" t="s">
        <v>11488</v>
      </c>
      <c r="L2379" s="36"/>
    </row>
    <row r="2380" spans="1:12" hidden="1">
      <c r="A2380" s="42">
        <f t="shared" si="36"/>
        <v>2379</v>
      </c>
      <c r="B2380" s="36" t="s">
        <v>8</v>
      </c>
      <c r="C2380" s="36" t="s">
        <v>11258</v>
      </c>
      <c r="D2380" s="9" t="s">
        <v>11361</v>
      </c>
      <c r="F2380" s="36" t="s">
        <v>275</v>
      </c>
      <c r="G2380" s="36" t="s">
        <v>8544</v>
      </c>
      <c r="H2380" s="36" t="str">
        <f>IFERROR(VLOOKUP(Table2[[#This Row], [Ticket]],Okey!A:B,2,0),"")</f>
        <v/>
      </c>
      <c r="I2380" s="36"/>
      <c r="J2380" s="36" t="s">
        <v>19</v>
      </c>
      <c r="K2380" s="36" t="s">
        <v>11488</v>
      </c>
      <c r="L2380" s="36"/>
    </row>
    <row r="2381" spans="1:12" hidden="1">
      <c r="A2381" s="42">
        <f t="shared" si="36"/>
        <v>2380</v>
      </c>
      <c r="B2381" s="36" t="s">
        <v>8</v>
      </c>
      <c r="C2381" s="36" t="s">
        <v>11258</v>
      </c>
      <c r="D2381" s="9" t="s">
        <v>11362</v>
      </c>
      <c r="F2381" s="36" t="s">
        <v>275</v>
      </c>
      <c r="G2381" s="36" t="s">
        <v>8544</v>
      </c>
      <c r="H2381" s="36" t="str">
        <f>IFERROR(VLOOKUP(Table2[[#This Row], [Ticket]],Okey!A:B,2,0),"")</f>
        <v/>
      </c>
      <c r="I2381" s="36"/>
      <c r="J2381" s="36" t="s">
        <v>19</v>
      </c>
      <c r="K2381" s="36" t="s">
        <v>11488</v>
      </c>
      <c r="L2381" s="36"/>
    </row>
    <row r="2382" spans="1:12" hidden="1">
      <c r="A2382" s="42">
        <f t="shared" si="36"/>
        <v>2381</v>
      </c>
      <c r="B2382" s="36" t="s">
        <v>8</v>
      </c>
      <c r="C2382" s="36" t="s">
        <v>11258</v>
      </c>
      <c r="D2382" s="9" t="s">
        <v>11363</v>
      </c>
      <c r="F2382" s="36" t="s">
        <v>275</v>
      </c>
      <c r="G2382" s="36" t="s">
        <v>8544</v>
      </c>
      <c r="H2382" s="36" t="str">
        <f>IFERROR(VLOOKUP(Table2[[#This Row], [Ticket]],Okey!A:B,2,0),"")</f>
        <v/>
      </c>
      <c r="I2382" s="36"/>
      <c r="J2382" s="36" t="s">
        <v>19</v>
      </c>
      <c r="K2382" s="36" t="s">
        <v>11488</v>
      </c>
      <c r="L2382" s="36"/>
    </row>
    <row r="2383" spans="1:12" hidden="1">
      <c r="A2383" s="42">
        <f t="shared" si="36"/>
        <v>2382</v>
      </c>
      <c r="B2383" s="36" t="s">
        <v>8</v>
      </c>
      <c r="C2383" s="36" t="s">
        <v>11258</v>
      </c>
      <c r="D2383" s="9" t="s">
        <v>11364</v>
      </c>
      <c r="F2383" s="36" t="s">
        <v>275</v>
      </c>
      <c r="G2383" s="36" t="s">
        <v>8544</v>
      </c>
      <c r="H2383" s="36" t="str">
        <f>IFERROR(VLOOKUP(Table2[[#This Row], [Ticket]],Okey!A:B,2,0),"")</f>
        <v/>
      </c>
      <c r="I2383" s="36"/>
      <c r="J2383" s="36" t="s">
        <v>19</v>
      </c>
      <c r="K2383" s="36" t="s">
        <v>11488</v>
      </c>
      <c r="L2383" s="36"/>
    </row>
    <row r="2384" spans="1:12" hidden="1">
      <c r="A2384" s="42">
        <f t="shared" si="36"/>
        <v>2383</v>
      </c>
      <c r="B2384" s="36" t="s">
        <v>8</v>
      </c>
      <c r="C2384" s="36" t="s">
        <v>11258</v>
      </c>
      <c r="D2384" s="9" t="s">
        <v>11365</v>
      </c>
      <c r="F2384" s="36" t="s">
        <v>275</v>
      </c>
      <c r="G2384" s="36" t="s">
        <v>8544</v>
      </c>
      <c r="H2384" s="36" t="str">
        <f>IFERROR(VLOOKUP(Table2[[#This Row], [Ticket]],Okey!A:B,2,0),"")</f>
        <v/>
      </c>
      <c r="I2384" s="36"/>
      <c r="J2384" s="36" t="s">
        <v>19</v>
      </c>
      <c r="K2384" s="36" t="s">
        <v>11488</v>
      </c>
      <c r="L2384" s="36"/>
    </row>
    <row r="2385" spans="1:12" hidden="1">
      <c r="A2385" s="42">
        <f t="shared" si="36"/>
        <v>2384</v>
      </c>
      <c r="B2385" s="36" t="s">
        <v>8</v>
      </c>
      <c r="C2385" s="36" t="s">
        <v>11258</v>
      </c>
      <c r="D2385" s="9" t="s">
        <v>11366</v>
      </c>
      <c r="F2385" s="36" t="s">
        <v>275</v>
      </c>
      <c r="G2385" s="36" t="s">
        <v>8544</v>
      </c>
      <c r="H2385" s="36" t="str">
        <f>IFERROR(VLOOKUP(Table2[[#This Row], [Ticket]],Okey!A:B,2,0),"")</f>
        <v/>
      </c>
      <c r="I2385" s="36"/>
      <c r="J2385" s="36" t="s">
        <v>19</v>
      </c>
      <c r="K2385" s="36" t="s">
        <v>11488</v>
      </c>
      <c r="L2385" s="36"/>
    </row>
    <row r="2386" spans="1:12" hidden="1">
      <c r="A2386" s="42">
        <f t="shared" si="36"/>
        <v>2385</v>
      </c>
      <c r="B2386" s="36" t="s">
        <v>8</v>
      </c>
      <c r="C2386" s="36" t="s">
        <v>11258</v>
      </c>
      <c r="D2386" s="9" t="s">
        <v>11367</v>
      </c>
      <c r="F2386" s="36" t="s">
        <v>275</v>
      </c>
      <c r="G2386" s="36" t="s">
        <v>8544</v>
      </c>
      <c r="H2386" s="36" t="str">
        <f>IFERROR(VLOOKUP(Table2[[#This Row], [Ticket]],Okey!A:B,2,0),"")</f>
        <v/>
      </c>
      <c r="I2386" s="36"/>
      <c r="J2386" s="36" t="s">
        <v>19</v>
      </c>
      <c r="K2386" s="36" t="s">
        <v>11488</v>
      </c>
      <c r="L2386" s="36"/>
    </row>
    <row r="2387" spans="1:12" hidden="1">
      <c r="A2387" s="42">
        <f t="shared" si="36"/>
        <v>2386</v>
      </c>
      <c r="B2387" s="36" t="s">
        <v>8</v>
      </c>
      <c r="C2387" s="36" t="s">
        <v>11258</v>
      </c>
      <c r="D2387" s="9" t="s">
        <v>11368</v>
      </c>
      <c r="F2387" s="36" t="s">
        <v>275</v>
      </c>
      <c r="G2387" s="36" t="s">
        <v>8544</v>
      </c>
      <c r="H2387" s="36" t="str">
        <f>IFERROR(VLOOKUP(Table2[[#This Row], [Ticket]],Okey!A:B,2,0),"")</f>
        <v/>
      </c>
      <c r="I2387" s="36"/>
      <c r="J2387" s="36" t="s">
        <v>19</v>
      </c>
      <c r="K2387" s="36" t="s">
        <v>11488</v>
      </c>
      <c r="L2387" s="36"/>
    </row>
    <row r="2388" spans="1:12" hidden="1">
      <c r="A2388" s="42">
        <f t="shared" si="36"/>
        <v>2387</v>
      </c>
      <c r="B2388" s="36" t="s">
        <v>8</v>
      </c>
      <c r="C2388" s="36" t="s">
        <v>11258</v>
      </c>
      <c r="D2388" s="9" t="s">
        <v>11369</v>
      </c>
      <c r="F2388" s="36" t="s">
        <v>275</v>
      </c>
      <c r="G2388" s="36" t="s">
        <v>8544</v>
      </c>
      <c r="H2388" s="36" t="str">
        <f>IFERROR(VLOOKUP(Table2[[#This Row], [Ticket]],Okey!A:B,2,0),"")</f>
        <v/>
      </c>
      <c r="I2388" s="36"/>
      <c r="J2388" s="36" t="s">
        <v>19</v>
      </c>
      <c r="K2388" s="36" t="s">
        <v>11488</v>
      </c>
      <c r="L2388" s="36"/>
    </row>
    <row r="2389" spans="1:12" hidden="1">
      <c r="A2389" s="42">
        <f t="shared" si="36"/>
        <v>2388</v>
      </c>
      <c r="B2389" s="36" t="s">
        <v>8</v>
      </c>
      <c r="C2389" s="36" t="s">
        <v>11258</v>
      </c>
      <c r="D2389" s="9" t="s">
        <v>11370</v>
      </c>
      <c r="F2389" s="36" t="s">
        <v>275</v>
      </c>
      <c r="G2389" s="36" t="s">
        <v>8544</v>
      </c>
      <c r="H2389" s="36" t="str">
        <f>IFERROR(VLOOKUP(Table2[[#This Row], [Ticket]],Okey!A:B,2,0),"")</f>
        <v/>
      </c>
      <c r="I2389" s="36"/>
      <c r="J2389" s="36" t="s">
        <v>19</v>
      </c>
      <c r="K2389" s="36" t="s">
        <v>11488</v>
      </c>
      <c r="L2389" s="36"/>
    </row>
    <row r="2390" spans="1:12" hidden="1">
      <c r="A2390" s="42">
        <f t="shared" si="36"/>
        <v>2389</v>
      </c>
      <c r="B2390" s="36" t="s">
        <v>8</v>
      </c>
      <c r="C2390" s="36" t="s">
        <v>11258</v>
      </c>
      <c r="D2390" s="9" t="s">
        <v>11371</v>
      </c>
      <c r="F2390" s="36" t="s">
        <v>275</v>
      </c>
      <c r="G2390" s="36" t="s">
        <v>8544</v>
      </c>
      <c r="H2390" s="36" t="str">
        <f>IFERROR(VLOOKUP(Table2[[#This Row], [Ticket]],Okey!A:B,2,0),"")</f>
        <v/>
      </c>
      <c r="I2390" s="36"/>
      <c r="J2390" s="36" t="s">
        <v>19</v>
      </c>
      <c r="K2390" s="36" t="s">
        <v>11488</v>
      </c>
      <c r="L2390" s="36"/>
    </row>
    <row r="2391" spans="1:12" hidden="1">
      <c r="A2391" s="42">
        <f t="shared" si="36"/>
        <v>2390</v>
      </c>
      <c r="B2391" s="36" t="s">
        <v>8</v>
      </c>
      <c r="C2391" s="36" t="s">
        <v>11258</v>
      </c>
      <c r="D2391" s="9" t="s">
        <v>11372</v>
      </c>
      <c r="F2391" s="36" t="s">
        <v>275</v>
      </c>
      <c r="G2391" s="36" t="s">
        <v>8544</v>
      </c>
      <c r="H2391" s="36" t="str">
        <f>IFERROR(VLOOKUP(Table2[[#This Row], [Ticket]],Okey!A:B,2,0),"")</f>
        <v/>
      </c>
      <c r="I2391" s="36"/>
      <c r="J2391" s="36" t="s">
        <v>19</v>
      </c>
      <c r="K2391" s="36" t="s">
        <v>11488</v>
      </c>
      <c r="L2391" s="36"/>
    </row>
    <row r="2392" spans="1:12" hidden="1">
      <c r="A2392" s="42">
        <f t="shared" si="36"/>
        <v>2391</v>
      </c>
      <c r="B2392" s="36" t="s">
        <v>8</v>
      </c>
      <c r="C2392" s="36" t="s">
        <v>11258</v>
      </c>
      <c r="D2392" s="9" t="s">
        <v>11373</v>
      </c>
      <c r="F2392" s="36" t="s">
        <v>275</v>
      </c>
      <c r="G2392" s="36" t="s">
        <v>8544</v>
      </c>
      <c r="H2392" s="36" t="str">
        <f>IFERROR(VLOOKUP(Table2[[#This Row], [Ticket]],Okey!A:B,2,0),"")</f>
        <v/>
      </c>
      <c r="I2392" s="36"/>
      <c r="J2392" s="36" t="s">
        <v>19</v>
      </c>
      <c r="K2392" s="36" t="s">
        <v>11488</v>
      </c>
      <c r="L2392" s="36"/>
    </row>
    <row r="2393" spans="1:12" hidden="1">
      <c r="A2393" s="42">
        <f t="shared" si="36"/>
        <v>2392</v>
      </c>
      <c r="B2393" s="36" t="s">
        <v>8</v>
      </c>
      <c r="C2393" s="36" t="s">
        <v>11258</v>
      </c>
      <c r="D2393" s="9" t="s">
        <v>11374</v>
      </c>
      <c r="F2393" s="36" t="s">
        <v>275</v>
      </c>
      <c r="G2393" s="36" t="s">
        <v>8544</v>
      </c>
      <c r="H2393" s="36" t="str">
        <f>IFERROR(VLOOKUP(Table2[[#This Row], [Ticket]],Okey!A:B,2,0),"")</f>
        <v/>
      </c>
      <c r="I2393" s="36"/>
      <c r="J2393" s="36" t="s">
        <v>19</v>
      </c>
      <c r="K2393" s="36" t="s">
        <v>11488</v>
      </c>
      <c r="L2393" s="36"/>
    </row>
    <row r="2394" spans="1:12" hidden="1">
      <c r="A2394" s="42">
        <f t="shared" si="36"/>
        <v>2393</v>
      </c>
      <c r="B2394" s="36" t="s">
        <v>8</v>
      </c>
      <c r="C2394" s="36" t="s">
        <v>11258</v>
      </c>
      <c r="D2394" s="9" t="s">
        <v>11375</v>
      </c>
      <c r="F2394" s="36" t="s">
        <v>275</v>
      </c>
      <c r="G2394" s="36" t="s">
        <v>8544</v>
      </c>
      <c r="H2394" s="36" t="str">
        <f>IFERROR(VLOOKUP(Table2[[#This Row], [Ticket]],Okey!A:B,2,0),"")</f>
        <v/>
      </c>
      <c r="I2394" s="36"/>
      <c r="J2394" s="36" t="s">
        <v>19</v>
      </c>
      <c r="K2394" s="36" t="s">
        <v>11488</v>
      </c>
      <c r="L2394" s="36"/>
    </row>
    <row r="2395" spans="1:12" hidden="1">
      <c r="A2395" s="42">
        <f t="shared" si="36"/>
        <v>2394</v>
      </c>
      <c r="B2395" s="36" t="s">
        <v>8</v>
      </c>
      <c r="C2395" s="36" t="s">
        <v>11258</v>
      </c>
      <c r="D2395" s="9" t="s">
        <v>11376</v>
      </c>
      <c r="F2395" s="36" t="s">
        <v>275</v>
      </c>
      <c r="G2395" s="36" t="s">
        <v>8544</v>
      </c>
      <c r="H2395" s="36" t="str">
        <f>IFERROR(VLOOKUP(Table2[[#This Row], [Ticket]],Okey!A:B,2,0),"")</f>
        <v/>
      </c>
      <c r="I2395" s="36"/>
      <c r="J2395" s="36" t="s">
        <v>19</v>
      </c>
      <c r="K2395" s="36" t="s">
        <v>11488</v>
      </c>
      <c r="L2395" s="36"/>
    </row>
    <row r="2396" spans="1:12" hidden="1">
      <c r="A2396" s="42">
        <f t="shared" si="36"/>
        <v>2395</v>
      </c>
      <c r="B2396" s="36" t="s">
        <v>8</v>
      </c>
      <c r="C2396" s="36" t="s">
        <v>11258</v>
      </c>
      <c r="D2396" s="9" t="s">
        <v>11377</v>
      </c>
      <c r="F2396" s="36" t="s">
        <v>275</v>
      </c>
      <c r="G2396" s="36" t="s">
        <v>8544</v>
      </c>
      <c r="H2396" s="36" t="str">
        <f>IFERROR(VLOOKUP(Table2[[#This Row], [Ticket]],Okey!A:B,2,0),"")</f>
        <v/>
      </c>
      <c r="I2396" s="36"/>
      <c r="J2396" s="36" t="s">
        <v>19</v>
      </c>
      <c r="K2396" s="36" t="s">
        <v>11488</v>
      </c>
      <c r="L2396" s="36"/>
    </row>
    <row r="2397" spans="1:12" hidden="1">
      <c r="A2397" s="42">
        <f t="shared" si="36"/>
        <v>2396</v>
      </c>
      <c r="B2397" s="36" t="s">
        <v>8</v>
      </c>
      <c r="C2397" s="36" t="s">
        <v>11258</v>
      </c>
      <c r="D2397" s="9" t="s">
        <v>11378</v>
      </c>
      <c r="F2397" s="36" t="s">
        <v>275</v>
      </c>
      <c r="G2397" s="36" t="s">
        <v>8544</v>
      </c>
      <c r="H2397" s="36" t="str">
        <f>IFERROR(VLOOKUP(Table2[[#This Row], [Ticket]],Okey!A:B,2,0),"")</f>
        <v/>
      </c>
      <c r="I2397" s="36"/>
      <c r="J2397" s="36" t="s">
        <v>19</v>
      </c>
      <c r="K2397" s="36" t="s">
        <v>11488</v>
      </c>
      <c r="L2397" s="36"/>
    </row>
    <row r="2398" spans="1:12" hidden="1">
      <c r="A2398" s="42">
        <f t="shared" si="36"/>
        <v>2397</v>
      </c>
      <c r="B2398" s="36" t="s">
        <v>8</v>
      </c>
      <c r="C2398" s="36" t="s">
        <v>11258</v>
      </c>
      <c r="D2398" s="9" t="s">
        <v>11379</v>
      </c>
      <c r="F2398" s="36" t="s">
        <v>275</v>
      </c>
      <c r="G2398" s="36" t="s">
        <v>8544</v>
      </c>
      <c r="H2398" s="36" t="str">
        <f>IFERROR(VLOOKUP(Table2[[#This Row], [Ticket]],Okey!A:B,2,0),"")</f>
        <v/>
      </c>
      <c r="I2398" s="36"/>
      <c r="J2398" s="36" t="s">
        <v>19</v>
      </c>
      <c r="K2398" s="36" t="s">
        <v>11488</v>
      </c>
      <c r="L2398" s="36"/>
    </row>
    <row r="2399" spans="1:12" hidden="1">
      <c r="A2399" s="42">
        <f t="shared" si="36"/>
        <v>2398</v>
      </c>
      <c r="B2399" s="36" t="s">
        <v>8</v>
      </c>
      <c r="C2399" s="36" t="s">
        <v>11258</v>
      </c>
      <c r="D2399" s="9" t="s">
        <v>11380</v>
      </c>
      <c r="F2399" s="36" t="s">
        <v>275</v>
      </c>
      <c r="G2399" s="36" t="s">
        <v>8544</v>
      </c>
      <c r="H2399" s="36" t="str">
        <f>IFERROR(VLOOKUP(Table2[[#This Row], [Ticket]],Okey!A:B,2,0),"")</f>
        <v/>
      </c>
      <c r="I2399" s="36"/>
      <c r="J2399" s="36" t="s">
        <v>19</v>
      </c>
      <c r="K2399" s="36" t="s">
        <v>11488</v>
      </c>
      <c r="L2399" s="36"/>
    </row>
    <row r="2400" spans="1:12" hidden="1">
      <c r="A2400" s="42">
        <f t="shared" si="36"/>
        <v>2399</v>
      </c>
      <c r="B2400" s="36" t="s">
        <v>8</v>
      </c>
      <c r="C2400" s="36" t="s">
        <v>11258</v>
      </c>
      <c r="D2400" s="9" t="s">
        <v>11381</v>
      </c>
      <c r="F2400" s="36" t="s">
        <v>275</v>
      </c>
      <c r="G2400" s="36" t="s">
        <v>8544</v>
      </c>
      <c r="H2400" s="36" t="str">
        <f>IFERROR(VLOOKUP(Table2[[#This Row], [Ticket]],Okey!A:B,2,0),"")</f>
        <v/>
      </c>
      <c r="I2400" s="36"/>
      <c r="J2400" s="36" t="s">
        <v>19</v>
      </c>
      <c r="K2400" s="36" t="s">
        <v>11488</v>
      </c>
      <c r="L2400" s="36"/>
    </row>
    <row r="2401" spans="1:12" hidden="1">
      <c r="A2401" s="42">
        <f t="shared" si="36"/>
        <v>2400</v>
      </c>
      <c r="B2401" s="36" t="s">
        <v>8</v>
      </c>
      <c r="C2401" s="36" t="s">
        <v>11258</v>
      </c>
      <c r="D2401" s="9" t="s">
        <v>11382</v>
      </c>
      <c r="F2401" s="36" t="s">
        <v>275</v>
      </c>
      <c r="G2401" s="36" t="s">
        <v>8544</v>
      </c>
      <c r="H2401" s="36" t="str">
        <f>IFERROR(VLOOKUP(Table2[[#This Row], [Ticket]],Okey!A:B,2,0),"")</f>
        <v/>
      </c>
      <c r="I2401" s="36"/>
      <c r="J2401" s="36" t="s">
        <v>19</v>
      </c>
      <c r="K2401" s="36" t="s">
        <v>11488</v>
      </c>
      <c r="L2401" s="36"/>
    </row>
    <row r="2402" spans="1:12" hidden="1">
      <c r="A2402" s="42">
        <f t="shared" si="36"/>
        <v>2401</v>
      </c>
      <c r="B2402" s="36" t="s">
        <v>8</v>
      </c>
      <c r="C2402" s="36" t="s">
        <v>11258</v>
      </c>
      <c r="D2402" s="9" t="s">
        <v>11383</v>
      </c>
      <c r="F2402" s="36" t="s">
        <v>275</v>
      </c>
      <c r="G2402" s="36" t="s">
        <v>8544</v>
      </c>
      <c r="H2402" s="36" t="str">
        <f>IFERROR(VLOOKUP(Table2[[#This Row], [Ticket]],Okey!A:B,2,0),"")</f>
        <v/>
      </c>
      <c r="I2402" s="36"/>
      <c r="J2402" s="36" t="s">
        <v>19</v>
      </c>
      <c r="K2402" s="36" t="s">
        <v>11488</v>
      </c>
      <c r="L2402" s="36"/>
    </row>
    <row r="2403" spans="1:12" hidden="1">
      <c r="A2403" s="42">
        <f t="shared" si="36"/>
        <v>2402</v>
      </c>
      <c r="B2403" s="36" t="s">
        <v>8</v>
      </c>
      <c r="C2403" s="36" t="s">
        <v>11258</v>
      </c>
      <c r="D2403" s="9" t="s">
        <v>11384</v>
      </c>
      <c r="F2403" s="36" t="s">
        <v>275</v>
      </c>
      <c r="G2403" s="36" t="s">
        <v>8544</v>
      </c>
      <c r="H2403" s="36" t="str">
        <f>IFERROR(VLOOKUP(Table2[[#This Row], [Ticket]],Okey!A:B,2,0),"")</f>
        <v/>
      </c>
      <c r="I2403" s="36"/>
      <c r="J2403" s="36" t="s">
        <v>19</v>
      </c>
      <c r="K2403" s="36" t="s">
        <v>11488</v>
      </c>
      <c r="L2403" s="36"/>
    </row>
    <row r="2404" spans="1:12" hidden="1">
      <c r="A2404" s="42">
        <f t="shared" si="36"/>
        <v>2403</v>
      </c>
      <c r="B2404" s="36" t="s">
        <v>8</v>
      </c>
      <c r="C2404" s="36" t="s">
        <v>11258</v>
      </c>
      <c r="D2404" s="9" t="s">
        <v>11385</v>
      </c>
      <c r="F2404" s="36" t="s">
        <v>275</v>
      </c>
      <c r="G2404" s="36" t="s">
        <v>8544</v>
      </c>
      <c r="H2404" s="36" t="str">
        <f>IFERROR(VLOOKUP(Table2[[#This Row], [Ticket]],Okey!A:B,2,0),"")</f>
        <v/>
      </c>
      <c r="I2404" s="36"/>
      <c r="J2404" s="36" t="s">
        <v>19</v>
      </c>
      <c r="K2404" s="36" t="s">
        <v>11488</v>
      </c>
      <c r="L2404" s="36"/>
    </row>
    <row r="2405" spans="1:12" hidden="1">
      <c r="A2405" s="42">
        <f t="shared" si="36"/>
        <v>2404</v>
      </c>
      <c r="B2405" s="36" t="s">
        <v>8</v>
      </c>
      <c r="C2405" s="36" t="s">
        <v>11258</v>
      </c>
      <c r="D2405" s="9" t="s">
        <v>11386</v>
      </c>
      <c r="F2405" s="36" t="s">
        <v>275</v>
      </c>
      <c r="G2405" s="36" t="s">
        <v>8544</v>
      </c>
      <c r="H2405" s="36" t="str">
        <f>IFERROR(VLOOKUP(Table2[[#This Row], [Ticket]],Okey!A:B,2,0),"")</f>
        <v/>
      </c>
      <c r="I2405" s="36"/>
      <c r="J2405" s="36" t="s">
        <v>19</v>
      </c>
      <c r="K2405" s="36" t="s">
        <v>11488</v>
      </c>
      <c r="L2405" s="36"/>
    </row>
    <row r="2406" spans="1:12" hidden="1">
      <c r="A2406" s="42">
        <f t="shared" si="36"/>
        <v>2405</v>
      </c>
      <c r="B2406" s="36" t="s">
        <v>8</v>
      </c>
      <c r="C2406" s="36" t="s">
        <v>11258</v>
      </c>
      <c r="D2406" s="9" t="s">
        <v>11387</v>
      </c>
      <c r="F2406" s="36" t="s">
        <v>275</v>
      </c>
      <c r="G2406" s="36" t="s">
        <v>8544</v>
      </c>
      <c r="H2406" s="36" t="str">
        <f>IFERROR(VLOOKUP(Table2[[#This Row], [Ticket]],Okey!A:B,2,0),"")</f>
        <v/>
      </c>
      <c r="I2406" s="36"/>
      <c r="J2406" s="36" t="s">
        <v>19</v>
      </c>
      <c r="K2406" s="36" t="s">
        <v>11488</v>
      </c>
      <c r="L2406" s="36"/>
    </row>
    <row r="2407" spans="1:12" hidden="1">
      <c r="A2407" s="42">
        <f t="shared" si="36"/>
        <v>2406</v>
      </c>
      <c r="B2407" s="36" t="s">
        <v>8</v>
      </c>
      <c r="C2407" s="36" t="s">
        <v>11258</v>
      </c>
      <c r="D2407" s="9" t="s">
        <v>11388</v>
      </c>
      <c r="F2407" s="36" t="s">
        <v>275</v>
      </c>
      <c r="G2407" s="36" t="s">
        <v>8544</v>
      </c>
      <c r="H2407" s="36" t="str">
        <f>IFERROR(VLOOKUP(Table2[[#This Row], [Ticket]],Okey!A:B,2,0),"")</f>
        <v/>
      </c>
      <c r="I2407" s="36"/>
      <c r="J2407" s="36" t="s">
        <v>19</v>
      </c>
      <c r="K2407" s="36" t="s">
        <v>11488</v>
      </c>
      <c r="L2407" s="36"/>
    </row>
    <row r="2408" spans="1:12" hidden="1">
      <c r="A2408" s="42">
        <f t="shared" si="36"/>
        <v>2407</v>
      </c>
      <c r="B2408" s="36" t="s">
        <v>8</v>
      </c>
      <c r="C2408" s="36" t="s">
        <v>11258</v>
      </c>
      <c r="D2408" s="9" t="s">
        <v>11389</v>
      </c>
      <c r="F2408" s="36" t="s">
        <v>275</v>
      </c>
      <c r="G2408" s="36" t="s">
        <v>8544</v>
      </c>
      <c r="H2408" s="36" t="str">
        <f>IFERROR(VLOOKUP(Table2[[#This Row], [Ticket]],Okey!A:B,2,0),"")</f>
        <v/>
      </c>
      <c r="I2408" s="36"/>
      <c r="J2408" s="36" t="s">
        <v>19</v>
      </c>
      <c r="K2408" s="36" t="s">
        <v>11488</v>
      </c>
      <c r="L2408" s="36"/>
    </row>
    <row r="2409" spans="1:12" hidden="1">
      <c r="A2409" s="42">
        <f t="shared" si="36"/>
        <v>2408</v>
      </c>
      <c r="B2409" s="36" t="s">
        <v>8</v>
      </c>
      <c r="C2409" s="36" t="s">
        <v>11258</v>
      </c>
      <c r="D2409" s="9" t="s">
        <v>11390</v>
      </c>
      <c r="F2409" s="36" t="s">
        <v>275</v>
      </c>
      <c r="G2409" s="36" t="s">
        <v>8544</v>
      </c>
      <c r="H2409" s="36" t="str">
        <f>IFERROR(VLOOKUP(Table2[[#This Row], [Ticket]],Okey!A:B,2,0),"")</f>
        <v/>
      </c>
      <c r="I2409" s="36"/>
      <c r="J2409" s="36" t="s">
        <v>19</v>
      </c>
      <c r="K2409" s="36" t="s">
        <v>11488</v>
      </c>
      <c r="L2409" s="36"/>
    </row>
    <row r="2410" spans="1:12" hidden="1">
      <c r="A2410" s="42">
        <f t="shared" si="36"/>
        <v>2409</v>
      </c>
      <c r="B2410" s="36" t="s">
        <v>8</v>
      </c>
      <c r="C2410" s="36" t="s">
        <v>11258</v>
      </c>
      <c r="D2410" s="9" t="s">
        <v>11391</v>
      </c>
      <c r="F2410" s="36" t="s">
        <v>275</v>
      </c>
      <c r="G2410" s="36" t="s">
        <v>8544</v>
      </c>
      <c r="H2410" s="36" t="str">
        <f>IFERROR(VLOOKUP(Table2[[#This Row], [Ticket]],Okey!A:B,2,0),"")</f>
        <v/>
      </c>
      <c r="I2410" s="36"/>
      <c r="J2410" s="36" t="s">
        <v>19</v>
      </c>
      <c r="K2410" s="36" t="s">
        <v>11488</v>
      </c>
      <c r="L2410" s="36"/>
    </row>
    <row r="2411" spans="1:12" hidden="1">
      <c r="A2411" s="42">
        <f t="shared" si="36"/>
        <v>2410</v>
      </c>
      <c r="B2411" s="36" t="s">
        <v>8</v>
      </c>
      <c r="C2411" s="36" t="s">
        <v>11258</v>
      </c>
      <c r="D2411" s="9" t="s">
        <v>11392</v>
      </c>
      <c r="F2411" s="36" t="s">
        <v>275</v>
      </c>
      <c r="G2411" s="36" t="s">
        <v>8544</v>
      </c>
      <c r="H2411" s="36" t="str">
        <f>IFERROR(VLOOKUP(Table2[[#This Row], [Ticket]],Okey!A:B,2,0),"")</f>
        <v/>
      </c>
      <c r="I2411" s="36"/>
      <c r="J2411" s="36" t="s">
        <v>19</v>
      </c>
      <c r="K2411" s="36" t="s">
        <v>11488</v>
      </c>
      <c r="L2411" s="36"/>
    </row>
    <row r="2412" spans="1:12" hidden="1">
      <c r="A2412" s="42">
        <f t="shared" si="36"/>
        <v>2411</v>
      </c>
      <c r="B2412" s="36" t="s">
        <v>8</v>
      </c>
      <c r="C2412" s="36" t="s">
        <v>11258</v>
      </c>
      <c r="D2412" s="9" t="s">
        <v>11393</v>
      </c>
      <c r="F2412" s="36" t="s">
        <v>275</v>
      </c>
      <c r="G2412" s="36" t="s">
        <v>8544</v>
      </c>
      <c r="H2412" s="36" t="str">
        <f>IFERROR(VLOOKUP(Table2[[#This Row], [Ticket]],Okey!A:B,2,0),"")</f>
        <v/>
      </c>
      <c r="I2412" s="36"/>
      <c r="J2412" s="36" t="s">
        <v>19</v>
      </c>
      <c r="K2412" s="36" t="s">
        <v>11488</v>
      </c>
      <c r="L2412" s="36"/>
    </row>
    <row r="2413" spans="1:12" hidden="1">
      <c r="A2413" s="42">
        <f t="shared" si="36"/>
        <v>2412</v>
      </c>
      <c r="B2413" s="36" t="s">
        <v>8</v>
      </c>
      <c r="C2413" s="36" t="s">
        <v>11258</v>
      </c>
      <c r="D2413" s="9" t="s">
        <v>11394</v>
      </c>
      <c r="F2413" s="36" t="s">
        <v>275</v>
      </c>
      <c r="G2413" s="36" t="s">
        <v>8544</v>
      </c>
      <c r="H2413" s="36" t="str">
        <f>IFERROR(VLOOKUP(Table2[[#This Row], [Ticket]],Okey!A:B,2,0),"")</f>
        <v/>
      </c>
      <c r="I2413" s="36"/>
      <c r="J2413" s="36" t="s">
        <v>19</v>
      </c>
      <c r="K2413" s="36" t="s">
        <v>11488</v>
      </c>
      <c r="L2413" s="36"/>
    </row>
    <row r="2414" spans="1:12" hidden="1">
      <c r="A2414" s="42">
        <f t="shared" si="36"/>
        <v>2413</v>
      </c>
      <c r="B2414" s="36" t="s">
        <v>8</v>
      </c>
      <c r="C2414" s="36" t="s">
        <v>11258</v>
      </c>
      <c r="D2414" s="9" t="s">
        <v>11395</v>
      </c>
      <c r="F2414" s="36" t="s">
        <v>275</v>
      </c>
      <c r="G2414" s="36" t="s">
        <v>8544</v>
      </c>
      <c r="H2414" s="36" t="str">
        <f>IFERROR(VLOOKUP(Table2[[#This Row], [Ticket]],Okey!A:B,2,0),"")</f>
        <v/>
      </c>
      <c r="I2414" s="36"/>
      <c r="J2414" s="36" t="s">
        <v>19</v>
      </c>
      <c r="K2414" s="36" t="s">
        <v>11488</v>
      </c>
      <c r="L2414" s="36"/>
    </row>
    <row r="2415" spans="1:12" hidden="1">
      <c r="A2415" s="42">
        <f t="shared" si="36"/>
        <v>2414</v>
      </c>
      <c r="B2415" s="36" t="s">
        <v>8</v>
      </c>
      <c r="C2415" s="36" t="s">
        <v>11258</v>
      </c>
      <c r="D2415" s="9" t="s">
        <v>11396</v>
      </c>
      <c r="F2415" s="36" t="s">
        <v>275</v>
      </c>
      <c r="G2415" s="36" t="s">
        <v>8544</v>
      </c>
      <c r="H2415" s="36" t="str">
        <f>IFERROR(VLOOKUP(Table2[[#This Row], [Ticket]],Okey!A:B,2,0),"")</f>
        <v/>
      </c>
      <c r="I2415" s="36"/>
      <c r="J2415" s="36" t="s">
        <v>19</v>
      </c>
      <c r="K2415" s="36" t="s">
        <v>11488</v>
      </c>
      <c r="L2415" s="36"/>
    </row>
    <row r="2416" spans="1:12" hidden="1">
      <c r="A2416" s="42">
        <f t="shared" si="36"/>
        <v>2415</v>
      </c>
      <c r="B2416" s="36" t="s">
        <v>8</v>
      </c>
      <c r="C2416" s="36" t="s">
        <v>11258</v>
      </c>
      <c r="D2416" s="9" t="s">
        <v>11397</v>
      </c>
      <c r="F2416" s="36" t="s">
        <v>275</v>
      </c>
      <c r="G2416" s="36" t="s">
        <v>8544</v>
      </c>
      <c r="H2416" s="36" t="str">
        <f>IFERROR(VLOOKUP(Table2[[#This Row], [Ticket]],Okey!A:B,2,0),"")</f>
        <v/>
      </c>
      <c r="I2416" s="36"/>
      <c r="J2416" s="36" t="s">
        <v>19</v>
      </c>
      <c r="K2416" s="36" t="s">
        <v>11488</v>
      </c>
      <c r="L2416" s="36"/>
    </row>
    <row r="2417" spans="1:12" hidden="1">
      <c r="A2417" s="42">
        <f t="shared" si="36"/>
        <v>2416</v>
      </c>
      <c r="B2417" s="36" t="s">
        <v>8</v>
      </c>
      <c r="C2417" s="36" t="s">
        <v>11258</v>
      </c>
      <c r="D2417" s="9" t="s">
        <v>11398</v>
      </c>
      <c r="F2417" s="36" t="s">
        <v>275</v>
      </c>
      <c r="G2417" s="36" t="s">
        <v>8544</v>
      </c>
      <c r="H2417" s="36" t="str">
        <f>IFERROR(VLOOKUP(Table2[[#This Row], [Ticket]],Okey!A:B,2,0),"")</f>
        <v/>
      </c>
      <c r="I2417" s="36"/>
      <c r="J2417" s="36" t="s">
        <v>19</v>
      </c>
      <c r="K2417" s="36" t="s">
        <v>11488</v>
      </c>
      <c r="L2417" s="36"/>
    </row>
    <row r="2418" spans="1:12" hidden="1">
      <c r="A2418" s="42">
        <f t="shared" si="36"/>
        <v>2417</v>
      </c>
      <c r="B2418" s="36" t="s">
        <v>8</v>
      </c>
      <c r="C2418" s="36" t="s">
        <v>11258</v>
      </c>
      <c r="D2418" s="9" t="s">
        <v>11399</v>
      </c>
      <c r="F2418" s="36" t="s">
        <v>275</v>
      </c>
      <c r="G2418" s="36" t="s">
        <v>8544</v>
      </c>
      <c r="H2418" s="36" t="str">
        <f>IFERROR(VLOOKUP(Table2[[#This Row], [Ticket]],Okey!A:B,2,0),"")</f>
        <v/>
      </c>
      <c r="I2418" s="36"/>
      <c r="J2418" s="36" t="s">
        <v>19</v>
      </c>
      <c r="K2418" s="36" t="s">
        <v>11488</v>
      </c>
      <c r="L2418" s="36"/>
    </row>
    <row r="2419" spans="1:12" hidden="1">
      <c r="A2419" s="42">
        <f t="shared" si="36"/>
        <v>2418</v>
      </c>
      <c r="B2419" s="36" t="s">
        <v>8</v>
      </c>
      <c r="C2419" s="36" t="s">
        <v>11258</v>
      </c>
      <c r="D2419" s="9" t="s">
        <v>11400</v>
      </c>
      <c r="F2419" s="36" t="s">
        <v>275</v>
      </c>
      <c r="G2419" s="36" t="s">
        <v>8544</v>
      </c>
      <c r="H2419" s="36" t="str">
        <f>IFERROR(VLOOKUP(Table2[[#This Row], [Ticket]],Okey!A:B,2,0),"")</f>
        <v/>
      </c>
      <c r="I2419" s="36"/>
      <c r="J2419" s="36" t="s">
        <v>19</v>
      </c>
      <c r="K2419" s="36" t="s">
        <v>11488</v>
      </c>
      <c r="L2419" s="36"/>
    </row>
    <row r="2420" spans="1:12" hidden="1">
      <c r="A2420" s="42">
        <f t="shared" si="36"/>
        <v>2419</v>
      </c>
      <c r="B2420" s="36" t="s">
        <v>8</v>
      </c>
      <c r="C2420" s="36" t="s">
        <v>11258</v>
      </c>
      <c r="D2420" s="9" t="s">
        <v>11401</v>
      </c>
      <c r="F2420" s="36" t="s">
        <v>275</v>
      </c>
      <c r="G2420" s="36" t="s">
        <v>8544</v>
      </c>
      <c r="H2420" s="36" t="str">
        <f>IFERROR(VLOOKUP(Table2[[#This Row], [Ticket]],Okey!A:B,2,0),"")</f>
        <v/>
      </c>
      <c r="I2420" s="36"/>
      <c r="J2420" s="36" t="s">
        <v>19</v>
      </c>
      <c r="K2420" s="36" t="s">
        <v>11488</v>
      </c>
      <c r="L2420" s="36"/>
    </row>
    <row r="2421" spans="1:12" hidden="1">
      <c r="A2421" s="42">
        <f t="shared" si="36"/>
        <v>2420</v>
      </c>
      <c r="B2421" s="36" t="s">
        <v>8</v>
      </c>
      <c r="C2421" s="36" t="s">
        <v>11258</v>
      </c>
      <c r="D2421" s="9" t="s">
        <v>11402</v>
      </c>
      <c r="F2421" s="36" t="s">
        <v>275</v>
      </c>
      <c r="G2421" s="36" t="s">
        <v>8544</v>
      </c>
      <c r="H2421" s="36" t="str">
        <f>IFERROR(VLOOKUP(Table2[[#This Row], [Ticket]],Okey!A:B,2,0),"")</f>
        <v/>
      </c>
      <c r="I2421" s="36"/>
      <c r="J2421" s="36" t="s">
        <v>19</v>
      </c>
      <c r="K2421" s="36" t="s">
        <v>11488</v>
      </c>
      <c r="L2421" s="36"/>
    </row>
    <row r="2422" spans="1:12" hidden="1">
      <c r="A2422" s="42">
        <f t="shared" si="36"/>
        <v>2421</v>
      </c>
      <c r="B2422" s="36" t="s">
        <v>8</v>
      </c>
      <c r="C2422" s="36" t="s">
        <v>11258</v>
      </c>
      <c r="D2422" s="9" t="s">
        <v>11403</v>
      </c>
      <c r="F2422" s="36" t="s">
        <v>275</v>
      </c>
      <c r="G2422" s="36" t="s">
        <v>8544</v>
      </c>
      <c r="H2422" s="36" t="str">
        <f>IFERROR(VLOOKUP(Table2[[#This Row], [Ticket]],Okey!A:B,2,0),"")</f>
        <v/>
      </c>
      <c r="I2422" s="36"/>
      <c r="J2422" s="36" t="s">
        <v>19</v>
      </c>
      <c r="K2422" s="36" t="s">
        <v>11488</v>
      </c>
      <c r="L2422" s="36"/>
    </row>
    <row r="2423" spans="1:12" hidden="1">
      <c r="A2423" s="42">
        <f t="shared" si="36"/>
        <v>2422</v>
      </c>
      <c r="B2423" s="36" t="s">
        <v>8</v>
      </c>
      <c r="C2423" s="36" t="s">
        <v>11258</v>
      </c>
      <c r="D2423" s="9" t="s">
        <v>11404</v>
      </c>
      <c r="F2423" s="36" t="s">
        <v>275</v>
      </c>
      <c r="G2423" s="36" t="s">
        <v>8544</v>
      </c>
      <c r="H2423" s="36" t="str">
        <f>IFERROR(VLOOKUP(Table2[[#This Row], [Ticket]],Okey!A:B,2,0),"")</f>
        <v/>
      </c>
      <c r="I2423" s="36"/>
      <c r="J2423" s="36" t="s">
        <v>19</v>
      </c>
      <c r="K2423" s="36" t="s">
        <v>11488</v>
      </c>
      <c r="L2423" s="36"/>
    </row>
    <row r="2424" spans="1:12" hidden="1">
      <c r="A2424" s="42">
        <f t="shared" si="36"/>
        <v>2423</v>
      </c>
      <c r="B2424" s="36" t="s">
        <v>8</v>
      </c>
      <c r="C2424" s="36" t="s">
        <v>11258</v>
      </c>
      <c r="D2424" s="9" t="s">
        <v>11405</v>
      </c>
      <c r="F2424" s="36" t="s">
        <v>275</v>
      </c>
      <c r="G2424" s="36" t="s">
        <v>8544</v>
      </c>
      <c r="H2424" s="36" t="str">
        <f>IFERROR(VLOOKUP(Table2[[#This Row], [Ticket]],Okey!A:B,2,0),"")</f>
        <v/>
      </c>
      <c r="I2424" s="36"/>
      <c r="J2424" s="36" t="s">
        <v>19</v>
      </c>
      <c r="K2424" s="36" t="s">
        <v>11488</v>
      </c>
      <c r="L2424" s="36"/>
    </row>
    <row r="2425" spans="1:12" hidden="1">
      <c r="A2425" s="42">
        <f t="shared" si="36"/>
        <v>2424</v>
      </c>
      <c r="B2425" s="36" t="s">
        <v>8</v>
      </c>
      <c r="C2425" s="36" t="s">
        <v>11258</v>
      </c>
      <c r="D2425" s="9" t="s">
        <v>11406</v>
      </c>
      <c r="F2425" s="36" t="s">
        <v>275</v>
      </c>
      <c r="G2425" s="36" t="s">
        <v>8544</v>
      </c>
      <c r="H2425" s="36" t="str">
        <f>IFERROR(VLOOKUP(Table2[[#This Row], [Ticket]],Okey!A:B,2,0),"")</f>
        <v/>
      </c>
      <c r="I2425" s="36"/>
      <c r="J2425" s="36" t="s">
        <v>19</v>
      </c>
      <c r="K2425" s="36" t="s">
        <v>11488</v>
      </c>
      <c r="L2425" s="36"/>
    </row>
    <row r="2426" spans="1:12" hidden="1">
      <c r="A2426" s="42">
        <f t="shared" si="36"/>
        <v>2425</v>
      </c>
      <c r="B2426" s="36" t="s">
        <v>8</v>
      </c>
      <c r="C2426" s="36" t="s">
        <v>11258</v>
      </c>
      <c r="D2426" s="9" t="s">
        <v>11407</v>
      </c>
      <c r="F2426" s="36" t="s">
        <v>275</v>
      </c>
      <c r="G2426" s="36" t="s">
        <v>8544</v>
      </c>
      <c r="H2426" s="36" t="str">
        <f>IFERROR(VLOOKUP(Table2[[#This Row], [Ticket]],Okey!A:B,2,0),"")</f>
        <v/>
      </c>
      <c r="I2426" s="36"/>
      <c r="J2426" s="36" t="s">
        <v>19</v>
      </c>
      <c r="K2426" s="36" t="s">
        <v>11488</v>
      </c>
      <c r="L2426" s="36"/>
    </row>
    <row r="2427" spans="1:12" hidden="1">
      <c r="A2427" s="42">
        <f t="shared" si="36"/>
        <v>2426</v>
      </c>
      <c r="B2427" s="36" t="s">
        <v>8</v>
      </c>
      <c r="C2427" s="36" t="s">
        <v>11258</v>
      </c>
      <c r="D2427" s="9" t="s">
        <v>11408</v>
      </c>
      <c r="F2427" s="36" t="s">
        <v>275</v>
      </c>
      <c r="G2427" s="36" t="s">
        <v>8544</v>
      </c>
      <c r="H2427" s="36" t="str">
        <f>IFERROR(VLOOKUP(Table2[[#This Row], [Ticket]],Okey!A:B,2,0),"")</f>
        <v/>
      </c>
      <c r="I2427" s="36"/>
      <c r="J2427" s="36" t="s">
        <v>19</v>
      </c>
      <c r="K2427" s="36" t="s">
        <v>11488</v>
      </c>
      <c r="L2427" s="36"/>
    </row>
    <row r="2428" spans="1:12" hidden="1">
      <c r="A2428" s="42">
        <f t="shared" si="36"/>
        <v>2427</v>
      </c>
      <c r="B2428" s="36" t="s">
        <v>8</v>
      </c>
      <c r="C2428" s="36" t="s">
        <v>11258</v>
      </c>
      <c r="D2428" s="9" t="s">
        <v>11409</v>
      </c>
      <c r="F2428" s="36" t="s">
        <v>275</v>
      </c>
      <c r="G2428" s="36" t="s">
        <v>8544</v>
      </c>
      <c r="H2428" s="36" t="str">
        <f>IFERROR(VLOOKUP(Table2[[#This Row], [Ticket]],Okey!A:B,2,0),"")</f>
        <v/>
      </c>
      <c r="I2428" s="36"/>
      <c r="J2428" s="36" t="s">
        <v>19</v>
      </c>
      <c r="K2428" s="36" t="s">
        <v>11488</v>
      </c>
      <c r="L2428" s="36"/>
    </row>
    <row r="2429" spans="1:12" hidden="1">
      <c r="A2429" s="42">
        <f t="shared" si="36"/>
        <v>2428</v>
      </c>
      <c r="B2429" s="36" t="s">
        <v>8</v>
      </c>
      <c r="C2429" s="36" t="s">
        <v>11258</v>
      </c>
      <c r="D2429" s="9" t="s">
        <v>11410</v>
      </c>
      <c r="F2429" s="36" t="s">
        <v>275</v>
      </c>
      <c r="G2429" s="36" t="s">
        <v>8544</v>
      </c>
      <c r="H2429" s="36" t="str">
        <f>IFERROR(VLOOKUP(Table2[[#This Row], [Ticket]],Okey!A:B,2,0),"")</f>
        <v/>
      </c>
      <c r="I2429" s="36"/>
      <c r="J2429" s="36" t="s">
        <v>19</v>
      </c>
      <c r="K2429" s="36" t="s">
        <v>11488</v>
      </c>
      <c r="L2429" s="36"/>
    </row>
    <row r="2430" spans="1:12" hidden="1">
      <c r="A2430" s="42">
        <f t="shared" ref="A2430:A2493" si="37">1+A2429</f>
        <v>2429</v>
      </c>
      <c r="B2430" s="36" t="s">
        <v>8</v>
      </c>
      <c r="C2430" s="36" t="s">
        <v>11258</v>
      </c>
      <c r="D2430" s="9" t="s">
        <v>11411</v>
      </c>
      <c r="F2430" s="36" t="s">
        <v>275</v>
      </c>
      <c r="G2430" s="36" t="s">
        <v>8544</v>
      </c>
      <c r="H2430" s="36" t="str">
        <f>IFERROR(VLOOKUP(Table2[[#This Row], [Ticket]],Okey!A:B,2,0),"")</f>
        <v/>
      </c>
      <c r="I2430" s="36"/>
      <c r="J2430" s="36" t="s">
        <v>19</v>
      </c>
      <c r="K2430" s="36" t="s">
        <v>11488</v>
      </c>
      <c r="L2430" s="36"/>
    </row>
    <row r="2431" spans="1:12" hidden="1">
      <c r="A2431" s="42">
        <f t="shared" si="37"/>
        <v>2430</v>
      </c>
      <c r="B2431" s="36" t="s">
        <v>8</v>
      </c>
      <c r="C2431" s="36" t="s">
        <v>11258</v>
      </c>
      <c r="D2431" s="9" t="s">
        <v>11412</v>
      </c>
      <c r="F2431" s="36" t="s">
        <v>275</v>
      </c>
      <c r="G2431" s="36" t="s">
        <v>8544</v>
      </c>
      <c r="H2431" s="36" t="str">
        <f>IFERROR(VLOOKUP(Table2[[#This Row], [Ticket]],Okey!A:B,2,0),"")</f>
        <v/>
      </c>
      <c r="I2431" s="36"/>
      <c r="J2431" s="36" t="s">
        <v>19</v>
      </c>
      <c r="K2431" s="36" t="s">
        <v>11488</v>
      </c>
      <c r="L2431" s="36"/>
    </row>
    <row r="2432" spans="1:12" hidden="1">
      <c r="A2432" s="42">
        <f t="shared" si="37"/>
        <v>2431</v>
      </c>
      <c r="B2432" s="36" t="s">
        <v>8</v>
      </c>
      <c r="C2432" s="36" t="s">
        <v>11258</v>
      </c>
      <c r="D2432" s="9" t="s">
        <v>11413</v>
      </c>
      <c r="F2432" s="36" t="s">
        <v>275</v>
      </c>
      <c r="G2432" s="36" t="s">
        <v>8544</v>
      </c>
      <c r="H2432" s="36" t="str">
        <f>IFERROR(VLOOKUP(Table2[[#This Row], [Ticket]],Okey!A:B,2,0),"")</f>
        <v/>
      </c>
      <c r="I2432" s="36"/>
      <c r="J2432" s="36" t="s">
        <v>19</v>
      </c>
      <c r="K2432" s="36" t="s">
        <v>11488</v>
      </c>
      <c r="L2432" s="36"/>
    </row>
    <row r="2433" spans="1:12" hidden="1">
      <c r="A2433" s="42">
        <f t="shared" si="37"/>
        <v>2432</v>
      </c>
      <c r="B2433" s="36" t="s">
        <v>8</v>
      </c>
      <c r="C2433" s="36" t="s">
        <v>11258</v>
      </c>
      <c r="D2433" s="9" t="s">
        <v>11414</v>
      </c>
      <c r="F2433" s="36" t="s">
        <v>275</v>
      </c>
      <c r="G2433" s="36" t="s">
        <v>8544</v>
      </c>
      <c r="H2433" s="36" t="str">
        <f>IFERROR(VLOOKUP(Table2[[#This Row], [Ticket]],Okey!A:B,2,0),"")</f>
        <v/>
      </c>
      <c r="I2433" s="36"/>
      <c r="J2433" s="36" t="s">
        <v>19</v>
      </c>
      <c r="K2433" s="36" t="s">
        <v>11488</v>
      </c>
      <c r="L2433" s="36"/>
    </row>
    <row r="2434" spans="1:12" hidden="1">
      <c r="A2434" s="42">
        <f t="shared" si="37"/>
        <v>2433</v>
      </c>
      <c r="B2434" s="36" t="s">
        <v>8</v>
      </c>
      <c r="C2434" s="36" t="s">
        <v>11258</v>
      </c>
      <c r="D2434" s="9" t="s">
        <v>11415</v>
      </c>
      <c r="F2434" s="36" t="s">
        <v>275</v>
      </c>
      <c r="G2434" s="36" t="s">
        <v>8544</v>
      </c>
      <c r="H2434" s="36" t="str">
        <f>IFERROR(VLOOKUP(Table2[[#This Row], [Ticket]],Okey!A:B,2,0),"")</f>
        <v/>
      </c>
      <c r="I2434" s="36"/>
      <c r="J2434" s="36" t="s">
        <v>19</v>
      </c>
      <c r="K2434" s="36" t="s">
        <v>11488</v>
      </c>
      <c r="L2434" s="36"/>
    </row>
    <row r="2435" spans="1:12" hidden="1">
      <c r="A2435" s="42">
        <f t="shared" si="37"/>
        <v>2434</v>
      </c>
      <c r="B2435" s="36" t="s">
        <v>8</v>
      </c>
      <c r="C2435" s="36" t="s">
        <v>11258</v>
      </c>
      <c r="D2435" s="9" t="s">
        <v>11416</v>
      </c>
      <c r="F2435" s="36" t="s">
        <v>275</v>
      </c>
      <c r="G2435" s="36" t="s">
        <v>8544</v>
      </c>
      <c r="H2435" s="36" t="str">
        <f>IFERROR(VLOOKUP(Table2[[#This Row], [Ticket]],Okey!A:B,2,0),"")</f>
        <v/>
      </c>
      <c r="I2435" s="36"/>
      <c r="J2435" s="36" t="s">
        <v>19</v>
      </c>
      <c r="K2435" s="36" t="s">
        <v>11488</v>
      </c>
      <c r="L2435" s="36"/>
    </row>
    <row r="2436" spans="1:12" hidden="1">
      <c r="A2436" s="42">
        <f t="shared" si="37"/>
        <v>2435</v>
      </c>
      <c r="B2436" s="36" t="s">
        <v>8</v>
      </c>
      <c r="C2436" s="36" t="s">
        <v>11258</v>
      </c>
      <c r="D2436" s="9" t="s">
        <v>11417</v>
      </c>
      <c r="F2436" s="36" t="s">
        <v>275</v>
      </c>
      <c r="G2436" s="36" t="s">
        <v>8544</v>
      </c>
      <c r="H2436" s="36" t="str">
        <f>IFERROR(VLOOKUP(Table2[[#This Row], [Ticket]],Okey!A:B,2,0),"")</f>
        <v/>
      </c>
      <c r="I2436" s="36"/>
      <c r="J2436" s="36" t="s">
        <v>19</v>
      </c>
      <c r="K2436" s="36" t="s">
        <v>11488</v>
      </c>
      <c r="L2436" s="36"/>
    </row>
    <row r="2437" spans="1:12" hidden="1">
      <c r="A2437" s="42">
        <f t="shared" si="37"/>
        <v>2436</v>
      </c>
      <c r="B2437" s="36" t="s">
        <v>8</v>
      </c>
      <c r="C2437" s="36" t="s">
        <v>11258</v>
      </c>
      <c r="D2437" s="9" t="s">
        <v>11418</v>
      </c>
      <c r="F2437" s="36" t="s">
        <v>275</v>
      </c>
      <c r="G2437" s="36" t="s">
        <v>8544</v>
      </c>
      <c r="H2437" s="36" t="str">
        <f>IFERROR(VLOOKUP(Table2[[#This Row], [Ticket]],Okey!A:B,2,0),"")</f>
        <v/>
      </c>
      <c r="I2437" s="36"/>
      <c r="J2437" s="36" t="s">
        <v>19</v>
      </c>
      <c r="K2437" s="36" t="s">
        <v>11488</v>
      </c>
      <c r="L2437" s="36"/>
    </row>
    <row r="2438" spans="1:12" hidden="1">
      <c r="A2438" s="42">
        <f t="shared" si="37"/>
        <v>2437</v>
      </c>
      <c r="B2438" s="36" t="s">
        <v>8</v>
      </c>
      <c r="C2438" s="36" t="s">
        <v>11258</v>
      </c>
      <c r="D2438" s="9" t="s">
        <v>11419</v>
      </c>
      <c r="F2438" s="36" t="s">
        <v>275</v>
      </c>
      <c r="G2438" s="36" t="s">
        <v>8544</v>
      </c>
      <c r="H2438" s="36" t="str">
        <f>IFERROR(VLOOKUP(Table2[[#This Row], [Ticket]],Okey!A:B,2,0),"")</f>
        <v/>
      </c>
      <c r="I2438" s="36"/>
      <c r="J2438" s="36" t="s">
        <v>19</v>
      </c>
      <c r="K2438" s="36" t="s">
        <v>11488</v>
      </c>
      <c r="L2438" s="36"/>
    </row>
    <row r="2439" spans="1:12" hidden="1">
      <c r="A2439" s="42">
        <f t="shared" si="37"/>
        <v>2438</v>
      </c>
      <c r="B2439" s="36" t="s">
        <v>8</v>
      </c>
      <c r="C2439" s="36" t="s">
        <v>11258</v>
      </c>
      <c r="D2439" s="9" t="s">
        <v>11420</v>
      </c>
      <c r="F2439" s="36" t="s">
        <v>275</v>
      </c>
      <c r="G2439" s="36" t="s">
        <v>8544</v>
      </c>
      <c r="H2439" s="36" t="str">
        <f>IFERROR(VLOOKUP(Table2[[#This Row], [Ticket]],Okey!A:B,2,0),"")</f>
        <v/>
      </c>
      <c r="I2439" s="36"/>
      <c r="J2439" s="36" t="s">
        <v>19</v>
      </c>
      <c r="K2439" s="36" t="s">
        <v>11488</v>
      </c>
      <c r="L2439" s="36"/>
    </row>
    <row r="2440" spans="1:12" hidden="1">
      <c r="A2440" s="42">
        <f t="shared" si="37"/>
        <v>2439</v>
      </c>
      <c r="B2440" s="36" t="s">
        <v>8</v>
      </c>
      <c r="C2440" s="36" t="s">
        <v>11258</v>
      </c>
      <c r="D2440" s="9" t="s">
        <v>11421</v>
      </c>
      <c r="F2440" s="36" t="s">
        <v>275</v>
      </c>
      <c r="G2440" s="36" t="s">
        <v>8544</v>
      </c>
      <c r="H2440" s="36" t="str">
        <f>IFERROR(VLOOKUP(Table2[[#This Row], [Ticket]],Okey!A:B,2,0),"")</f>
        <v/>
      </c>
      <c r="I2440" s="36"/>
      <c r="J2440" s="36" t="s">
        <v>19</v>
      </c>
      <c r="K2440" s="36" t="s">
        <v>11488</v>
      </c>
      <c r="L2440" s="36"/>
    </row>
    <row r="2441" spans="1:12" hidden="1">
      <c r="A2441" s="42">
        <f t="shared" si="37"/>
        <v>2440</v>
      </c>
      <c r="B2441" s="36" t="s">
        <v>8</v>
      </c>
      <c r="C2441" s="36" t="s">
        <v>11258</v>
      </c>
      <c r="D2441" s="9" t="s">
        <v>11422</v>
      </c>
      <c r="F2441" s="36" t="s">
        <v>275</v>
      </c>
      <c r="G2441" s="36" t="s">
        <v>8544</v>
      </c>
      <c r="H2441" s="36" t="str">
        <f>IFERROR(VLOOKUP(Table2[[#This Row], [Ticket]],Okey!A:B,2,0),"")</f>
        <v/>
      </c>
      <c r="I2441" s="36"/>
      <c r="J2441" s="36" t="s">
        <v>19</v>
      </c>
      <c r="K2441" s="36" t="s">
        <v>11488</v>
      </c>
      <c r="L2441" s="36"/>
    </row>
    <row r="2442" spans="1:12" hidden="1">
      <c r="A2442" s="42">
        <f t="shared" si="37"/>
        <v>2441</v>
      </c>
      <c r="B2442" s="36" t="s">
        <v>8</v>
      </c>
      <c r="C2442" s="36" t="s">
        <v>11258</v>
      </c>
      <c r="D2442" s="9" t="s">
        <v>11423</v>
      </c>
      <c r="F2442" s="36" t="s">
        <v>275</v>
      </c>
      <c r="G2442" s="36" t="s">
        <v>8544</v>
      </c>
      <c r="H2442" s="36" t="str">
        <f>IFERROR(VLOOKUP(Table2[[#This Row], [Ticket]],Okey!A:B,2,0),"")</f>
        <v/>
      </c>
      <c r="I2442" s="36"/>
      <c r="J2442" s="36" t="s">
        <v>19</v>
      </c>
      <c r="K2442" s="36" t="s">
        <v>11488</v>
      </c>
      <c r="L2442" s="36"/>
    </row>
    <row r="2443" spans="1:12" hidden="1">
      <c r="A2443" s="42">
        <f t="shared" si="37"/>
        <v>2442</v>
      </c>
      <c r="B2443" s="36" t="s">
        <v>8</v>
      </c>
      <c r="C2443" s="36" t="s">
        <v>11258</v>
      </c>
      <c r="D2443" s="9" t="s">
        <v>11424</v>
      </c>
      <c r="F2443" s="36" t="s">
        <v>275</v>
      </c>
      <c r="G2443" s="36" t="s">
        <v>8544</v>
      </c>
      <c r="H2443" s="36" t="str">
        <f>IFERROR(VLOOKUP(Table2[[#This Row], [Ticket]],Okey!A:B,2,0),"")</f>
        <v/>
      </c>
      <c r="I2443" s="36"/>
      <c r="J2443" s="36" t="s">
        <v>19</v>
      </c>
      <c r="K2443" s="36" t="s">
        <v>11488</v>
      </c>
      <c r="L2443" s="36"/>
    </row>
    <row r="2444" spans="1:12" hidden="1">
      <c r="A2444" s="42">
        <f t="shared" si="37"/>
        <v>2443</v>
      </c>
      <c r="B2444" s="36" t="s">
        <v>8</v>
      </c>
      <c r="C2444" s="36" t="s">
        <v>11258</v>
      </c>
      <c r="D2444" s="9" t="s">
        <v>11425</v>
      </c>
      <c r="F2444" s="36" t="s">
        <v>275</v>
      </c>
      <c r="G2444" s="36" t="s">
        <v>8544</v>
      </c>
      <c r="H2444" s="36" t="str">
        <f>IFERROR(VLOOKUP(Table2[[#This Row], [Ticket]],Okey!A:B,2,0),"")</f>
        <v/>
      </c>
      <c r="I2444" s="36"/>
      <c r="J2444" s="36" t="s">
        <v>19</v>
      </c>
      <c r="K2444" s="36" t="s">
        <v>11488</v>
      </c>
      <c r="L2444" s="36"/>
    </row>
    <row r="2445" spans="1:12" hidden="1">
      <c r="A2445" s="42">
        <f t="shared" si="37"/>
        <v>2444</v>
      </c>
      <c r="B2445" s="36" t="s">
        <v>8</v>
      </c>
      <c r="C2445" s="36" t="s">
        <v>11258</v>
      </c>
      <c r="D2445" s="9" t="s">
        <v>11426</v>
      </c>
      <c r="F2445" s="36" t="s">
        <v>275</v>
      </c>
      <c r="G2445" s="36" t="s">
        <v>8544</v>
      </c>
      <c r="H2445" s="36" t="str">
        <f>IFERROR(VLOOKUP(Table2[[#This Row], [Ticket]],Okey!A:B,2,0),"")</f>
        <v/>
      </c>
      <c r="I2445" s="36"/>
      <c r="J2445" s="36" t="s">
        <v>19</v>
      </c>
      <c r="K2445" s="36" t="s">
        <v>11488</v>
      </c>
      <c r="L2445" s="36"/>
    </row>
    <row r="2446" spans="1:12" hidden="1">
      <c r="A2446" s="42">
        <f t="shared" si="37"/>
        <v>2445</v>
      </c>
      <c r="B2446" s="36" t="s">
        <v>8</v>
      </c>
      <c r="C2446" s="36" t="s">
        <v>11258</v>
      </c>
      <c r="D2446" s="9" t="s">
        <v>11427</v>
      </c>
      <c r="F2446" s="36" t="s">
        <v>275</v>
      </c>
      <c r="G2446" s="36" t="s">
        <v>8544</v>
      </c>
      <c r="H2446" s="36" t="str">
        <f>IFERROR(VLOOKUP(Table2[[#This Row], [Ticket]],Okey!A:B,2,0),"")</f>
        <v/>
      </c>
      <c r="I2446" s="36"/>
      <c r="J2446" s="36" t="s">
        <v>19</v>
      </c>
      <c r="K2446" s="36" t="s">
        <v>11488</v>
      </c>
      <c r="L2446" s="36"/>
    </row>
    <row r="2447" spans="1:12" hidden="1">
      <c r="A2447" s="42">
        <f t="shared" si="37"/>
        <v>2446</v>
      </c>
      <c r="B2447" s="36" t="s">
        <v>8</v>
      </c>
      <c r="C2447" s="36" t="s">
        <v>11258</v>
      </c>
      <c r="D2447" s="9" t="s">
        <v>11428</v>
      </c>
      <c r="F2447" s="36" t="s">
        <v>275</v>
      </c>
      <c r="G2447" s="36" t="s">
        <v>8544</v>
      </c>
      <c r="H2447" s="36" t="str">
        <f>IFERROR(VLOOKUP(Table2[[#This Row], [Ticket]],Okey!A:B,2,0),"")</f>
        <v/>
      </c>
      <c r="I2447" s="36"/>
      <c r="J2447" s="36" t="s">
        <v>19</v>
      </c>
      <c r="K2447" s="36" t="s">
        <v>11488</v>
      </c>
      <c r="L2447" s="36"/>
    </row>
    <row r="2448" spans="1:12" hidden="1">
      <c r="A2448" s="42">
        <f t="shared" si="37"/>
        <v>2447</v>
      </c>
      <c r="B2448" s="36" t="s">
        <v>8</v>
      </c>
      <c r="C2448" s="36" t="s">
        <v>11258</v>
      </c>
      <c r="D2448" s="9" t="s">
        <v>11429</v>
      </c>
      <c r="F2448" s="36" t="s">
        <v>275</v>
      </c>
      <c r="G2448" s="36" t="s">
        <v>8544</v>
      </c>
      <c r="H2448" s="36" t="str">
        <f>IFERROR(VLOOKUP(Table2[[#This Row], [Ticket]],Okey!A:B,2,0),"")</f>
        <v/>
      </c>
      <c r="I2448" s="36"/>
      <c r="J2448" s="36" t="s">
        <v>19</v>
      </c>
      <c r="K2448" s="36" t="s">
        <v>11488</v>
      </c>
      <c r="L2448" s="36"/>
    </row>
    <row r="2449" spans="1:12" hidden="1">
      <c r="A2449" s="42">
        <f t="shared" si="37"/>
        <v>2448</v>
      </c>
      <c r="B2449" s="36" t="s">
        <v>8</v>
      </c>
      <c r="C2449" s="36" t="s">
        <v>11258</v>
      </c>
      <c r="D2449" s="9" t="s">
        <v>11430</v>
      </c>
      <c r="F2449" s="36" t="s">
        <v>275</v>
      </c>
      <c r="G2449" s="36" t="s">
        <v>8544</v>
      </c>
      <c r="H2449" s="36" t="str">
        <f>IFERROR(VLOOKUP(Table2[[#This Row], [Ticket]],Okey!A:B,2,0),"")</f>
        <v/>
      </c>
      <c r="I2449" s="36"/>
      <c r="J2449" s="36" t="s">
        <v>19</v>
      </c>
      <c r="K2449" s="36" t="s">
        <v>11488</v>
      </c>
      <c r="L2449" s="36"/>
    </row>
    <row r="2450" spans="1:12" hidden="1">
      <c r="A2450" s="42">
        <f t="shared" si="37"/>
        <v>2449</v>
      </c>
      <c r="B2450" s="36" t="s">
        <v>8</v>
      </c>
      <c r="C2450" s="36" t="s">
        <v>11258</v>
      </c>
      <c r="D2450" s="9" t="s">
        <v>11431</v>
      </c>
      <c r="F2450" s="36" t="s">
        <v>275</v>
      </c>
      <c r="G2450" s="36" t="s">
        <v>8544</v>
      </c>
      <c r="H2450" s="36" t="str">
        <f>IFERROR(VLOOKUP(Table2[[#This Row], [Ticket]],Okey!A:B,2,0),"")</f>
        <v/>
      </c>
      <c r="I2450" s="36"/>
      <c r="J2450" s="36" t="s">
        <v>19</v>
      </c>
      <c r="K2450" s="36" t="s">
        <v>11488</v>
      </c>
      <c r="L2450" s="36"/>
    </row>
    <row r="2451" spans="1:12" hidden="1">
      <c r="A2451" s="42">
        <f t="shared" si="37"/>
        <v>2450</v>
      </c>
      <c r="B2451" s="36" t="s">
        <v>8</v>
      </c>
      <c r="C2451" s="36" t="s">
        <v>11258</v>
      </c>
      <c r="D2451" s="9" t="s">
        <v>11432</v>
      </c>
      <c r="F2451" s="36" t="s">
        <v>275</v>
      </c>
      <c r="G2451" s="36" t="s">
        <v>8544</v>
      </c>
      <c r="H2451" s="36" t="str">
        <f>IFERROR(VLOOKUP(Table2[[#This Row], [Ticket]],Okey!A:B,2,0),"")</f>
        <v/>
      </c>
      <c r="I2451" s="36"/>
      <c r="J2451" s="36" t="s">
        <v>19</v>
      </c>
      <c r="K2451" s="36" t="s">
        <v>11488</v>
      </c>
      <c r="L2451" s="36"/>
    </row>
    <row r="2452" spans="1:12" hidden="1">
      <c r="A2452" s="42">
        <f t="shared" si="37"/>
        <v>2451</v>
      </c>
      <c r="B2452" s="36" t="s">
        <v>8</v>
      </c>
      <c r="C2452" s="36" t="s">
        <v>11258</v>
      </c>
      <c r="D2452" s="9" t="s">
        <v>11433</v>
      </c>
      <c r="F2452" s="36" t="s">
        <v>275</v>
      </c>
      <c r="G2452" s="36" t="s">
        <v>8544</v>
      </c>
      <c r="H2452" s="36" t="str">
        <f>IFERROR(VLOOKUP(Table2[[#This Row], [Ticket]],Okey!A:B,2,0),"")</f>
        <v/>
      </c>
      <c r="I2452" s="36"/>
      <c r="J2452" s="36" t="s">
        <v>19</v>
      </c>
      <c r="K2452" s="36" t="s">
        <v>11488</v>
      </c>
      <c r="L2452" s="36"/>
    </row>
    <row r="2453" spans="1:12" hidden="1">
      <c r="A2453" s="42">
        <f t="shared" si="37"/>
        <v>2452</v>
      </c>
      <c r="B2453" s="36" t="s">
        <v>8</v>
      </c>
      <c r="C2453" s="36" t="s">
        <v>11258</v>
      </c>
      <c r="D2453" s="9" t="s">
        <v>11434</v>
      </c>
      <c r="F2453" s="36" t="s">
        <v>275</v>
      </c>
      <c r="G2453" s="36" t="s">
        <v>8544</v>
      </c>
      <c r="H2453" s="36" t="str">
        <f>IFERROR(VLOOKUP(Table2[[#This Row], [Ticket]],Okey!A:B,2,0),"")</f>
        <v/>
      </c>
      <c r="I2453" s="36"/>
      <c r="J2453" s="36" t="s">
        <v>19</v>
      </c>
      <c r="K2453" s="36" t="s">
        <v>11488</v>
      </c>
      <c r="L2453" s="36"/>
    </row>
    <row r="2454" spans="1:12" hidden="1">
      <c r="A2454" s="42">
        <f t="shared" si="37"/>
        <v>2453</v>
      </c>
      <c r="B2454" s="36" t="s">
        <v>8</v>
      </c>
      <c r="C2454" s="36" t="s">
        <v>11258</v>
      </c>
      <c r="D2454" s="9" t="s">
        <v>11435</v>
      </c>
      <c r="F2454" s="36" t="s">
        <v>275</v>
      </c>
      <c r="G2454" s="36" t="s">
        <v>8544</v>
      </c>
      <c r="H2454" s="36" t="str">
        <f>IFERROR(VLOOKUP(Table2[[#This Row], [Ticket]],Okey!A:B,2,0),"")</f>
        <v/>
      </c>
      <c r="I2454" s="36"/>
      <c r="J2454" s="36" t="s">
        <v>19</v>
      </c>
      <c r="K2454" s="36" t="s">
        <v>11488</v>
      </c>
      <c r="L2454" s="36"/>
    </row>
    <row r="2455" spans="1:12" hidden="1">
      <c r="A2455" s="42">
        <f t="shared" si="37"/>
        <v>2454</v>
      </c>
      <c r="B2455" s="36" t="s">
        <v>8</v>
      </c>
      <c r="C2455" s="36" t="s">
        <v>11258</v>
      </c>
      <c r="D2455" s="9" t="s">
        <v>11436</v>
      </c>
      <c r="F2455" s="36" t="s">
        <v>275</v>
      </c>
      <c r="G2455" s="36" t="s">
        <v>8544</v>
      </c>
      <c r="H2455" s="36" t="str">
        <f>IFERROR(VLOOKUP(Table2[[#This Row], [Ticket]],Okey!A:B,2,0),"")</f>
        <v/>
      </c>
      <c r="I2455" s="36"/>
      <c r="J2455" s="36" t="s">
        <v>19</v>
      </c>
      <c r="K2455" s="36" t="s">
        <v>11488</v>
      </c>
      <c r="L2455" s="36"/>
    </row>
    <row r="2456" spans="1:12" hidden="1">
      <c r="A2456" s="42">
        <f t="shared" si="37"/>
        <v>2455</v>
      </c>
      <c r="B2456" s="36" t="s">
        <v>8</v>
      </c>
      <c r="C2456" s="36" t="s">
        <v>11258</v>
      </c>
      <c r="D2456" s="9" t="s">
        <v>11437</v>
      </c>
      <c r="F2456" s="36" t="s">
        <v>275</v>
      </c>
      <c r="G2456" s="36" t="s">
        <v>8544</v>
      </c>
      <c r="H2456" s="36" t="str">
        <f>IFERROR(VLOOKUP(Table2[[#This Row], [Ticket]],Okey!A:B,2,0),"")</f>
        <v/>
      </c>
      <c r="I2456" s="36"/>
      <c r="J2456" s="36" t="s">
        <v>19</v>
      </c>
      <c r="K2456" s="36" t="s">
        <v>11488</v>
      </c>
      <c r="L2456" s="36"/>
    </row>
    <row r="2457" spans="1:12" hidden="1">
      <c r="A2457" s="42">
        <f t="shared" si="37"/>
        <v>2456</v>
      </c>
      <c r="B2457" s="36" t="s">
        <v>8</v>
      </c>
      <c r="C2457" s="36" t="s">
        <v>11258</v>
      </c>
      <c r="D2457" s="9" t="s">
        <v>11438</v>
      </c>
      <c r="F2457" s="36" t="s">
        <v>275</v>
      </c>
      <c r="G2457" s="36" t="s">
        <v>8544</v>
      </c>
      <c r="H2457" s="36" t="str">
        <f>IFERROR(VLOOKUP(Table2[[#This Row], [Ticket]],Okey!A:B,2,0),"")</f>
        <v/>
      </c>
      <c r="I2457" s="36"/>
      <c r="J2457" s="36" t="s">
        <v>19</v>
      </c>
      <c r="K2457" s="36" t="s">
        <v>11488</v>
      </c>
      <c r="L2457" s="36"/>
    </row>
    <row r="2458" spans="1:12" hidden="1">
      <c r="A2458" s="42">
        <f t="shared" si="37"/>
        <v>2457</v>
      </c>
      <c r="B2458" s="36" t="s">
        <v>8</v>
      </c>
      <c r="C2458" s="36" t="s">
        <v>11258</v>
      </c>
      <c r="D2458" s="9" t="s">
        <v>11439</v>
      </c>
      <c r="F2458" s="36" t="s">
        <v>275</v>
      </c>
      <c r="G2458" s="36" t="s">
        <v>8544</v>
      </c>
      <c r="H2458" s="36" t="str">
        <f>IFERROR(VLOOKUP(Table2[[#This Row], [Ticket]],Okey!A:B,2,0),"")</f>
        <v/>
      </c>
      <c r="I2458" s="36"/>
      <c r="J2458" s="36" t="s">
        <v>19</v>
      </c>
      <c r="K2458" s="36" t="s">
        <v>11488</v>
      </c>
      <c r="L2458" s="36"/>
    </row>
    <row r="2459" spans="1:12" hidden="1">
      <c r="A2459" s="42">
        <f t="shared" si="37"/>
        <v>2458</v>
      </c>
      <c r="B2459" s="36" t="s">
        <v>8</v>
      </c>
      <c r="C2459" s="36" t="s">
        <v>11258</v>
      </c>
      <c r="D2459" s="9" t="s">
        <v>11440</v>
      </c>
      <c r="F2459" s="36" t="s">
        <v>275</v>
      </c>
      <c r="G2459" s="36" t="s">
        <v>8544</v>
      </c>
      <c r="H2459" s="36" t="str">
        <f>IFERROR(VLOOKUP(Table2[[#This Row], [Ticket]],Okey!A:B,2,0),"")</f>
        <v/>
      </c>
      <c r="I2459" s="36"/>
      <c r="J2459" s="36" t="s">
        <v>19</v>
      </c>
      <c r="K2459" s="36" t="s">
        <v>11488</v>
      </c>
      <c r="L2459" s="36"/>
    </row>
    <row r="2460" spans="1:12" hidden="1">
      <c r="A2460" s="42">
        <f t="shared" si="37"/>
        <v>2459</v>
      </c>
      <c r="B2460" s="36" t="s">
        <v>8</v>
      </c>
      <c r="C2460" s="36" t="s">
        <v>11258</v>
      </c>
      <c r="D2460" s="9" t="s">
        <v>11441</v>
      </c>
      <c r="F2460" s="36" t="s">
        <v>275</v>
      </c>
      <c r="G2460" s="36" t="s">
        <v>8544</v>
      </c>
      <c r="H2460" s="36" t="str">
        <f>IFERROR(VLOOKUP(Table2[[#This Row], [Ticket]],Okey!A:B,2,0),"")</f>
        <v/>
      </c>
      <c r="I2460" s="36"/>
      <c r="J2460" s="36" t="s">
        <v>19</v>
      </c>
      <c r="K2460" s="36" t="s">
        <v>11488</v>
      </c>
      <c r="L2460" s="36"/>
    </row>
    <row r="2461" spans="1:12" hidden="1">
      <c r="A2461" s="42">
        <f t="shared" si="37"/>
        <v>2460</v>
      </c>
      <c r="B2461" s="36" t="s">
        <v>8</v>
      </c>
      <c r="C2461" s="36" t="s">
        <v>11258</v>
      </c>
      <c r="D2461" s="9" t="s">
        <v>11442</v>
      </c>
      <c r="F2461" s="36" t="s">
        <v>275</v>
      </c>
      <c r="G2461" s="36" t="s">
        <v>8544</v>
      </c>
      <c r="H2461" s="36" t="str">
        <f>IFERROR(VLOOKUP(Table2[[#This Row], [Ticket]],Okey!A:B,2,0),"")</f>
        <v/>
      </c>
      <c r="I2461" s="36"/>
      <c r="J2461" s="36" t="s">
        <v>19</v>
      </c>
      <c r="K2461" s="36" t="s">
        <v>11488</v>
      </c>
      <c r="L2461" s="36"/>
    </row>
    <row r="2462" spans="1:12" hidden="1">
      <c r="A2462" s="42">
        <f t="shared" si="37"/>
        <v>2461</v>
      </c>
      <c r="B2462" s="36" t="s">
        <v>8</v>
      </c>
      <c r="C2462" s="36" t="s">
        <v>11258</v>
      </c>
      <c r="D2462" s="9" t="s">
        <v>11443</v>
      </c>
      <c r="F2462" s="36" t="s">
        <v>275</v>
      </c>
      <c r="G2462" s="36" t="s">
        <v>8544</v>
      </c>
      <c r="H2462" s="36" t="str">
        <f>IFERROR(VLOOKUP(Table2[[#This Row], [Ticket]],Okey!A:B,2,0),"")</f>
        <v/>
      </c>
      <c r="I2462" s="36"/>
      <c r="J2462" s="36" t="s">
        <v>19</v>
      </c>
      <c r="K2462" s="36" t="s">
        <v>11488</v>
      </c>
      <c r="L2462" s="36"/>
    </row>
    <row r="2463" spans="1:12" hidden="1">
      <c r="A2463" s="42">
        <f t="shared" si="37"/>
        <v>2462</v>
      </c>
      <c r="B2463" s="36" t="s">
        <v>8</v>
      </c>
      <c r="C2463" s="36" t="s">
        <v>11258</v>
      </c>
      <c r="D2463" s="9" t="s">
        <v>11444</v>
      </c>
      <c r="F2463" s="36" t="s">
        <v>275</v>
      </c>
      <c r="G2463" s="36" t="s">
        <v>8544</v>
      </c>
      <c r="H2463" s="36" t="str">
        <f>IFERROR(VLOOKUP(Table2[[#This Row], [Ticket]],Okey!A:B,2,0),"")</f>
        <v/>
      </c>
      <c r="I2463" s="36"/>
      <c r="J2463" s="36" t="s">
        <v>19</v>
      </c>
      <c r="K2463" s="36" t="s">
        <v>11488</v>
      </c>
      <c r="L2463" s="36"/>
    </row>
    <row r="2464" spans="1:12" hidden="1">
      <c r="A2464" s="42">
        <f t="shared" si="37"/>
        <v>2463</v>
      </c>
      <c r="B2464" s="36" t="s">
        <v>8</v>
      </c>
      <c r="C2464" s="36" t="s">
        <v>11258</v>
      </c>
      <c r="D2464" s="9" t="s">
        <v>11445</v>
      </c>
      <c r="F2464" s="36" t="s">
        <v>275</v>
      </c>
      <c r="G2464" s="36" t="s">
        <v>8544</v>
      </c>
      <c r="H2464" s="36" t="str">
        <f>IFERROR(VLOOKUP(Table2[[#This Row], [Ticket]],Okey!A:B,2,0),"")</f>
        <v/>
      </c>
      <c r="I2464" s="36"/>
      <c r="J2464" s="36" t="s">
        <v>19</v>
      </c>
      <c r="K2464" s="36" t="s">
        <v>11488</v>
      </c>
      <c r="L2464" s="36"/>
    </row>
    <row r="2465" spans="1:12" hidden="1">
      <c r="A2465" s="42">
        <f t="shared" si="37"/>
        <v>2464</v>
      </c>
      <c r="B2465" s="36" t="s">
        <v>8</v>
      </c>
      <c r="C2465" s="36" t="s">
        <v>11258</v>
      </c>
      <c r="D2465" s="9" t="s">
        <v>11446</v>
      </c>
      <c r="F2465" s="36" t="s">
        <v>275</v>
      </c>
      <c r="G2465" s="36" t="s">
        <v>8544</v>
      </c>
      <c r="H2465" s="36" t="str">
        <f>IFERROR(VLOOKUP(Table2[[#This Row], [Ticket]],Okey!A:B,2,0),"")</f>
        <v/>
      </c>
      <c r="I2465" s="36"/>
      <c r="J2465" s="36" t="s">
        <v>19</v>
      </c>
      <c r="K2465" s="36" t="s">
        <v>11488</v>
      </c>
      <c r="L2465" s="36"/>
    </row>
    <row r="2466" spans="1:12" hidden="1">
      <c r="A2466" s="42">
        <f t="shared" si="37"/>
        <v>2465</v>
      </c>
      <c r="B2466" s="36" t="s">
        <v>8</v>
      </c>
      <c r="C2466" s="36" t="s">
        <v>11258</v>
      </c>
      <c r="D2466" s="9" t="s">
        <v>11447</v>
      </c>
      <c r="F2466" s="36" t="s">
        <v>275</v>
      </c>
      <c r="G2466" s="36" t="s">
        <v>8544</v>
      </c>
      <c r="H2466" s="36" t="str">
        <f>IFERROR(VLOOKUP(Table2[[#This Row], [Ticket]],Okey!A:B,2,0),"")</f>
        <v/>
      </c>
      <c r="I2466" s="36"/>
      <c r="J2466" s="36" t="s">
        <v>19</v>
      </c>
      <c r="K2466" s="36" t="s">
        <v>11488</v>
      </c>
      <c r="L2466" s="36"/>
    </row>
    <row r="2467" spans="1:12" hidden="1">
      <c r="A2467" s="42">
        <f t="shared" si="37"/>
        <v>2466</v>
      </c>
      <c r="B2467" s="36" t="s">
        <v>8</v>
      </c>
      <c r="C2467" s="36" t="s">
        <v>11258</v>
      </c>
      <c r="D2467" s="9" t="s">
        <v>11448</v>
      </c>
      <c r="F2467" s="36" t="s">
        <v>275</v>
      </c>
      <c r="G2467" s="36" t="s">
        <v>8544</v>
      </c>
      <c r="H2467" s="36" t="str">
        <f>IFERROR(VLOOKUP(Table2[[#This Row], [Ticket]],Okey!A:B,2,0),"")</f>
        <v/>
      </c>
      <c r="I2467" s="36"/>
      <c r="J2467" s="36" t="s">
        <v>19</v>
      </c>
      <c r="K2467" s="36" t="s">
        <v>11488</v>
      </c>
      <c r="L2467" s="36"/>
    </row>
    <row r="2468" spans="1:12" hidden="1">
      <c r="A2468" s="42">
        <f t="shared" si="37"/>
        <v>2467</v>
      </c>
      <c r="B2468" s="36" t="s">
        <v>8</v>
      </c>
      <c r="C2468" s="36" t="s">
        <v>11258</v>
      </c>
      <c r="D2468" s="9" t="s">
        <v>11449</v>
      </c>
      <c r="F2468" s="36" t="s">
        <v>275</v>
      </c>
      <c r="G2468" s="36" t="s">
        <v>8544</v>
      </c>
      <c r="H2468" s="36" t="str">
        <f>IFERROR(VLOOKUP(Table2[[#This Row], [Ticket]],Okey!A:B,2,0),"")</f>
        <v/>
      </c>
      <c r="I2468" s="36"/>
      <c r="J2468" s="36" t="s">
        <v>19</v>
      </c>
      <c r="K2468" s="36" t="s">
        <v>11488</v>
      </c>
      <c r="L2468" s="36"/>
    </row>
    <row r="2469" spans="1:12" hidden="1">
      <c r="A2469" s="42">
        <f t="shared" si="37"/>
        <v>2468</v>
      </c>
      <c r="B2469" s="36" t="s">
        <v>8</v>
      </c>
      <c r="C2469" s="36" t="s">
        <v>11258</v>
      </c>
      <c r="D2469" s="9" t="s">
        <v>11450</v>
      </c>
      <c r="F2469" s="36" t="s">
        <v>275</v>
      </c>
      <c r="G2469" s="36" t="s">
        <v>8544</v>
      </c>
      <c r="H2469" s="36" t="str">
        <f>IFERROR(VLOOKUP(Table2[[#This Row], [Ticket]],Okey!A:B,2,0),"")</f>
        <v/>
      </c>
      <c r="I2469" s="36"/>
      <c r="J2469" s="36" t="s">
        <v>19</v>
      </c>
      <c r="K2469" s="36" t="s">
        <v>11488</v>
      </c>
      <c r="L2469" s="36"/>
    </row>
    <row r="2470" spans="1:12" hidden="1">
      <c r="A2470" s="42">
        <f t="shared" si="37"/>
        <v>2469</v>
      </c>
      <c r="B2470" s="36" t="s">
        <v>8</v>
      </c>
      <c r="C2470" s="36" t="s">
        <v>11258</v>
      </c>
      <c r="D2470" s="9" t="s">
        <v>11451</v>
      </c>
      <c r="F2470" s="36" t="s">
        <v>275</v>
      </c>
      <c r="G2470" s="36" t="s">
        <v>8544</v>
      </c>
      <c r="H2470" s="36" t="str">
        <f>IFERROR(VLOOKUP(Table2[[#This Row], [Ticket]],Okey!A:B,2,0),"")</f>
        <v/>
      </c>
      <c r="I2470" s="36"/>
      <c r="J2470" s="36" t="s">
        <v>19</v>
      </c>
      <c r="K2470" s="36" t="s">
        <v>11488</v>
      </c>
      <c r="L2470" s="36"/>
    </row>
    <row r="2471" spans="1:12" hidden="1">
      <c r="A2471" s="42">
        <f t="shared" si="37"/>
        <v>2470</v>
      </c>
      <c r="B2471" s="36" t="s">
        <v>8</v>
      </c>
      <c r="C2471" s="36" t="s">
        <v>11258</v>
      </c>
      <c r="D2471" s="9" t="s">
        <v>11452</v>
      </c>
      <c r="F2471" s="36" t="s">
        <v>275</v>
      </c>
      <c r="G2471" s="36" t="s">
        <v>8544</v>
      </c>
      <c r="H2471" s="36" t="str">
        <f>IFERROR(VLOOKUP(Table2[[#This Row], [Ticket]],Okey!A:B,2,0),"")</f>
        <v/>
      </c>
      <c r="I2471" s="36"/>
      <c r="J2471" s="36" t="s">
        <v>19</v>
      </c>
      <c r="K2471" s="36" t="s">
        <v>11488</v>
      </c>
      <c r="L2471" s="36"/>
    </row>
    <row r="2472" spans="1:12" hidden="1">
      <c r="A2472" s="42">
        <f t="shared" si="37"/>
        <v>2471</v>
      </c>
      <c r="B2472" s="36" t="s">
        <v>8</v>
      </c>
      <c r="C2472" s="36" t="s">
        <v>11258</v>
      </c>
      <c r="D2472" s="9" t="s">
        <v>11453</v>
      </c>
      <c r="F2472" s="36" t="s">
        <v>275</v>
      </c>
      <c r="G2472" s="36" t="s">
        <v>8544</v>
      </c>
      <c r="H2472" s="36" t="str">
        <f>IFERROR(VLOOKUP(Table2[[#This Row], [Ticket]],Okey!A:B,2,0),"")</f>
        <v/>
      </c>
      <c r="I2472" s="36"/>
      <c r="J2472" s="36" t="s">
        <v>19</v>
      </c>
      <c r="K2472" s="36" t="s">
        <v>11488</v>
      </c>
      <c r="L2472" s="36"/>
    </row>
    <row r="2473" spans="1:12" hidden="1">
      <c r="A2473" s="42">
        <f t="shared" si="37"/>
        <v>2472</v>
      </c>
      <c r="B2473" s="36" t="s">
        <v>8</v>
      </c>
      <c r="C2473" s="36" t="s">
        <v>11258</v>
      </c>
      <c r="D2473" s="9" t="s">
        <v>11454</v>
      </c>
      <c r="F2473" s="36" t="s">
        <v>275</v>
      </c>
      <c r="G2473" s="36" t="s">
        <v>8544</v>
      </c>
      <c r="H2473" s="36" t="str">
        <f>IFERROR(VLOOKUP(Table2[[#This Row], [Ticket]],Okey!A:B,2,0),"")</f>
        <v/>
      </c>
      <c r="I2473" s="36"/>
      <c r="J2473" s="36" t="s">
        <v>19</v>
      </c>
      <c r="K2473" s="36" t="s">
        <v>11488</v>
      </c>
      <c r="L2473" s="36"/>
    </row>
    <row r="2474" spans="1:12" hidden="1">
      <c r="A2474" s="42">
        <f t="shared" si="37"/>
        <v>2473</v>
      </c>
      <c r="B2474" s="36" t="s">
        <v>8</v>
      </c>
      <c r="C2474" s="36" t="s">
        <v>11258</v>
      </c>
      <c r="D2474" s="9" t="s">
        <v>11455</v>
      </c>
      <c r="F2474" s="36" t="s">
        <v>275</v>
      </c>
      <c r="G2474" s="36" t="s">
        <v>8544</v>
      </c>
      <c r="H2474" s="36" t="str">
        <f>IFERROR(VLOOKUP(Table2[[#This Row], [Ticket]],Okey!A:B,2,0),"")</f>
        <v/>
      </c>
      <c r="I2474" s="36"/>
      <c r="J2474" s="36" t="s">
        <v>19</v>
      </c>
      <c r="K2474" s="36" t="s">
        <v>11488</v>
      </c>
      <c r="L2474" s="36"/>
    </row>
    <row r="2475" spans="1:12" hidden="1">
      <c r="A2475" s="42">
        <f t="shared" si="37"/>
        <v>2474</v>
      </c>
      <c r="B2475" s="36" t="s">
        <v>8</v>
      </c>
      <c r="C2475" s="36" t="s">
        <v>11258</v>
      </c>
      <c r="D2475" s="9" t="s">
        <v>11456</v>
      </c>
      <c r="F2475" s="36" t="s">
        <v>275</v>
      </c>
      <c r="G2475" s="36" t="s">
        <v>8544</v>
      </c>
      <c r="H2475" s="36" t="str">
        <f>IFERROR(VLOOKUP(Table2[[#This Row], [Ticket]],Okey!A:B,2,0),"")</f>
        <v/>
      </c>
      <c r="I2475" s="36"/>
      <c r="J2475" s="36" t="s">
        <v>19</v>
      </c>
      <c r="K2475" s="36" t="s">
        <v>11488</v>
      </c>
      <c r="L2475" s="36"/>
    </row>
    <row r="2476" spans="1:12" hidden="1">
      <c r="A2476" s="42">
        <f t="shared" si="37"/>
        <v>2475</v>
      </c>
      <c r="B2476" s="36" t="s">
        <v>8</v>
      </c>
      <c r="C2476" s="36" t="s">
        <v>11258</v>
      </c>
      <c r="D2476" s="9" t="s">
        <v>11457</v>
      </c>
      <c r="F2476" s="36" t="s">
        <v>275</v>
      </c>
      <c r="G2476" s="36" t="s">
        <v>8544</v>
      </c>
      <c r="H2476" s="36" t="str">
        <f>IFERROR(VLOOKUP(Table2[[#This Row], [Ticket]],Okey!A:B,2,0),"")</f>
        <v/>
      </c>
      <c r="I2476" s="36"/>
      <c r="J2476" s="36" t="s">
        <v>19</v>
      </c>
      <c r="K2476" s="36" t="s">
        <v>11488</v>
      </c>
      <c r="L2476" s="36"/>
    </row>
    <row r="2477" spans="1:12" hidden="1">
      <c r="A2477" s="42">
        <f t="shared" si="37"/>
        <v>2476</v>
      </c>
      <c r="B2477" s="36" t="s">
        <v>8</v>
      </c>
      <c r="C2477" s="36" t="s">
        <v>11258</v>
      </c>
      <c r="D2477" s="9" t="s">
        <v>11458</v>
      </c>
      <c r="F2477" s="36" t="s">
        <v>275</v>
      </c>
      <c r="G2477" s="36" t="s">
        <v>8544</v>
      </c>
      <c r="H2477" s="36" t="str">
        <f>IFERROR(VLOOKUP(Table2[[#This Row], [Ticket]],Okey!A:B,2,0),"")</f>
        <v/>
      </c>
      <c r="I2477" s="36"/>
      <c r="J2477" s="36" t="s">
        <v>19</v>
      </c>
      <c r="K2477" s="36" t="s">
        <v>11488</v>
      </c>
      <c r="L2477" s="36"/>
    </row>
    <row r="2478" spans="1:12" hidden="1">
      <c r="A2478" s="42">
        <f t="shared" si="37"/>
        <v>2477</v>
      </c>
      <c r="B2478" s="36" t="s">
        <v>8</v>
      </c>
      <c r="C2478" s="36" t="s">
        <v>11258</v>
      </c>
      <c r="D2478" s="9" t="s">
        <v>11459</v>
      </c>
      <c r="F2478" s="36" t="s">
        <v>275</v>
      </c>
      <c r="G2478" s="36" t="s">
        <v>8544</v>
      </c>
      <c r="H2478" s="36" t="str">
        <f>IFERROR(VLOOKUP(Table2[[#This Row], [Ticket]],Okey!A:B,2,0),"")</f>
        <v/>
      </c>
      <c r="I2478" s="36"/>
      <c r="J2478" s="36" t="s">
        <v>19</v>
      </c>
      <c r="K2478" s="36" t="s">
        <v>11488</v>
      </c>
      <c r="L2478" s="36"/>
    </row>
    <row r="2479" spans="1:12" hidden="1">
      <c r="A2479" s="42">
        <f t="shared" si="37"/>
        <v>2478</v>
      </c>
      <c r="B2479" s="36" t="s">
        <v>8</v>
      </c>
      <c r="C2479" s="36" t="s">
        <v>11258</v>
      </c>
      <c r="D2479" s="9" t="s">
        <v>11460</v>
      </c>
      <c r="F2479" s="36" t="s">
        <v>275</v>
      </c>
      <c r="G2479" s="36" t="s">
        <v>8544</v>
      </c>
      <c r="H2479" s="36" t="str">
        <f>IFERROR(VLOOKUP(Table2[[#This Row], [Ticket]],Okey!A:B,2,0),"")</f>
        <v/>
      </c>
      <c r="I2479" s="36"/>
      <c r="J2479" s="36" t="s">
        <v>19</v>
      </c>
      <c r="K2479" s="36" t="s">
        <v>11488</v>
      </c>
      <c r="L2479" s="36"/>
    </row>
    <row r="2480" spans="1:12" hidden="1">
      <c r="A2480" s="42">
        <f t="shared" si="37"/>
        <v>2479</v>
      </c>
      <c r="B2480" s="36" t="s">
        <v>8</v>
      </c>
      <c r="C2480" s="36" t="s">
        <v>11258</v>
      </c>
      <c r="D2480" s="9" t="s">
        <v>11461</v>
      </c>
      <c r="F2480" s="36" t="s">
        <v>275</v>
      </c>
      <c r="G2480" s="36" t="s">
        <v>8544</v>
      </c>
      <c r="H2480" s="36" t="str">
        <f>IFERROR(VLOOKUP(Table2[[#This Row], [Ticket]],Okey!A:B,2,0),"")</f>
        <v/>
      </c>
      <c r="I2480" s="36"/>
      <c r="J2480" s="36" t="s">
        <v>19</v>
      </c>
      <c r="K2480" s="36" t="s">
        <v>11488</v>
      </c>
      <c r="L2480" s="36"/>
    </row>
    <row r="2481" spans="1:12" hidden="1">
      <c r="A2481" s="42">
        <f t="shared" si="37"/>
        <v>2480</v>
      </c>
      <c r="B2481" s="36" t="s">
        <v>8</v>
      </c>
      <c r="C2481" s="36" t="s">
        <v>11258</v>
      </c>
      <c r="D2481" s="9" t="s">
        <v>11462</v>
      </c>
      <c r="F2481" s="36" t="s">
        <v>275</v>
      </c>
      <c r="G2481" s="36" t="s">
        <v>8544</v>
      </c>
      <c r="H2481" s="36" t="str">
        <f>IFERROR(VLOOKUP(Table2[[#This Row], [Ticket]],Okey!A:B,2,0),"")</f>
        <v/>
      </c>
      <c r="I2481" s="36"/>
      <c r="J2481" s="36" t="s">
        <v>19</v>
      </c>
      <c r="K2481" s="36" t="s">
        <v>11488</v>
      </c>
      <c r="L2481" s="36"/>
    </row>
    <row r="2482" spans="1:12" hidden="1">
      <c r="A2482" s="42">
        <f t="shared" si="37"/>
        <v>2481</v>
      </c>
      <c r="B2482" s="36" t="s">
        <v>8</v>
      </c>
      <c r="C2482" s="36" t="s">
        <v>11258</v>
      </c>
      <c r="D2482" s="9" t="s">
        <v>11463</v>
      </c>
      <c r="F2482" s="36" t="s">
        <v>275</v>
      </c>
      <c r="G2482" s="36" t="s">
        <v>8544</v>
      </c>
      <c r="H2482" s="36" t="str">
        <f>IFERROR(VLOOKUP(Table2[[#This Row], [Ticket]],Okey!A:B,2,0),"")</f>
        <v/>
      </c>
      <c r="I2482" s="36"/>
      <c r="J2482" s="36" t="s">
        <v>19</v>
      </c>
      <c r="K2482" s="36" t="s">
        <v>11488</v>
      </c>
      <c r="L2482" s="36"/>
    </row>
    <row r="2483" spans="1:12" hidden="1">
      <c r="A2483" s="42">
        <f t="shared" si="37"/>
        <v>2482</v>
      </c>
      <c r="B2483" s="36" t="s">
        <v>8</v>
      </c>
      <c r="C2483" s="36" t="s">
        <v>11258</v>
      </c>
      <c r="D2483" s="9" t="s">
        <v>11464</v>
      </c>
      <c r="F2483" s="36" t="s">
        <v>275</v>
      </c>
      <c r="G2483" s="36" t="s">
        <v>8544</v>
      </c>
      <c r="H2483" s="36" t="str">
        <f>IFERROR(VLOOKUP(Table2[[#This Row], [Ticket]],Okey!A:B,2,0),"")</f>
        <v/>
      </c>
      <c r="I2483" s="36"/>
      <c r="J2483" s="36" t="s">
        <v>19</v>
      </c>
      <c r="K2483" s="36" t="s">
        <v>11488</v>
      </c>
      <c r="L2483" s="36"/>
    </row>
    <row r="2484" spans="1:12" hidden="1">
      <c r="A2484" s="42">
        <f t="shared" si="37"/>
        <v>2483</v>
      </c>
      <c r="B2484" s="36" t="s">
        <v>8</v>
      </c>
      <c r="C2484" s="36" t="s">
        <v>11258</v>
      </c>
      <c r="D2484" s="9" t="s">
        <v>11465</v>
      </c>
      <c r="F2484" s="36" t="s">
        <v>275</v>
      </c>
      <c r="G2484" s="36" t="s">
        <v>8544</v>
      </c>
      <c r="H2484" s="36" t="str">
        <f>IFERROR(VLOOKUP(Table2[[#This Row], [Ticket]],Okey!A:B,2,0),"")</f>
        <v/>
      </c>
      <c r="I2484" s="36"/>
      <c r="J2484" s="36" t="s">
        <v>19</v>
      </c>
      <c r="K2484" s="36" t="s">
        <v>11488</v>
      </c>
      <c r="L2484" s="36"/>
    </row>
    <row r="2485" spans="1:12" hidden="1">
      <c r="A2485" s="42">
        <f t="shared" si="37"/>
        <v>2484</v>
      </c>
      <c r="B2485" s="36" t="s">
        <v>8</v>
      </c>
      <c r="C2485" s="36" t="s">
        <v>11258</v>
      </c>
      <c r="D2485" s="9" t="s">
        <v>11466</v>
      </c>
      <c r="F2485" s="36" t="s">
        <v>275</v>
      </c>
      <c r="G2485" s="36" t="s">
        <v>8544</v>
      </c>
      <c r="H2485" s="36" t="str">
        <f>IFERROR(VLOOKUP(Table2[[#This Row], [Ticket]],Okey!A:B,2,0),"")</f>
        <v/>
      </c>
      <c r="I2485" s="36"/>
      <c r="J2485" s="36" t="s">
        <v>19</v>
      </c>
      <c r="K2485" s="36" t="s">
        <v>11488</v>
      </c>
      <c r="L2485" s="36"/>
    </row>
    <row r="2486" spans="1:12" hidden="1">
      <c r="A2486" s="42">
        <f t="shared" si="37"/>
        <v>2485</v>
      </c>
      <c r="B2486" s="36" t="s">
        <v>8</v>
      </c>
      <c r="C2486" s="36" t="s">
        <v>11258</v>
      </c>
      <c r="D2486" s="9" t="s">
        <v>11467</v>
      </c>
      <c r="F2486" s="36" t="s">
        <v>275</v>
      </c>
      <c r="G2486" s="36" t="s">
        <v>8544</v>
      </c>
      <c r="H2486" s="36" t="str">
        <f>IFERROR(VLOOKUP(Table2[[#This Row], [Ticket]],Okey!A:B,2,0),"")</f>
        <v/>
      </c>
      <c r="I2486" s="36"/>
      <c r="J2486" s="36" t="s">
        <v>19</v>
      </c>
      <c r="K2486" s="36" t="s">
        <v>11488</v>
      </c>
      <c r="L2486" s="36"/>
    </row>
    <row r="2487" spans="1:12" hidden="1">
      <c r="A2487" s="42">
        <f t="shared" si="37"/>
        <v>2486</v>
      </c>
      <c r="B2487" s="36" t="s">
        <v>8</v>
      </c>
      <c r="C2487" s="36" t="s">
        <v>11258</v>
      </c>
      <c r="D2487" s="9" t="s">
        <v>11468</v>
      </c>
      <c r="F2487" s="36" t="s">
        <v>275</v>
      </c>
      <c r="G2487" s="36" t="s">
        <v>8544</v>
      </c>
      <c r="H2487" s="36" t="str">
        <f>IFERROR(VLOOKUP(Table2[[#This Row], [Ticket]],Okey!A:B,2,0),"")</f>
        <v/>
      </c>
      <c r="I2487" s="36"/>
      <c r="J2487" s="36" t="s">
        <v>19</v>
      </c>
      <c r="K2487" s="36" t="s">
        <v>11488</v>
      </c>
      <c r="L2487" s="36"/>
    </row>
    <row r="2488" spans="1:12" hidden="1">
      <c r="A2488" s="42">
        <f t="shared" si="37"/>
        <v>2487</v>
      </c>
      <c r="B2488" s="36" t="s">
        <v>8</v>
      </c>
      <c r="C2488" s="36" t="s">
        <v>11258</v>
      </c>
      <c r="D2488" s="9" t="s">
        <v>11469</v>
      </c>
      <c r="F2488" s="36" t="s">
        <v>275</v>
      </c>
      <c r="G2488" s="36" t="s">
        <v>8544</v>
      </c>
      <c r="H2488" s="36" t="str">
        <f>IFERROR(VLOOKUP(Table2[[#This Row], [Ticket]],Okey!A:B,2,0),"")</f>
        <v/>
      </c>
      <c r="I2488" s="36"/>
      <c r="J2488" s="36" t="s">
        <v>19</v>
      </c>
      <c r="K2488" s="36" t="s">
        <v>11488</v>
      </c>
      <c r="L2488" s="36"/>
    </row>
    <row r="2489" spans="1:12" hidden="1">
      <c r="A2489" s="42">
        <f t="shared" si="37"/>
        <v>2488</v>
      </c>
      <c r="B2489" s="36" t="s">
        <v>8</v>
      </c>
      <c r="C2489" s="36" t="s">
        <v>11258</v>
      </c>
      <c r="D2489" s="9" t="s">
        <v>11470</v>
      </c>
      <c r="F2489" s="36" t="s">
        <v>275</v>
      </c>
      <c r="G2489" s="36" t="s">
        <v>8544</v>
      </c>
      <c r="H2489" s="36" t="str">
        <f>IFERROR(VLOOKUP(Table2[[#This Row], [Ticket]],Okey!A:B,2,0),"")</f>
        <v/>
      </c>
      <c r="I2489" s="36"/>
      <c r="J2489" s="36" t="s">
        <v>19</v>
      </c>
      <c r="K2489" s="36" t="s">
        <v>11488</v>
      </c>
      <c r="L2489" s="36"/>
    </row>
    <row r="2490" spans="1:12" hidden="1">
      <c r="A2490" s="42">
        <f t="shared" si="37"/>
        <v>2489</v>
      </c>
      <c r="B2490" s="36" t="s">
        <v>8</v>
      </c>
      <c r="C2490" s="36" t="s">
        <v>11258</v>
      </c>
      <c r="D2490" s="9" t="s">
        <v>11471</v>
      </c>
      <c r="F2490" s="36" t="s">
        <v>275</v>
      </c>
      <c r="G2490" s="36" t="s">
        <v>8544</v>
      </c>
      <c r="H2490" s="36" t="str">
        <f>IFERROR(VLOOKUP(Table2[[#This Row], [Ticket]],Okey!A:B,2,0),"")</f>
        <v/>
      </c>
      <c r="I2490" s="36"/>
      <c r="J2490" s="36" t="s">
        <v>19</v>
      </c>
      <c r="K2490" s="36" t="s">
        <v>11488</v>
      </c>
      <c r="L2490" s="36"/>
    </row>
    <row r="2491" spans="1:12" hidden="1">
      <c r="A2491" s="42">
        <f t="shared" si="37"/>
        <v>2490</v>
      </c>
      <c r="B2491" s="36" t="s">
        <v>8</v>
      </c>
      <c r="C2491" s="36" t="s">
        <v>11258</v>
      </c>
      <c r="D2491" s="9" t="s">
        <v>11472</v>
      </c>
      <c r="F2491" s="36" t="s">
        <v>275</v>
      </c>
      <c r="G2491" s="36" t="s">
        <v>8544</v>
      </c>
      <c r="H2491" s="36" t="str">
        <f>IFERROR(VLOOKUP(Table2[[#This Row], [Ticket]],Okey!A:B,2,0),"")</f>
        <v/>
      </c>
      <c r="I2491" s="36"/>
      <c r="J2491" s="36" t="s">
        <v>19</v>
      </c>
      <c r="K2491" s="36" t="s">
        <v>11488</v>
      </c>
      <c r="L2491" s="36"/>
    </row>
    <row r="2492" spans="1:12" hidden="1">
      <c r="A2492" s="42">
        <f t="shared" si="37"/>
        <v>2491</v>
      </c>
      <c r="B2492" s="36" t="s">
        <v>8</v>
      </c>
      <c r="C2492" s="36" t="s">
        <v>11258</v>
      </c>
      <c r="D2492" s="9" t="s">
        <v>11473</v>
      </c>
      <c r="F2492" s="36" t="s">
        <v>275</v>
      </c>
      <c r="G2492" s="36" t="s">
        <v>8544</v>
      </c>
      <c r="H2492" s="36" t="str">
        <f>IFERROR(VLOOKUP(Table2[[#This Row], [Ticket]],Okey!A:B,2,0),"")</f>
        <v/>
      </c>
      <c r="I2492" s="36"/>
      <c r="J2492" s="36" t="s">
        <v>19</v>
      </c>
      <c r="K2492" s="36" t="s">
        <v>11488</v>
      </c>
      <c r="L2492" s="36"/>
    </row>
    <row r="2493" spans="1:12" hidden="1">
      <c r="A2493" s="42">
        <f t="shared" si="37"/>
        <v>2492</v>
      </c>
      <c r="B2493" s="36" t="s">
        <v>8</v>
      </c>
      <c r="C2493" s="36" t="s">
        <v>11258</v>
      </c>
      <c r="D2493" s="9" t="s">
        <v>11474</v>
      </c>
      <c r="F2493" s="36" t="s">
        <v>275</v>
      </c>
      <c r="G2493" s="36" t="s">
        <v>8544</v>
      </c>
      <c r="H2493" s="36" t="str">
        <f>IFERROR(VLOOKUP(Table2[[#This Row], [Ticket]],Okey!A:B,2,0),"")</f>
        <v/>
      </c>
      <c r="I2493" s="36"/>
      <c r="J2493" s="36" t="s">
        <v>19</v>
      </c>
      <c r="K2493" s="36" t="s">
        <v>11488</v>
      </c>
      <c r="L2493" s="36"/>
    </row>
    <row r="2494" spans="1:12" hidden="1">
      <c r="A2494" s="42">
        <f t="shared" ref="A2494:A2506" si="38">1+A2493</f>
        <v>2493</v>
      </c>
      <c r="B2494" s="36" t="s">
        <v>8</v>
      </c>
      <c r="C2494" s="36" t="s">
        <v>11258</v>
      </c>
      <c r="D2494" s="9" t="s">
        <v>11475</v>
      </c>
      <c r="F2494" s="36" t="s">
        <v>275</v>
      </c>
      <c r="G2494" s="36" t="s">
        <v>8544</v>
      </c>
      <c r="H2494" s="36" t="str">
        <f>IFERROR(VLOOKUP(Table2[[#This Row], [Ticket]],Okey!A:B,2,0),"")</f>
        <v/>
      </c>
      <c r="I2494" s="36"/>
      <c r="J2494" s="36" t="s">
        <v>19</v>
      </c>
      <c r="K2494" s="36" t="s">
        <v>11488</v>
      </c>
      <c r="L2494" s="36"/>
    </row>
    <row r="2495" spans="1:12" hidden="1">
      <c r="A2495" s="42">
        <f t="shared" si="38"/>
        <v>2494</v>
      </c>
      <c r="B2495" s="36" t="s">
        <v>8</v>
      </c>
      <c r="C2495" s="36" t="s">
        <v>11258</v>
      </c>
      <c r="D2495" s="9" t="s">
        <v>11476</v>
      </c>
      <c r="F2495" s="36" t="s">
        <v>275</v>
      </c>
      <c r="G2495" s="36" t="s">
        <v>8544</v>
      </c>
      <c r="H2495" s="36" t="str">
        <f>IFERROR(VLOOKUP(Table2[[#This Row], [Ticket]],Okey!A:B,2,0),"")</f>
        <v/>
      </c>
      <c r="I2495" s="36"/>
      <c r="J2495" s="36" t="s">
        <v>19</v>
      </c>
      <c r="K2495" s="36" t="s">
        <v>11488</v>
      </c>
      <c r="L2495" s="36"/>
    </row>
    <row r="2496" spans="1:12" hidden="1">
      <c r="A2496" s="42">
        <f t="shared" si="38"/>
        <v>2495</v>
      </c>
      <c r="B2496" s="36" t="s">
        <v>8</v>
      </c>
      <c r="C2496" s="36" t="s">
        <v>11258</v>
      </c>
      <c r="D2496" s="9" t="s">
        <v>11477</v>
      </c>
      <c r="F2496" s="36" t="s">
        <v>275</v>
      </c>
      <c r="G2496" s="36" t="s">
        <v>8544</v>
      </c>
      <c r="H2496" s="36" t="str">
        <f>IFERROR(VLOOKUP(Table2[[#This Row], [Ticket]],Okey!A:B,2,0),"")</f>
        <v/>
      </c>
      <c r="I2496" s="36"/>
      <c r="J2496" s="36" t="s">
        <v>19</v>
      </c>
      <c r="K2496" s="36" t="s">
        <v>11488</v>
      </c>
      <c r="L2496" s="36"/>
    </row>
    <row r="2497" spans="1:12" hidden="1">
      <c r="A2497" s="42">
        <f t="shared" si="38"/>
        <v>2496</v>
      </c>
      <c r="B2497" s="36" t="s">
        <v>8</v>
      </c>
      <c r="C2497" s="36" t="s">
        <v>11258</v>
      </c>
      <c r="D2497" s="9" t="s">
        <v>11478</v>
      </c>
      <c r="F2497" s="36" t="s">
        <v>275</v>
      </c>
      <c r="G2497" s="36" t="s">
        <v>8544</v>
      </c>
      <c r="H2497" s="36" t="str">
        <f>IFERROR(VLOOKUP(Table2[[#This Row], [Ticket]],Okey!A:B,2,0),"")</f>
        <v/>
      </c>
      <c r="I2497" s="36"/>
      <c r="J2497" s="36" t="s">
        <v>19</v>
      </c>
      <c r="K2497" s="36" t="s">
        <v>11488</v>
      </c>
      <c r="L2497" s="36"/>
    </row>
    <row r="2498" spans="1:12" hidden="1">
      <c r="A2498" s="42">
        <f t="shared" si="38"/>
        <v>2497</v>
      </c>
      <c r="B2498" s="36" t="s">
        <v>8</v>
      </c>
      <c r="C2498" s="36" t="s">
        <v>11258</v>
      </c>
      <c r="D2498" s="9" t="s">
        <v>11479</v>
      </c>
      <c r="F2498" s="36" t="s">
        <v>275</v>
      </c>
      <c r="G2498" s="36" t="s">
        <v>8544</v>
      </c>
      <c r="H2498" s="36" t="str">
        <f>IFERROR(VLOOKUP(Table2[[#This Row], [Ticket]],Okey!A:B,2,0),"")</f>
        <v/>
      </c>
      <c r="I2498" s="36"/>
      <c r="J2498" s="36" t="s">
        <v>19</v>
      </c>
      <c r="K2498" s="36" t="s">
        <v>11488</v>
      </c>
      <c r="L2498" s="36"/>
    </row>
    <row r="2499" spans="1:12" hidden="1">
      <c r="A2499" s="42">
        <f t="shared" si="38"/>
        <v>2498</v>
      </c>
      <c r="B2499" s="36" t="s">
        <v>8</v>
      </c>
      <c r="C2499" s="36" t="s">
        <v>11258</v>
      </c>
      <c r="D2499" s="9" t="s">
        <v>11480</v>
      </c>
      <c r="F2499" s="36" t="s">
        <v>275</v>
      </c>
      <c r="G2499" s="36" t="s">
        <v>8544</v>
      </c>
      <c r="H2499" s="36" t="str">
        <f>IFERROR(VLOOKUP(Table2[[#This Row], [Ticket]],Okey!A:B,2,0),"")</f>
        <v/>
      </c>
      <c r="I2499" s="36"/>
      <c r="J2499" s="36" t="s">
        <v>19</v>
      </c>
      <c r="K2499" s="36" t="s">
        <v>11488</v>
      </c>
      <c r="L2499" s="36"/>
    </row>
    <row r="2500" spans="1:12" hidden="1">
      <c r="A2500" s="42">
        <f t="shared" si="38"/>
        <v>2499</v>
      </c>
      <c r="B2500" s="36" t="s">
        <v>8</v>
      </c>
      <c r="C2500" s="36" t="s">
        <v>11258</v>
      </c>
      <c r="D2500" s="9" t="s">
        <v>11481</v>
      </c>
      <c r="F2500" s="36" t="s">
        <v>275</v>
      </c>
      <c r="G2500" s="36" t="s">
        <v>8544</v>
      </c>
      <c r="H2500" s="36" t="str">
        <f>IFERROR(VLOOKUP(Table2[[#This Row], [Ticket]],Okey!A:B,2,0),"")</f>
        <v/>
      </c>
      <c r="I2500" s="36"/>
      <c r="J2500" s="36" t="s">
        <v>19</v>
      </c>
      <c r="K2500" s="36" t="s">
        <v>11488</v>
      </c>
      <c r="L2500" s="36"/>
    </row>
    <row r="2501" spans="1:12" hidden="1">
      <c r="A2501" s="42">
        <f t="shared" si="38"/>
        <v>2500</v>
      </c>
      <c r="B2501" s="36" t="s">
        <v>8</v>
      </c>
      <c r="C2501" s="36" t="s">
        <v>11258</v>
      </c>
      <c r="D2501" s="9" t="s">
        <v>11482</v>
      </c>
      <c r="F2501" s="36" t="s">
        <v>275</v>
      </c>
      <c r="G2501" s="36" t="s">
        <v>8544</v>
      </c>
      <c r="H2501" s="36" t="str">
        <f>IFERROR(VLOOKUP(Table2[[#This Row], [Ticket]],Okey!A:B,2,0),"")</f>
        <v/>
      </c>
      <c r="I2501" s="36"/>
      <c r="J2501" s="36" t="s">
        <v>19</v>
      </c>
      <c r="K2501" s="36" t="s">
        <v>11488</v>
      </c>
      <c r="L2501" s="36"/>
    </row>
    <row r="2502" spans="1:12">
      <c r="A2502" s="42">
        <f t="shared" si="38"/>
        <v>2501</v>
      </c>
      <c r="B2502" s="36" t="s">
        <v>8</v>
      </c>
      <c r="C2502" s="36" t="s">
        <v>11258</v>
      </c>
      <c r="D2502" s="9" t="s">
        <v>7214</v>
      </c>
      <c r="F2502" s="36" t="s">
        <v>275</v>
      </c>
      <c r="G2502" s="36" t="s">
        <v>8544</v>
      </c>
      <c r="H2502" s="36" t="str">
        <f>IFERROR(VLOOKUP(Table2[[#This Row], [Ticket]],Okey!A:B,2,0),"")</f>
        <v/>
      </c>
      <c r="I2502" s="36"/>
      <c r="J2502" s="36" t="s">
        <v>19</v>
      </c>
      <c r="K2502" s="36" t="s">
        <v>11488</v>
      </c>
      <c r="L2502" s="36"/>
    </row>
    <row r="2503" spans="1:12">
      <c r="A2503" s="42">
        <f t="shared" si="38"/>
        <v>2502</v>
      </c>
      <c r="B2503" s="36" t="s">
        <v>8</v>
      </c>
      <c r="C2503" s="36" t="s">
        <v>11258</v>
      </c>
      <c r="D2503" s="9" t="s">
        <v>7215</v>
      </c>
      <c r="F2503" s="36" t="s">
        <v>275</v>
      </c>
      <c r="G2503" s="36" t="s">
        <v>8544</v>
      </c>
      <c r="H2503" s="36" t="str">
        <f>IFERROR(VLOOKUP(Table2[[#This Row], [Ticket]],Okey!A:B,2,0),"")</f>
        <v/>
      </c>
      <c r="I2503" s="36"/>
      <c r="J2503" s="36" t="s">
        <v>19</v>
      </c>
      <c r="K2503" s="36" t="s">
        <v>11488</v>
      </c>
      <c r="L2503" s="36"/>
    </row>
    <row r="2504" spans="1:12">
      <c r="A2504" s="42">
        <f t="shared" si="38"/>
        <v>2503</v>
      </c>
      <c r="B2504" s="36" t="s">
        <v>8</v>
      </c>
      <c r="C2504" s="36" t="s">
        <v>11258</v>
      </c>
      <c r="D2504" s="9" t="s">
        <v>7216</v>
      </c>
      <c r="F2504" s="36" t="s">
        <v>275</v>
      </c>
      <c r="G2504" s="36" t="s">
        <v>8544</v>
      </c>
      <c r="H2504" s="36" t="str">
        <f>IFERROR(VLOOKUP(Table2[[#This Row], [Ticket]],Okey!A:B,2,0),"")</f>
        <v/>
      </c>
      <c r="I2504" s="36"/>
      <c r="J2504" s="36" t="s">
        <v>19</v>
      </c>
      <c r="K2504" s="36" t="s">
        <v>11488</v>
      </c>
      <c r="L2504" s="36"/>
    </row>
    <row r="2505" spans="1:12">
      <c r="A2505" s="42">
        <f t="shared" si="38"/>
        <v>2504</v>
      </c>
      <c r="B2505" s="36" t="s">
        <v>8</v>
      </c>
      <c r="C2505" s="36" t="s">
        <v>11258</v>
      </c>
      <c r="D2505" s="9" t="s">
        <v>7217</v>
      </c>
      <c r="F2505" s="36" t="s">
        <v>275</v>
      </c>
      <c r="G2505" s="36" t="s">
        <v>8544</v>
      </c>
      <c r="H2505" s="36" t="str">
        <f>IFERROR(VLOOKUP(Table2[[#This Row], [Ticket]],Okey!A:B,2,0),"")</f>
        <v/>
      </c>
      <c r="I2505" s="36"/>
      <c r="J2505" s="36" t="s">
        <v>19</v>
      </c>
      <c r="K2505" s="36" t="s">
        <v>11488</v>
      </c>
      <c r="L2505" s="36"/>
    </row>
    <row r="2506" spans="1:12">
      <c r="A2506" s="42">
        <f t="shared" si="38"/>
        <v>2505</v>
      </c>
      <c r="B2506" s="36" t="s">
        <v>8</v>
      </c>
      <c r="C2506" s="36" t="s">
        <v>11258</v>
      </c>
      <c r="D2506" s="9" t="s">
        <v>7218</v>
      </c>
      <c r="F2506" s="36" t="s">
        <v>275</v>
      </c>
      <c r="G2506" s="36" t="s">
        <v>8544</v>
      </c>
      <c r="H2506" s="36" t="str">
        <f>IFERROR(VLOOKUP(Table2[[#This Row], [Ticket]],Okey!A:B,2,0),"")</f>
        <v/>
      </c>
      <c r="I2506" s="36"/>
      <c r="J2506" s="36" t="s">
        <v>19</v>
      </c>
      <c r="K2506" s="36" t="s">
        <v>11488</v>
      </c>
      <c r="L2506" s="36"/>
    </row>
  </sheetData>
  <phoneticPr fontId="23" type="noConversion"/>
  <conditionalFormatting sqref="D2:D866 D869:D872">
    <cfRule type="duplicateValues" dxfId="61" priority="53"/>
  </conditionalFormatting>
  <conditionalFormatting sqref="K866:K868">
    <cfRule type="duplicateValues" dxfId="60" priority="52"/>
  </conditionalFormatting>
  <conditionalFormatting sqref="K867">
    <cfRule type="duplicateValues" dxfId="59" priority="51"/>
  </conditionalFormatting>
  <conditionalFormatting sqref="K868">
    <cfRule type="duplicateValues" dxfId="58" priority="50"/>
  </conditionalFormatting>
  <conditionalFormatting sqref="F867">
    <cfRule type="duplicateValues" dxfId="57" priority="49"/>
  </conditionalFormatting>
  <conditionalFormatting sqref="F868">
    <cfRule type="duplicateValues" dxfId="56" priority="48"/>
  </conditionalFormatting>
  <conditionalFormatting sqref="F872">
    <cfRule type="duplicateValues" dxfId="55" priority="47"/>
  </conditionalFormatting>
  <conditionalFormatting sqref="D867">
    <cfRule type="duplicateValues" dxfId="54" priority="46"/>
  </conditionalFormatting>
  <conditionalFormatting sqref="D868">
    <cfRule type="duplicateValues" dxfId="53" priority="45"/>
  </conditionalFormatting>
  <conditionalFormatting sqref="D873">
    <cfRule type="duplicateValues" dxfId="52" priority="44"/>
  </conditionalFormatting>
  <conditionalFormatting sqref="D889">
    <cfRule type="duplicateValues" dxfId="51" priority="43"/>
  </conditionalFormatting>
  <conditionalFormatting sqref="K889 K873">
    <cfRule type="duplicateValues" dxfId="50" priority="42"/>
  </conditionalFormatting>
  <conditionalFormatting sqref="D1356">
    <cfRule type="duplicateValues" dxfId="49" priority="41"/>
  </conditionalFormatting>
  <conditionalFormatting sqref="F1459">
    <cfRule type="duplicateValues" dxfId="48" priority="39"/>
  </conditionalFormatting>
  <conditionalFormatting sqref="F1460">
    <cfRule type="duplicateValues" dxfId="47" priority="38"/>
  </conditionalFormatting>
  <conditionalFormatting sqref="F1461">
    <cfRule type="duplicateValues" dxfId="46" priority="37"/>
  </conditionalFormatting>
  <conditionalFormatting sqref="F1463">
    <cfRule type="duplicateValues" dxfId="45" priority="36"/>
  </conditionalFormatting>
  <conditionalFormatting sqref="F1464">
    <cfRule type="duplicateValues" dxfId="44" priority="35"/>
  </conditionalFormatting>
  <conditionalFormatting sqref="F1473">
    <cfRule type="duplicateValues" dxfId="43" priority="34"/>
  </conditionalFormatting>
  <conditionalFormatting sqref="F1491">
    <cfRule type="duplicateValues" dxfId="42" priority="33"/>
  </conditionalFormatting>
  <conditionalFormatting sqref="F1492">
    <cfRule type="duplicateValues" dxfId="41" priority="32"/>
  </conditionalFormatting>
  <conditionalFormatting sqref="F1493">
    <cfRule type="duplicateValues" dxfId="40" priority="31"/>
  </conditionalFormatting>
  <conditionalFormatting sqref="F1494">
    <cfRule type="duplicateValues" dxfId="39" priority="30"/>
  </conditionalFormatting>
  <conditionalFormatting sqref="F1496">
    <cfRule type="duplicateValues" dxfId="38" priority="29"/>
  </conditionalFormatting>
  <conditionalFormatting sqref="F1497">
    <cfRule type="duplicateValues" dxfId="37" priority="28"/>
  </conditionalFormatting>
  <conditionalFormatting sqref="F1498">
    <cfRule type="duplicateValues" dxfId="36" priority="27"/>
  </conditionalFormatting>
  <conditionalFormatting sqref="F1499">
    <cfRule type="duplicateValues" dxfId="35" priority="26"/>
  </conditionalFormatting>
  <conditionalFormatting sqref="F1501">
    <cfRule type="duplicateValues" dxfId="34" priority="25"/>
  </conditionalFormatting>
  <conditionalFormatting sqref="F1502">
    <cfRule type="duplicateValues" dxfId="33" priority="24"/>
  </conditionalFormatting>
  <conditionalFormatting sqref="F1503">
    <cfRule type="duplicateValues" dxfId="32" priority="23"/>
  </conditionalFormatting>
  <conditionalFormatting sqref="F1504">
    <cfRule type="duplicateValues" dxfId="31" priority="22"/>
  </conditionalFormatting>
  <conditionalFormatting sqref="F1505">
    <cfRule type="duplicateValues" dxfId="30" priority="21"/>
  </conditionalFormatting>
  <conditionalFormatting sqref="F1506">
    <cfRule type="duplicateValues" dxfId="29" priority="20"/>
  </conditionalFormatting>
  <conditionalFormatting sqref="F1507">
    <cfRule type="duplicateValues" dxfId="28" priority="19"/>
  </conditionalFormatting>
  <conditionalFormatting sqref="F1508">
    <cfRule type="duplicateValues" dxfId="27" priority="18"/>
  </conditionalFormatting>
  <conditionalFormatting sqref="F1509">
    <cfRule type="duplicateValues" dxfId="26" priority="17"/>
  </conditionalFormatting>
  <conditionalFormatting sqref="F1510">
    <cfRule type="duplicateValues" dxfId="25" priority="16"/>
  </conditionalFormatting>
  <conditionalFormatting sqref="F1511">
    <cfRule type="duplicateValues" dxfId="24" priority="15"/>
  </conditionalFormatting>
  <conditionalFormatting sqref="F1512">
    <cfRule type="duplicateValues" dxfId="23" priority="14"/>
  </conditionalFormatting>
  <conditionalFormatting sqref="F1514">
    <cfRule type="duplicateValues" dxfId="22" priority="13"/>
  </conditionalFormatting>
  <conditionalFormatting sqref="F1515">
    <cfRule type="duplicateValues" dxfId="21" priority="12"/>
  </conditionalFormatting>
  <conditionalFormatting sqref="F1516">
    <cfRule type="duplicateValues" dxfId="20" priority="11"/>
  </conditionalFormatting>
  <conditionalFormatting sqref="F1517">
    <cfRule type="duplicateValues" dxfId="19" priority="10"/>
  </conditionalFormatting>
  <conditionalFormatting sqref="D2:D2506">
    <cfRule type="duplicateValues" dxfId="18" priority="56"/>
  </conditionalFormatting>
  <conditionalFormatting sqref="F1630">
    <cfRule type="duplicateValues" dxfId="17" priority="9"/>
  </conditionalFormatting>
  <conditionalFormatting sqref="F1631">
    <cfRule type="duplicateValues" dxfId="16" priority="8"/>
  </conditionalFormatting>
  <conditionalFormatting sqref="F1632">
    <cfRule type="duplicateValues" dxfId="15" priority="7"/>
  </conditionalFormatting>
  <conditionalFormatting sqref="F1633">
    <cfRule type="duplicateValues" dxfId="14" priority="6"/>
  </conditionalFormatting>
  <conditionalFormatting sqref="F1634">
    <cfRule type="duplicateValues" dxfId="13" priority="5"/>
  </conditionalFormatting>
  <conditionalFormatting sqref="D1639">
    <cfRule type="duplicateValues" dxfId="12" priority="4"/>
  </conditionalFormatting>
  <conditionalFormatting sqref="F1712">
    <cfRule type="duplicateValues" dxfId="11" priority="3"/>
  </conditionalFormatting>
  <conditionalFormatting sqref="F1713">
    <cfRule type="duplicateValues" dxfId="10" priority="2"/>
  </conditionalFormatting>
  <conditionalFormatting sqref="F1714">
    <cfRule type="duplicateValues" dxfId="9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2FEB2-1F70-4C9F-91AE-462A6D746E92}">
  <dimension ref="A1:I127"/>
  <sheetViews>
    <sheetView topLeftCell="A13" workbookViewId="0">
      <selection activeCell="H1" sqref="H1:I19"/>
    </sheetView>
  </sheetViews>
  <sheetFormatPr defaultRowHeight="15"/>
  <sheetData>
    <row r="1" spans="1:9">
      <c r="A1" t="s">
        <v>4800</v>
      </c>
      <c r="D1" t="s">
        <v>4800</v>
      </c>
      <c r="H1" t="s">
        <v>4800</v>
      </c>
      <c r="I1" t="s">
        <v>11487</v>
      </c>
    </row>
    <row r="2" spans="1:9">
      <c r="A2" t="s">
        <v>9995</v>
      </c>
      <c r="B2" t="s">
        <v>9936</v>
      </c>
      <c r="C2" t="s">
        <v>4938</v>
      </c>
      <c r="D2" t="s">
        <v>4367</v>
      </c>
      <c r="E2" t="s">
        <v>9995</v>
      </c>
      <c r="H2" t="s">
        <v>2433</v>
      </c>
      <c r="I2" t="s">
        <v>9990</v>
      </c>
    </row>
    <row r="3" spans="1:9">
      <c r="A3" t="s">
        <v>9997</v>
      </c>
      <c r="B3" t="s">
        <v>9937</v>
      </c>
      <c r="C3" t="s">
        <v>4938</v>
      </c>
      <c r="D3" t="s">
        <v>2433</v>
      </c>
      <c r="E3" t="s">
        <v>9997</v>
      </c>
      <c r="H3" t="s">
        <v>275</v>
      </c>
      <c r="I3" t="s">
        <v>2445</v>
      </c>
    </row>
    <row r="4" spans="1:9">
      <c r="A4" t="s">
        <v>9998</v>
      </c>
      <c r="B4" t="s">
        <v>9938</v>
      </c>
      <c r="C4" t="s">
        <v>4938</v>
      </c>
      <c r="D4" t="s">
        <v>2433</v>
      </c>
      <c r="E4" t="s">
        <v>9998</v>
      </c>
      <c r="H4" t="s">
        <v>275</v>
      </c>
      <c r="I4" t="s">
        <v>2693</v>
      </c>
    </row>
    <row r="5" spans="1:9">
      <c r="A5" t="s">
        <v>9999</v>
      </c>
      <c r="B5" t="s">
        <v>9939</v>
      </c>
      <c r="C5" t="s">
        <v>4938</v>
      </c>
      <c r="D5" t="s">
        <v>2688</v>
      </c>
      <c r="E5" t="s">
        <v>9999</v>
      </c>
      <c r="H5" t="s">
        <v>275</v>
      </c>
      <c r="I5" t="s">
        <v>9991</v>
      </c>
    </row>
    <row r="6" spans="1:9">
      <c r="A6" t="s">
        <v>10000</v>
      </c>
      <c r="B6" t="s">
        <v>9940</v>
      </c>
      <c r="C6" t="s">
        <v>4938</v>
      </c>
      <c r="D6" t="s">
        <v>8771</v>
      </c>
      <c r="E6" t="s">
        <v>10000</v>
      </c>
      <c r="H6" t="s">
        <v>275</v>
      </c>
      <c r="I6" t="s">
        <v>9992</v>
      </c>
    </row>
    <row r="7" spans="1:9">
      <c r="A7" t="s">
        <v>10001</v>
      </c>
      <c r="B7" t="s">
        <v>9941</v>
      </c>
      <c r="C7" t="s">
        <v>4938</v>
      </c>
      <c r="D7" t="s">
        <v>8772</v>
      </c>
      <c r="E7" t="s">
        <v>10001</v>
      </c>
      <c r="H7" t="s">
        <v>275</v>
      </c>
      <c r="I7" t="s">
        <v>9993</v>
      </c>
    </row>
    <row r="8" spans="1:9">
      <c r="A8" t="s">
        <v>10002</v>
      </c>
      <c r="B8" t="s">
        <v>9942</v>
      </c>
      <c r="C8" t="s">
        <v>4938</v>
      </c>
      <c r="D8" t="s">
        <v>2433</v>
      </c>
      <c r="E8" t="s">
        <v>10002</v>
      </c>
      <c r="H8" t="s">
        <v>275</v>
      </c>
      <c r="I8" t="s">
        <v>2695</v>
      </c>
    </row>
    <row r="9" spans="1:9">
      <c r="A9" t="s">
        <v>10003</v>
      </c>
      <c r="B9" t="s">
        <v>9943</v>
      </c>
      <c r="C9" t="s">
        <v>4938</v>
      </c>
      <c r="D9" t="s">
        <v>8049</v>
      </c>
      <c r="E9" t="s">
        <v>10003</v>
      </c>
      <c r="H9" t="s">
        <v>275</v>
      </c>
      <c r="I9" t="s">
        <v>2697</v>
      </c>
    </row>
    <row r="10" spans="1:9">
      <c r="A10" t="s">
        <v>10004</v>
      </c>
      <c r="B10" t="s">
        <v>9944</v>
      </c>
      <c r="C10" t="s">
        <v>4938</v>
      </c>
      <c r="D10" t="s">
        <v>2234</v>
      </c>
      <c r="E10" t="s">
        <v>10004</v>
      </c>
      <c r="H10" t="s">
        <v>275</v>
      </c>
      <c r="I10" t="s">
        <v>2466</v>
      </c>
    </row>
    <row r="11" spans="1:9">
      <c r="A11" t="s">
        <v>10005</v>
      </c>
      <c r="B11" t="s">
        <v>9945</v>
      </c>
      <c r="C11" t="s">
        <v>4938</v>
      </c>
      <c r="D11" t="s">
        <v>4210</v>
      </c>
      <c r="E11" t="s">
        <v>10005</v>
      </c>
      <c r="H11" t="s">
        <v>275</v>
      </c>
      <c r="I11" t="s">
        <v>2468</v>
      </c>
    </row>
    <row r="12" spans="1:9">
      <c r="A12" t="s">
        <v>10006</v>
      </c>
      <c r="B12" t="s">
        <v>9946</v>
      </c>
      <c r="C12" t="s">
        <v>4938</v>
      </c>
      <c r="D12" t="s">
        <v>4210</v>
      </c>
      <c r="E12" t="s">
        <v>10006</v>
      </c>
      <c r="H12" t="s">
        <v>275</v>
      </c>
      <c r="I12" t="s">
        <v>2470</v>
      </c>
    </row>
    <row r="13" spans="1:9">
      <c r="A13" t="s">
        <v>10007</v>
      </c>
      <c r="B13" t="s">
        <v>9947</v>
      </c>
      <c r="C13" t="s">
        <v>4938</v>
      </c>
      <c r="D13" t="s">
        <v>4210</v>
      </c>
      <c r="E13" t="s">
        <v>10007</v>
      </c>
      <c r="H13" t="s">
        <v>275</v>
      </c>
      <c r="I13" t="s">
        <v>9994</v>
      </c>
    </row>
    <row r="14" spans="1:9">
      <c r="A14" t="s">
        <v>10008</v>
      </c>
      <c r="B14" t="s">
        <v>9948</v>
      </c>
      <c r="C14" t="s">
        <v>4938</v>
      </c>
      <c r="D14" t="s">
        <v>4210</v>
      </c>
      <c r="E14" t="s">
        <v>10008</v>
      </c>
      <c r="H14" t="s">
        <v>275</v>
      </c>
      <c r="I14" t="s">
        <v>4859</v>
      </c>
    </row>
    <row r="15" spans="1:9">
      <c r="A15" t="s">
        <v>10009</v>
      </c>
      <c r="B15" t="s">
        <v>9949</v>
      </c>
      <c r="C15" t="s">
        <v>4938</v>
      </c>
      <c r="D15" t="s">
        <v>4433</v>
      </c>
      <c r="E15" t="s">
        <v>10009</v>
      </c>
      <c r="H15" t="s">
        <v>275</v>
      </c>
      <c r="I15" t="s">
        <v>4867</v>
      </c>
    </row>
    <row r="16" spans="1:9">
      <c r="A16" t="s">
        <v>10010</v>
      </c>
      <c r="B16" t="s">
        <v>9950</v>
      </c>
      <c r="C16" t="s">
        <v>4938</v>
      </c>
      <c r="D16" t="s">
        <v>4433</v>
      </c>
      <c r="E16" t="s">
        <v>10010</v>
      </c>
      <c r="H16" t="s">
        <v>275</v>
      </c>
      <c r="I16" t="s">
        <v>4897</v>
      </c>
    </row>
    <row r="17" spans="1:9">
      <c r="A17" t="s">
        <v>10011</v>
      </c>
      <c r="B17" t="s">
        <v>9951</v>
      </c>
      <c r="C17" t="s">
        <v>4938</v>
      </c>
      <c r="D17" t="s">
        <v>4433</v>
      </c>
      <c r="E17" t="s">
        <v>10011</v>
      </c>
      <c r="H17" t="s">
        <v>275</v>
      </c>
      <c r="I17" t="s">
        <v>4899</v>
      </c>
    </row>
    <row r="18" spans="1:9">
      <c r="A18" t="s">
        <v>10012</v>
      </c>
      <c r="B18" t="s">
        <v>9952</v>
      </c>
      <c r="C18" t="s">
        <v>4938</v>
      </c>
      <c r="D18" t="s">
        <v>4433</v>
      </c>
      <c r="E18" t="s">
        <v>10012</v>
      </c>
      <c r="H18" t="s">
        <v>275</v>
      </c>
      <c r="I18" t="s">
        <v>4901</v>
      </c>
    </row>
    <row r="19" spans="1:9">
      <c r="A19" t="s">
        <v>10013</v>
      </c>
      <c r="B19" t="s">
        <v>9953</v>
      </c>
      <c r="C19" t="s">
        <v>4938</v>
      </c>
      <c r="D19" t="s">
        <v>9999</v>
      </c>
      <c r="E19" t="s">
        <v>10013</v>
      </c>
      <c r="H19" t="s">
        <v>275</v>
      </c>
      <c r="I19" t="s">
        <v>4933</v>
      </c>
    </row>
    <row r="20" spans="1:9">
      <c r="A20" t="s">
        <v>10014</v>
      </c>
      <c r="B20" t="s">
        <v>9954</v>
      </c>
      <c r="C20" t="s">
        <v>4938</v>
      </c>
      <c r="D20" t="s">
        <v>9999</v>
      </c>
      <c r="E20" t="s">
        <v>10014</v>
      </c>
    </row>
    <row r="21" spans="1:9">
      <c r="A21" t="s">
        <v>10015</v>
      </c>
      <c r="B21" t="s">
        <v>9955</v>
      </c>
      <c r="C21" t="s">
        <v>4938</v>
      </c>
      <c r="D21" t="s">
        <v>9999</v>
      </c>
      <c r="E21" t="s">
        <v>10015</v>
      </c>
    </row>
    <row r="22" spans="1:9">
      <c r="A22" t="s">
        <v>10016</v>
      </c>
      <c r="B22" t="s">
        <v>9956</v>
      </c>
      <c r="C22" t="s">
        <v>4938</v>
      </c>
      <c r="D22" t="s">
        <v>9999</v>
      </c>
      <c r="E22" t="s">
        <v>10016</v>
      </c>
    </row>
    <row r="23" spans="1:9">
      <c r="A23" t="s">
        <v>10017</v>
      </c>
      <c r="B23" t="s">
        <v>9957</v>
      </c>
      <c r="C23" t="s">
        <v>4938</v>
      </c>
      <c r="D23" t="s">
        <v>9999</v>
      </c>
      <c r="E23" t="s">
        <v>10017</v>
      </c>
    </row>
    <row r="24" spans="1:9">
      <c r="A24" t="s">
        <v>10018</v>
      </c>
      <c r="B24" t="s">
        <v>9958</v>
      </c>
      <c r="C24" t="s">
        <v>4938</v>
      </c>
      <c r="D24" t="s">
        <v>10000</v>
      </c>
      <c r="E24" t="s">
        <v>10018</v>
      </c>
    </row>
    <row r="25" spans="1:9">
      <c r="A25" t="s">
        <v>10019</v>
      </c>
      <c r="B25" t="s">
        <v>9959</v>
      </c>
      <c r="C25" t="s">
        <v>4938</v>
      </c>
      <c r="D25" t="s">
        <v>10000</v>
      </c>
      <c r="E25" t="s">
        <v>10019</v>
      </c>
    </row>
    <row r="26" spans="1:9">
      <c r="A26" t="s">
        <v>10020</v>
      </c>
      <c r="B26" t="s">
        <v>9960</v>
      </c>
      <c r="C26" t="s">
        <v>4938</v>
      </c>
      <c r="D26" t="s">
        <v>10000</v>
      </c>
      <c r="E26" t="s">
        <v>10020</v>
      </c>
    </row>
    <row r="27" spans="1:9">
      <c r="A27" t="s">
        <v>10021</v>
      </c>
      <c r="B27" t="s">
        <v>9961</v>
      </c>
      <c r="C27" t="s">
        <v>4938</v>
      </c>
      <c r="D27" t="s">
        <v>10000</v>
      </c>
      <c r="E27" t="s">
        <v>10021</v>
      </c>
    </row>
    <row r="28" spans="1:9">
      <c r="A28" t="s">
        <v>10022</v>
      </c>
      <c r="B28" t="s">
        <v>9962</v>
      </c>
      <c r="C28" t="s">
        <v>4938</v>
      </c>
      <c r="D28" t="s">
        <v>10000</v>
      </c>
      <c r="E28" t="s">
        <v>10022</v>
      </c>
    </row>
    <row r="29" spans="1:9">
      <c r="A29" t="s">
        <v>10023</v>
      </c>
      <c r="B29" t="s">
        <v>9963</v>
      </c>
      <c r="C29" t="s">
        <v>4938</v>
      </c>
      <c r="D29" t="s">
        <v>10001</v>
      </c>
      <c r="E29" t="s">
        <v>10023</v>
      </c>
    </row>
    <row r="30" spans="1:9">
      <c r="A30" t="s">
        <v>10024</v>
      </c>
      <c r="B30" t="s">
        <v>9964</v>
      </c>
      <c r="C30" t="s">
        <v>4938</v>
      </c>
      <c r="D30" t="s">
        <v>10001</v>
      </c>
      <c r="E30" t="s">
        <v>10024</v>
      </c>
    </row>
    <row r="31" spans="1:9">
      <c r="A31" t="s">
        <v>10025</v>
      </c>
      <c r="B31" t="s">
        <v>9965</v>
      </c>
      <c r="C31" t="s">
        <v>4938</v>
      </c>
      <c r="D31" t="s">
        <v>10001</v>
      </c>
      <c r="E31" t="s">
        <v>10025</v>
      </c>
    </row>
    <row r="32" spans="1:9">
      <c r="A32" t="s">
        <v>10026</v>
      </c>
      <c r="B32" t="s">
        <v>9966</v>
      </c>
      <c r="C32" t="s">
        <v>4938</v>
      </c>
      <c r="D32" t="s">
        <v>10001</v>
      </c>
      <c r="E32" t="s">
        <v>10026</v>
      </c>
    </row>
    <row r="33" spans="1:5">
      <c r="A33" t="s">
        <v>10027</v>
      </c>
      <c r="B33" t="s">
        <v>9967</v>
      </c>
      <c r="C33" t="s">
        <v>4938</v>
      </c>
      <c r="D33" t="s">
        <v>10001</v>
      </c>
      <c r="E33" t="s">
        <v>10027</v>
      </c>
    </row>
    <row r="34" spans="1:5">
      <c r="A34" t="s">
        <v>10028</v>
      </c>
      <c r="B34" t="s">
        <v>9968</v>
      </c>
      <c r="C34" t="s">
        <v>4938</v>
      </c>
      <c r="D34" t="s">
        <v>10002</v>
      </c>
      <c r="E34" t="s">
        <v>10028</v>
      </c>
    </row>
    <row r="35" spans="1:5">
      <c r="A35" t="s">
        <v>10029</v>
      </c>
      <c r="B35" t="s">
        <v>9969</v>
      </c>
      <c r="C35" t="s">
        <v>4938</v>
      </c>
      <c r="D35" t="s">
        <v>10002</v>
      </c>
      <c r="E35" t="s">
        <v>10029</v>
      </c>
    </row>
    <row r="36" spans="1:5">
      <c r="A36" t="s">
        <v>10030</v>
      </c>
      <c r="B36" t="s">
        <v>9970</v>
      </c>
      <c r="C36" t="s">
        <v>4938</v>
      </c>
      <c r="D36" t="s">
        <v>10002</v>
      </c>
      <c r="E36" t="s">
        <v>10030</v>
      </c>
    </row>
    <row r="37" spans="1:5">
      <c r="A37" t="s">
        <v>10031</v>
      </c>
      <c r="B37" t="s">
        <v>9971</v>
      </c>
      <c r="C37" t="s">
        <v>4938</v>
      </c>
      <c r="D37" t="s">
        <v>10002</v>
      </c>
      <c r="E37" t="s">
        <v>10031</v>
      </c>
    </row>
    <row r="38" spans="1:5">
      <c r="A38" t="s">
        <v>10032</v>
      </c>
      <c r="B38" t="s">
        <v>9972</v>
      </c>
      <c r="C38" t="s">
        <v>4938</v>
      </c>
      <c r="D38" t="s">
        <v>10002</v>
      </c>
      <c r="E38" t="s">
        <v>10032</v>
      </c>
    </row>
    <row r="39" spans="1:5">
      <c r="A39" t="s">
        <v>10033</v>
      </c>
      <c r="B39" t="s">
        <v>9973</v>
      </c>
      <c r="C39" t="s">
        <v>4938</v>
      </c>
      <c r="D39" t="s">
        <v>10003</v>
      </c>
      <c r="E39" t="s">
        <v>10033</v>
      </c>
    </row>
    <row r="40" spans="1:5">
      <c r="A40" t="s">
        <v>10034</v>
      </c>
      <c r="B40" t="s">
        <v>9974</v>
      </c>
      <c r="C40" t="s">
        <v>4938</v>
      </c>
      <c r="D40" t="s">
        <v>10003</v>
      </c>
      <c r="E40" t="s">
        <v>10034</v>
      </c>
    </row>
    <row r="41" spans="1:5">
      <c r="A41" t="s">
        <v>10035</v>
      </c>
      <c r="B41" t="s">
        <v>9975</v>
      </c>
      <c r="C41" t="s">
        <v>4938</v>
      </c>
      <c r="D41" t="s">
        <v>10003</v>
      </c>
      <c r="E41" t="s">
        <v>10035</v>
      </c>
    </row>
    <row r="42" spans="1:5">
      <c r="A42" t="s">
        <v>10036</v>
      </c>
      <c r="B42" t="s">
        <v>9976</v>
      </c>
      <c r="C42" t="s">
        <v>4938</v>
      </c>
      <c r="D42" t="s">
        <v>10003</v>
      </c>
      <c r="E42" t="s">
        <v>10036</v>
      </c>
    </row>
    <row r="43" spans="1:5">
      <c r="A43" t="s">
        <v>10037</v>
      </c>
      <c r="B43" t="s">
        <v>9977</v>
      </c>
      <c r="C43" t="s">
        <v>4938</v>
      </c>
      <c r="D43" t="s">
        <v>10003</v>
      </c>
      <c r="E43" t="s">
        <v>10037</v>
      </c>
    </row>
    <row r="44" spans="1:5">
      <c r="A44" t="s">
        <v>10038</v>
      </c>
      <c r="B44" t="s">
        <v>9978</v>
      </c>
      <c r="C44" t="s">
        <v>4938</v>
      </c>
      <c r="D44" t="s">
        <v>10004</v>
      </c>
      <c r="E44" t="s">
        <v>10038</v>
      </c>
    </row>
    <row r="45" spans="1:5">
      <c r="A45" t="s">
        <v>10039</v>
      </c>
      <c r="B45" t="s">
        <v>9979</v>
      </c>
      <c r="C45" t="s">
        <v>4938</v>
      </c>
      <c r="D45" t="s">
        <v>10004</v>
      </c>
      <c r="E45" t="s">
        <v>10039</v>
      </c>
    </row>
    <row r="46" spans="1:5">
      <c r="A46" t="s">
        <v>10040</v>
      </c>
      <c r="B46" t="s">
        <v>9980</v>
      </c>
      <c r="C46" t="s">
        <v>4938</v>
      </c>
      <c r="D46" t="s">
        <v>10004</v>
      </c>
      <c r="E46" t="s">
        <v>10040</v>
      </c>
    </row>
    <row r="47" spans="1:5">
      <c r="A47" t="s">
        <v>10041</v>
      </c>
      <c r="B47" t="s">
        <v>9981</v>
      </c>
      <c r="C47" t="s">
        <v>4938</v>
      </c>
      <c r="D47" t="s">
        <v>10004</v>
      </c>
      <c r="E47" t="s">
        <v>10041</v>
      </c>
    </row>
    <row r="48" spans="1:5">
      <c r="A48" t="s">
        <v>10042</v>
      </c>
      <c r="B48" t="s">
        <v>9982</v>
      </c>
      <c r="C48" t="s">
        <v>4938</v>
      </c>
      <c r="D48" t="s">
        <v>10004</v>
      </c>
      <c r="E48" t="s">
        <v>10042</v>
      </c>
    </row>
    <row r="49" spans="1:5">
      <c r="A49" t="s">
        <v>10043</v>
      </c>
      <c r="B49" t="s">
        <v>9983</v>
      </c>
      <c r="C49" t="s">
        <v>4938</v>
      </c>
      <c r="D49" t="s">
        <v>2441</v>
      </c>
      <c r="E49" t="s">
        <v>10043</v>
      </c>
    </row>
    <row r="50" spans="1:5">
      <c r="A50" t="s">
        <v>10044</v>
      </c>
      <c r="B50" t="s">
        <v>9984</v>
      </c>
      <c r="C50" t="s">
        <v>4938</v>
      </c>
      <c r="D50" t="s">
        <v>2441</v>
      </c>
      <c r="E50" t="s">
        <v>10044</v>
      </c>
    </row>
    <row r="51" spans="1:5">
      <c r="A51" t="s">
        <v>4210</v>
      </c>
      <c r="B51" t="s">
        <v>9986</v>
      </c>
      <c r="C51" t="s">
        <v>4938</v>
      </c>
      <c r="D51" t="s">
        <v>3707</v>
      </c>
      <c r="E51" t="s">
        <v>11190</v>
      </c>
    </row>
    <row r="52" spans="1:5">
      <c r="A52" t="s">
        <v>4216</v>
      </c>
      <c r="B52" t="s">
        <v>9987</v>
      </c>
      <c r="C52" t="s">
        <v>4938</v>
      </c>
      <c r="D52" t="s">
        <v>11190</v>
      </c>
      <c r="E52" t="s">
        <v>11191</v>
      </c>
    </row>
    <row r="53" spans="1:5">
      <c r="A53" t="s">
        <v>4433</v>
      </c>
      <c r="B53" t="s">
        <v>9988</v>
      </c>
      <c r="C53" t="s">
        <v>4938</v>
      </c>
      <c r="D53" t="s">
        <v>11190</v>
      </c>
      <c r="E53" t="s">
        <v>11192</v>
      </c>
    </row>
    <row r="54" spans="1:5">
      <c r="A54" t="s">
        <v>9985</v>
      </c>
      <c r="B54" t="s">
        <v>9989</v>
      </c>
      <c r="C54" t="s">
        <v>4938</v>
      </c>
      <c r="D54" t="s">
        <v>11190</v>
      </c>
      <c r="E54" t="s">
        <v>11193</v>
      </c>
    </row>
    <row r="55" spans="1:5">
      <c r="A55" t="s">
        <v>11190</v>
      </c>
      <c r="B55" t="s">
        <v>11057</v>
      </c>
      <c r="C55" t="s">
        <v>4938</v>
      </c>
      <c r="D55" t="s">
        <v>11190</v>
      </c>
      <c r="E55" t="s">
        <v>11194</v>
      </c>
    </row>
    <row r="56" spans="1:5">
      <c r="A56" t="s">
        <v>11191</v>
      </c>
      <c r="B56" t="s">
        <v>11058</v>
      </c>
      <c r="C56" t="s">
        <v>4938</v>
      </c>
      <c r="D56" t="s">
        <v>11190</v>
      </c>
      <c r="E56" t="s">
        <v>11195</v>
      </c>
    </row>
    <row r="57" spans="1:5">
      <c r="A57" t="s">
        <v>11192</v>
      </c>
      <c r="B57" t="s">
        <v>11059</v>
      </c>
      <c r="C57" t="s">
        <v>4938</v>
      </c>
      <c r="D57" t="s">
        <v>11190</v>
      </c>
      <c r="E57" t="s">
        <v>11196</v>
      </c>
    </row>
    <row r="58" spans="1:5">
      <c r="A58" t="s">
        <v>11193</v>
      </c>
      <c r="B58" t="s">
        <v>11060</v>
      </c>
      <c r="C58" t="s">
        <v>4938</v>
      </c>
      <c r="D58" t="s">
        <v>11190</v>
      </c>
      <c r="E58" t="s">
        <v>11197</v>
      </c>
    </row>
    <row r="59" spans="1:5">
      <c r="A59" t="s">
        <v>11194</v>
      </c>
      <c r="B59" t="s">
        <v>11061</v>
      </c>
      <c r="C59" t="s">
        <v>4938</v>
      </c>
      <c r="D59" t="s">
        <v>11190</v>
      </c>
      <c r="E59" t="s">
        <v>11198</v>
      </c>
    </row>
    <row r="60" spans="1:5">
      <c r="A60" t="s">
        <v>11195</v>
      </c>
      <c r="B60" t="s">
        <v>11062</v>
      </c>
      <c r="C60" t="s">
        <v>4938</v>
      </c>
      <c r="D60" t="s">
        <v>3707</v>
      </c>
      <c r="E60" t="s">
        <v>11199</v>
      </c>
    </row>
    <row r="61" spans="1:5">
      <c r="A61" t="s">
        <v>11196</v>
      </c>
      <c r="B61" t="s">
        <v>11063</v>
      </c>
      <c r="C61" t="s">
        <v>4938</v>
      </c>
      <c r="D61" t="s">
        <v>11199</v>
      </c>
      <c r="E61" t="s">
        <v>11200</v>
      </c>
    </row>
    <row r="62" spans="1:5">
      <c r="A62" t="s">
        <v>11197</v>
      </c>
      <c r="B62" t="s">
        <v>11064</v>
      </c>
      <c r="C62" t="s">
        <v>4938</v>
      </c>
      <c r="D62" t="s">
        <v>11199</v>
      </c>
      <c r="E62" t="s">
        <v>11201</v>
      </c>
    </row>
    <row r="63" spans="1:5">
      <c r="A63" t="s">
        <v>11198</v>
      </c>
      <c r="B63" t="s">
        <v>11065</v>
      </c>
      <c r="C63" t="s">
        <v>4938</v>
      </c>
      <c r="D63" t="s">
        <v>11199</v>
      </c>
      <c r="E63" t="s">
        <v>11202</v>
      </c>
    </row>
    <row r="64" spans="1:5">
      <c r="A64" t="s">
        <v>11199</v>
      </c>
      <c r="B64" t="s">
        <v>11066</v>
      </c>
      <c r="C64" t="s">
        <v>4938</v>
      </c>
      <c r="D64" t="s">
        <v>11199</v>
      </c>
      <c r="E64" t="s">
        <v>11203</v>
      </c>
    </row>
    <row r="65" spans="1:5">
      <c r="A65" t="s">
        <v>11200</v>
      </c>
      <c r="B65" t="s">
        <v>11067</v>
      </c>
      <c r="C65" t="s">
        <v>4938</v>
      </c>
      <c r="D65" t="s">
        <v>11199</v>
      </c>
      <c r="E65" t="s">
        <v>11204</v>
      </c>
    </row>
    <row r="66" spans="1:5">
      <c r="A66" t="s">
        <v>11201</v>
      </c>
      <c r="B66" t="s">
        <v>11068</v>
      </c>
      <c r="C66" t="s">
        <v>4938</v>
      </c>
      <c r="D66" t="s">
        <v>11199</v>
      </c>
      <c r="E66" t="s">
        <v>11205</v>
      </c>
    </row>
    <row r="67" spans="1:5">
      <c r="A67" t="s">
        <v>11202</v>
      </c>
      <c r="B67" t="s">
        <v>11069</v>
      </c>
      <c r="C67" t="s">
        <v>4938</v>
      </c>
      <c r="D67" t="s">
        <v>11199</v>
      </c>
      <c r="E67" t="s">
        <v>11206</v>
      </c>
    </row>
    <row r="68" spans="1:5">
      <c r="A68" t="s">
        <v>11203</v>
      </c>
      <c r="B68" t="s">
        <v>11070</v>
      </c>
      <c r="C68" t="s">
        <v>4938</v>
      </c>
      <c r="D68" t="s">
        <v>3707</v>
      </c>
      <c r="E68" t="s">
        <v>11207</v>
      </c>
    </row>
    <row r="69" spans="1:5">
      <c r="A69" t="s">
        <v>11204</v>
      </c>
      <c r="B69" t="s">
        <v>11071</v>
      </c>
      <c r="C69" t="s">
        <v>4938</v>
      </c>
      <c r="D69" t="s">
        <v>11207</v>
      </c>
      <c r="E69" t="s">
        <v>11208</v>
      </c>
    </row>
    <row r="70" spans="1:5">
      <c r="A70" t="s">
        <v>11205</v>
      </c>
      <c r="B70" t="s">
        <v>11072</v>
      </c>
      <c r="C70" t="s">
        <v>4938</v>
      </c>
      <c r="D70" t="s">
        <v>11207</v>
      </c>
      <c r="E70" t="s">
        <v>11209</v>
      </c>
    </row>
    <row r="71" spans="1:5">
      <c r="A71" t="s">
        <v>11206</v>
      </c>
      <c r="B71" t="s">
        <v>11073</v>
      </c>
      <c r="C71" t="s">
        <v>4938</v>
      </c>
      <c r="D71" t="s">
        <v>11207</v>
      </c>
      <c r="E71" t="s">
        <v>11210</v>
      </c>
    </row>
    <row r="72" spans="1:5">
      <c r="A72" t="s">
        <v>11207</v>
      </c>
      <c r="B72" t="s">
        <v>11074</v>
      </c>
      <c r="C72" t="s">
        <v>4938</v>
      </c>
      <c r="D72" t="s">
        <v>11207</v>
      </c>
      <c r="E72" t="s">
        <v>11211</v>
      </c>
    </row>
    <row r="73" spans="1:5">
      <c r="A73" t="s">
        <v>11208</v>
      </c>
      <c r="B73" t="s">
        <v>11075</v>
      </c>
      <c r="C73" t="s">
        <v>4938</v>
      </c>
      <c r="D73" t="s">
        <v>11207</v>
      </c>
      <c r="E73" t="s">
        <v>11212</v>
      </c>
    </row>
    <row r="74" spans="1:5">
      <c r="A74" t="s">
        <v>11209</v>
      </c>
      <c r="B74" t="s">
        <v>11076</v>
      </c>
      <c r="C74" t="s">
        <v>4938</v>
      </c>
      <c r="D74" t="s">
        <v>11207</v>
      </c>
      <c r="E74" t="s">
        <v>11213</v>
      </c>
    </row>
    <row r="75" spans="1:5">
      <c r="A75" t="s">
        <v>11210</v>
      </c>
      <c r="B75" t="s">
        <v>11077</v>
      </c>
      <c r="C75" t="s">
        <v>4938</v>
      </c>
      <c r="D75" t="s">
        <v>11207</v>
      </c>
      <c r="E75" t="s">
        <v>11214</v>
      </c>
    </row>
    <row r="76" spans="1:5">
      <c r="A76" t="s">
        <v>11211</v>
      </c>
      <c r="B76" t="s">
        <v>11078</v>
      </c>
      <c r="C76" t="s">
        <v>4938</v>
      </c>
      <c r="D76" t="s">
        <v>11207</v>
      </c>
      <c r="E76" t="s">
        <v>11215</v>
      </c>
    </row>
    <row r="77" spans="1:5">
      <c r="A77" t="s">
        <v>11212</v>
      </c>
      <c r="B77" t="s">
        <v>11079</v>
      </c>
      <c r="C77" t="s">
        <v>4938</v>
      </c>
      <c r="D77" t="s">
        <v>11207</v>
      </c>
      <c r="E77" t="s">
        <v>11216</v>
      </c>
    </row>
    <row r="78" spans="1:5">
      <c r="A78" t="s">
        <v>11213</v>
      </c>
      <c r="B78" t="s">
        <v>11080</v>
      </c>
      <c r="C78" t="s">
        <v>4938</v>
      </c>
      <c r="D78" t="s">
        <v>3707</v>
      </c>
      <c r="E78" t="s">
        <v>11217</v>
      </c>
    </row>
    <row r="79" spans="1:5">
      <c r="A79" t="s">
        <v>11214</v>
      </c>
      <c r="B79" t="s">
        <v>11081</v>
      </c>
      <c r="C79" t="s">
        <v>4938</v>
      </c>
      <c r="D79" t="s">
        <v>11217</v>
      </c>
      <c r="E79" t="s">
        <v>11218</v>
      </c>
    </row>
    <row r="80" spans="1:5">
      <c r="A80" t="s">
        <v>11215</v>
      </c>
      <c r="B80" t="s">
        <v>11082</v>
      </c>
      <c r="C80" t="s">
        <v>4938</v>
      </c>
      <c r="D80" t="s">
        <v>11217</v>
      </c>
      <c r="E80" t="s">
        <v>11219</v>
      </c>
    </row>
    <row r="81" spans="1:5">
      <c r="A81" t="s">
        <v>11216</v>
      </c>
      <c r="B81" t="s">
        <v>11083</v>
      </c>
      <c r="C81" t="s">
        <v>4938</v>
      </c>
      <c r="D81" t="s">
        <v>11217</v>
      </c>
      <c r="E81" t="s">
        <v>11220</v>
      </c>
    </row>
    <row r="82" spans="1:5">
      <c r="A82" t="s">
        <v>11217</v>
      </c>
      <c r="B82" t="s">
        <v>11084</v>
      </c>
      <c r="C82" t="s">
        <v>4938</v>
      </c>
      <c r="D82" t="s">
        <v>11217</v>
      </c>
      <c r="E82" t="s">
        <v>11221</v>
      </c>
    </row>
    <row r="83" spans="1:5">
      <c r="A83" t="s">
        <v>11218</v>
      </c>
      <c r="B83" t="s">
        <v>11085</v>
      </c>
      <c r="C83" t="s">
        <v>4938</v>
      </c>
      <c r="D83" t="s">
        <v>11217</v>
      </c>
      <c r="E83" t="s">
        <v>11222</v>
      </c>
    </row>
    <row r="84" spans="1:5">
      <c r="A84" t="s">
        <v>11219</v>
      </c>
      <c r="B84" t="s">
        <v>11086</v>
      </c>
      <c r="C84" t="s">
        <v>4938</v>
      </c>
      <c r="D84" t="s">
        <v>11217</v>
      </c>
      <c r="E84" t="s">
        <v>11223</v>
      </c>
    </row>
    <row r="85" spans="1:5">
      <c r="A85" t="s">
        <v>11220</v>
      </c>
      <c r="B85" t="s">
        <v>11087</v>
      </c>
      <c r="C85" t="s">
        <v>4938</v>
      </c>
      <c r="D85" t="s">
        <v>11217</v>
      </c>
      <c r="E85" t="s">
        <v>11224</v>
      </c>
    </row>
    <row r="86" spans="1:5">
      <c r="A86" t="s">
        <v>11221</v>
      </c>
      <c r="B86" t="s">
        <v>11088</v>
      </c>
      <c r="C86" t="s">
        <v>4938</v>
      </c>
      <c r="D86" t="s">
        <v>11217</v>
      </c>
      <c r="E86" t="s">
        <v>11225</v>
      </c>
    </row>
    <row r="87" spans="1:5">
      <c r="A87" t="s">
        <v>11222</v>
      </c>
      <c r="B87" t="s">
        <v>11089</v>
      </c>
      <c r="C87" t="s">
        <v>4938</v>
      </c>
      <c r="D87" t="s">
        <v>11217</v>
      </c>
      <c r="E87" t="s">
        <v>11226</v>
      </c>
    </row>
    <row r="88" spans="1:5">
      <c r="A88" t="s">
        <v>11223</v>
      </c>
      <c r="B88" t="s">
        <v>11090</v>
      </c>
      <c r="C88" t="s">
        <v>4938</v>
      </c>
      <c r="D88" t="s">
        <v>3707</v>
      </c>
      <c r="E88" t="s">
        <v>11227</v>
      </c>
    </row>
    <row r="89" spans="1:5">
      <c r="A89" t="s">
        <v>11224</v>
      </c>
      <c r="B89" t="s">
        <v>11091</v>
      </c>
      <c r="C89" t="s">
        <v>4938</v>
      </c>
      <c r="D89" t="s">
        <v>11227</v>
      </c>
      <c r="E89" t="s">
        <v>11228</v>
      </c>
    </row>
    <row r="90" spans="1:5">
      <c r="A90" t="s">
        <v>11225</v>
      </c>
      <c r="B90" t="s">
        <v>11092</v>
      </c>
      <c r="C90" t="s">
        <v>4938</v>
      </c>
      <c r="D90" t="s">
        <v>11227</v>
      </c>
      <c r="E90" t="s">
        <v>11229</v>
      </c>
    </row>
    <row r="91" spans="1:5">
      <c r="A91" t="s">
        <v>11226</v>
      </c>
      <c r="B91" t="s">
        <v>11093</v>
      </c>
      <c r="C91" t="s">
        <v>4938</v>
      </c>
      <c r="D91" t="s">
        <v>11227</v>
      </c>
      <c r="E91" t="s">
        <v>11230</v>
      </c>
    </row>
    <row r="92" spans="1:5">
      <c r="A92" t="s">
        <v>11227</v>
      </c>
      <c r="B92" t="s">
        <v>11094</v>
      </c>
      <c r="C92" t="s">
        <v>4938</v>
      </c>
      <c r="D92" t="s">
        <v>11227</v>
      </c>
      <c r="E92" t="s">
        <v>11231</v>
      </c>
    </row>
    <row r="93" spans="1:5">
      <c r="A93" t="s">
        <v>11228</v>
      </c>
      <c r="B93" t="s">
        <v>11095</v>
      </c>
      <c r="C93" t="s">
        <v>4938</v>
      </c>
      <c r="D93" t="s">
        <v>11227</v>
      </c>
      <c r="E93" t="s">
        <v>11232</v>
      </c>
    </row>
    <row r="94" spans="1:5">
      <c r="A94" t="s">
        <v>11229</v>
      </c>
      <c r="B94" t="s">
        <v>11096</v>
      </c>
      <c r="C94" t="s">
        <v>4938</v>
      </c>
      <c r="D94" t="s">
        <v>11227</v>
      </c>
      <c r="E94" t="s">
        <v>11233</v>
      </c>
    </row>
    <row r="95" spans="1:5">
      <c r="A95" t="s">
        <v>11230</v>
      </c>
      <c r="B95" t="s">
        <v>11097</v>
      </c>
      <c r="C95" t="s">
        <v>4938</v>
      </c>
      <c r="D95" t="s">
        <v>3707</v>
      </c>
      <c r="E95" t="s">
        <v>11234</v>
      </c>
    </row>
    <row r="96" spans="1:5">
      <c r="A96" t="s">
        <v>11231</v>
      </c>
      <c r="B96" t="s">
        <v>11098</v>
      </c>
      <c r="C96" t="s">
        <v>4938</v>
      </c>
      <c r="D96" t="s">
        <v>11234</v>
      </c>
      <c r="E96" t="s">
        <v>11235</v>
      </c>
    </row>
    <row r="97" spans="1:5">
      <c r="A97" t="s">
        <v>11232</v>
      </c>
      <c r="B97" t="s">
        <v>11099</v>
      </c>
      <c r="C97" t="s">
        <v>4938</v>
      </c>
      <c r="D97" t="s">
        <v>11234</v>
      </c>
      <c r="E97" t="s">
        <v>11236</v>
      </c>
    </row>
    <row r="98" spans="1:5">
      <c r="A98" t="s">
        <v>11233</v>
      </c>
      <c r="B98" t="s">
        <v>11100</v>
      </c>
      <c r="C98" t="s">
        <v>4938</v>
      </c>
      <c r="D98" t="s">
        <v>11234</v>
      </c>
      <c r="E98" t="s">
        <v>11237</v>
      </c>
    </row>
    <row r="99" spans="1:5">
      <c r="A99" t="s">
        <v>11234</v>
      </c>
      <c r="B99" t="s">
        <v>11101</v>
      </c>
      <c r="C99" t="s">
        <v>4938</v>
      </c>
      <c r="D99" t="s">
        <v>11234</v>
      </c>
      <c r="E99" t="s">
        <v>11238</v>
      </c>
    </row>
    <row r="100" spans="1:5">
      <c r="A100" t="s">
        <v>11235</v>
      </c>
      <c r="B100" t="s">
        <v>11102</v>
      </c>
      <c r="C100" t="s">
        <v>4938</v>
      </c>
      <c r="D100" t="s">
        <v>11234</v>
      </c>
      <c r="E100" t="s">
        <v>11239</v>
      </c>
    </row>
    <row r="101" spans="1:5">
      <c r="A101" t="s">
        <v>11236</v>
      </c>
      <c r="B101" t="s">
        <v>11103</v>
      </c>
      <c r="C101" t="s">
        <v>4938</v>
      </c>
      <c r="D101" t="s">
        <v>11234</v>
      </c>
      <c r="E101" t="s">
        <v>11240</v>
      </c>
    </row>
    <row r="102" spans="1:5">
      <c r="A102" t="s">
        <v>11237</v>
      </c>
      <c r="B102" t="s">
        <v>11104</v>
      </c>
      <c r="C102" t="s">
        <v>4938</v>
      </c>
      <c r="D102" t="s">
        <v>3707</v>
      </c>
      <c r="E102" t="s">
        <v>11241</v>
      </c>
    </row>
    <row r="103" spans="1:5">
      <c r="A103" t="s">
        <v>11238</v>
      </c>
      <c r="B103" t="s">
        <v>11105</v>
      </c>
      <c r="C103" t="s">
        <v>4938</v>
      </c>
      <c r="D103" t="s">
        <v>11241</v>
      </c>
      <c r="E103" t="s">
        <v>11242</v>
      </c>
    </row>
    <row r="104" spans="1:5">
      <c r="A104" t="s">
        <v>11239</v>
      </c>
      <c r="B104" t="s">
        <v>11106</v>
      </c>
      <c r="C104" t="s">
        <v>4938</v>
      </c>
      <c r="D104" t="s">
        <v>11241</v>
      </c>
      <c r="E104" t="s">
        <v>11243</v>
      </c>
    </row>
    <row r="105" spans="1:5">
      <c r="A105" t="s">
        <v>11240</v>
      </c>
      <c r="B105" t="s">
        <v>11107</v>
      </c>
      <c r="C105" t="s">
        <v>4938</v>
      </c>
      <c r="D105" t="s">
        <v>11241</v>
      </c>
      <c r="E105" t="s">
        <v>11244</v>
      </c>
    </row>
    <row r="106" spans="1:5">
      <c r="A106" t="s">
        <v>11241</v>
      </c>
      <c r="B106" t="s">
        <v>11108</v>
      </c>
      <c r="C106" t="s">
        <v>4938</v>
      </c>
      <c r="D106" t="s">
        <v>11241</v>
      </c>
      <c r="E106" t="s">
        <v>11245</v>
      </c>
    </row>
    <row r="107" spans="1:5">
      <c r="A107" t="s">
        <v>11242</v>
      </c>
      <c r="B107" t="s">
        <v>11109</v>
      </c>
      <c r="C107" t="s">
        <v>4938</v>
      </c>
      <c r="D107" t="s">
        <v>11241</v>
      </c>
      <c r="E107" t="s">
        <v>11246</v>
      </c>
    </row>
    <row r="108" spans="1:5">
      <c r="A108" t="s">
        <v>11243</v>
      </c>
      <c r="B108" t="s">
        <v>11110</v>
      </c>
      <c r="C108" t="s">
        <v>4938</v>
      </c>
      <c r="D108" t="s">
        <v>5284</v>
      </c>
      <c r="E108" t="s">
        <v>11247</v>
      </c>
    </row>
    <row r="109" spans="1:5">
      <c r="A109" t="s">
        <v>11244</v>
      </c>
      <c r="B109" t="s">
        <v>11111</v>
      </c>
      <c r="C109" t="s">
        <v>4938</v>
      </c>
      <c r="D109" t="s">
        <v>11247</v>
      </c>
      <c r="E109" t="s">
        <v>11248</v>
      </c>
    </row>
    <row r="110" spans="1:5">
      <c r="A110" t="s">
        <v>11245</v>
      </c>
      <c r="B110" t="s">
        <v>11112</v>
      </c>
      <c r="C110" t="s">
        <v>4938</v>
      </c>
      <c r="D110" t="s">
        <v>11247</v>
      </c>
      <c r="E110" t="s">
        <v>11249</v>
      </c>
    </row>
    <row r="111" spans="1:5">
      <c r="A111" t="s">
        <v>11246</v>
      </c>
      <c r="B111" t="s">
        <v>11113</v>
      </c>
      <c r="C111" t="s">
        <v>4938</v>
      </c>
      <c r="D111" t="s">
        <v>11247</v>
      </c>
      <c r="E111" t="s">
        <v>11250</v>
      </c>
    </row>
    <row r="112" spans="1:5">
      <c r="A112" t="s">
        <v>11247</v>
      </c>
      <c r="B112" t="s">
        <v>11114</v>
      </c>
      <c r="C112" t="s">
        <v>4938</v>
      </c>
      <c r="D112" t="s">
        <v>5284</v>
      </c>
      <c r="E112" t="s">
        <v>11251</v>
      </c>
    </row>
    <row r="113" spans="1:5">
      <c r="A113" t="s">
        <v>11248</v>
      </c>
      <c r="B113" t="s">
        <v>11115</v>
      </c>
      <c r="C113" t="s">
        <v>4938</v>
      </c>
      <c r="D113" t="s">
        <v>11251</v>
      </c>
      <c r="E113" t="s">
        <v>11252</v>
      </c>
    </row>
    <row r="114" spans="1:5">
      <c r="A114" t="s">
        <v>11249</v>
      </c>
      <c r="B114" t="s">
        <v>11116</v>
      </c>
      <c r="C114" t="s">
        <v>4938</v>
      </c>
      <c r="D114" t="s">
        <v>5284</v>
      </c>
      <c r="E114" t="s">
        <v>11253</v>
      </c>
    </row>
    <row r="115" spans="1:5">
      <c r="A115" t="s">
        <v>11250</v>
      </c>
      <c r="B115" t="s">
        <v>11117</v>
      </c>
      <c r="C115" t="s">
        <v>4938</v>
      </c>
      <c r="D115" t="s">
        <v>11253</v>
      </c>
      <c r="E115" t="s">
        <v>11254</v>
      </c>
    </row>
    <row r="116" spans="1:5">
      <c r="A116" t="s">
        <v>11251</v>
      </c>
      <c r="B116" t="s">
        <v>11118</v>
      </c>
      <c r="C116" t="s">
        <v>4938</v>
      </c>
      <c r="D116" t="s">
        <v>5278</v>
      </c>
      <c r="E116" t="s">
        <v>11255</v>
      </c>
    </row>
    <row r="117" spans="1:5">
      <c r="A117" t="s">
        <v>11252</v>
      </c>
      <c r="B117" t="s">
        <v>11119</v>
      </c>
      <c r="C117" t="s">
        <v>4938</v>
      </c>
      <c r="D117" t="s">
        <v>5284</v>
      </c>
      <c r="E117" t="s">
        <v>11256</v>
      </c>
    </row>
    <row r="118" spans="1:5">
      <c r="A118" t="s">
        <v>11253</v>
      </c>
      <c r="B118" t="s">
        <v>11120</v>
      </c>
      <c r="C118" t="s">
        <v>4938</v>
      </c>
      <c r="D118" t="s">
        <v>5278</v>
      </c>
      <c r="E118" t="s">
        <v>11257</v>
      </c>
    </row>
    <row r="119" spans="1:5">
      <c r="A119" t="s">
        <v>11254</v>
      </c>
      <c r="B119" t="s">
        <v>11121</v>
      </c>
      <c r="C119" t="s">
        <v>4938</v>
      </c>
    </row>
    <row r="120" spans="1:5">
      <c r="A120" t="s">
        <v>11255</v>
      </c>
      <c r="B120" t="s">
        <v>11122</v>
      </c>
      <c r="C120" t="s">
        <v>4938</v>
      </c>
    </row>
    <row r="121" spans="1:5">
      <c r="A121" t="s">
        <v>11256</v>
      </c>
      <c r="B121" t="s">
        <v>11123</v>
      </c>
      <c r="C121" t="s">
        <v>4938</v>
      </c>
    </row>
    <row r="122" spans="1:5">
      <c r="A122" t="s">
        <v>11257</v>
      </c>
      <c r="B122" t="s">
        <v>11124</v>
      </c>
      <c r="C122" t="s">
        <v>4938</v>
      </c>
    </row>
    <row r="123" spans="1:5">
      <c r="A123" t="s">
        <v>6342</v>
      </c>
      <c r="B123" t="s">
        <v>11185</v>
      </c>
      <c r="C123" t="s">
        <v>4938</v>
      </c>
    </row>
    <row r="124" spans="1:5">
      <c r="A124" t="s">
        <v>6306</v>
      </c>
      <c r="B124" t="s">
        <v>11182</v>
      </c>
      <c r="C124" t="s">
        <v>4938</v>
      </c>
    </row>
    <row r="125" spans="1:5">
      <c r="A125" t="s">
        <v>6344</v>
      </c>
      <c r="B125" t="s">
        <v>11184</v>
      </c>
      <c r="C125" t="s">
        <v>4938</v>
      </c>
    </row>
    <row r="126" spans="1:5">
      <c r="A126" t="s">
        <v>5284</v>
      </c>
      <c r="B126" t="s">
        <v>11183</v>
      </c>
      <c r="C126" t="s">
        <v>4938</v>
      </c>
    </row>
    <row r="127" spans="1:5">
      <c r="A127" t="s">
        <v>6389</v>
      </c>
      <c r="B127" t="s">
        <v>11186</v>
      </c>
      <c r="C127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A7452-843A-4FF3-9E5A-6B9950B22384}">
  <dimension ref="A1:O590"/>
  <sheetViews>
    <sheetView topLeftCell="A16" workbookViewId="0">
      <selection activeCell="M1" sqref="L1:M303"/>
    </sheetView>
  </sheetViews>
  <sheetFormatPr defaultRowHeight="15"/>
  <cols>
    <col min="1" max="1" width="11.28515625" bestFit="1" customWidth="1"/>
    <col min="2" max="2" width="40.5703125" bestFit="1" customWidth="1"/>
    <col min="10" max="10" width="11.28515625" bestFit="1" customWidth="1"/>
    <col min="12" max="12" width="20.85546875" customWidth="1"/>
    <col min="13" max="13" width="46.42578125" bestFit="1" customWidth="1"/>
  </cols>
  <sheetData>
    <row r="1" spans="1:15">
      <c r="A1">
        <v>1000</v>
      </c>
      <c r="I1">
        <v>1000</v>
      </c>
      <c r="L1">
        <v>1000</v>
      </c>
      <c r="M1" t="s">
        <v>11487</v>
      </c>
    </row>
    <row r="2" spans="1:15">
      <c r="A2" t="s">
        <v>9903</v>
      </c>
      <c r="B2" t="s">
        <v>9900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9035</v>
      </c>
      <c r="J2" t="s">
        <v>9903</v>
      </c>
      <c r="L2" t="s">
        <v>9890</v>
      </c>
      <c r="M2" t="s">
        <v>5416</v>
      </c>
      <c r="O2" t="str">
        <f>LEFT(L2,10)</f>
        <v>H000005100</v>
      </c>
    </row>
    <row r="3" spans="1:15">
      <c r="A3" t="s">
        <v>9904</v>
      </c>
      <c r="B3" t="s">
        <v>9901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9035</v>
      </c>
      <c r="J3" t="s">
        <v>9904</v>
      </c>
      <c r="L3" t="s">
        <v>9889</v>
      </c>
      <c r="M3" t="s">
        <v>5419</v>
      </c>
      <c r="O3" t="str">
        <f t="shared" ref="O3:O66" si="0">LEFT(L3,10)</f>
        <v>H000005099</v>
      </c>
    </row>
    <row r="4" spans="1:15">
      <c r="A4" t="s">
        <v>9920</v>
      </c>
      <c r="B4" t="s">
        <v>9908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9421</v>
      </c>
      <c r="J4" t="s">
        <v>9920</v>
      </c>
      <c r="L4" t="s">
        <v>275</v>
      </c>
      <c r="M4" t="s">
        <v>9897</v>
      </c>
      <c r="O4" t="str">
        <f t="shared" si="0"/>
        <v>O000000009</v>
      </c>
    </row>
    <row r="5" spans="1:15">
      <c r="A5" t="s">
        <v>9919</v>
      </c>
      <c r="B5" t="s">
        <v>9909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9421</v>
      </c>
      <c r="J5" t="s">
        <v>9919</v>
      </c>
      <c r="L5" t="s">
        <v>275</v>
      </c>
      <c r="M5" t="s">
        <v>9898</v>
      </c>
      <c r="O5" t="str">
        <f t="shared" si="0"/>
        <v>O000000009</v>
      </c>
    </row>
    <row r="6" spans="1:15">
      <c r="A6" t="s">
        <v>9918</v>
      </c>
      <c r="B6" t="s">
        <v>9910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9421</v>
      </c>
      <c r="J6" t="s">
        <v>9918</v>
      </c>
      <c r="L6" t="s">
        <v>9920</v>
      </c>
      <c r="M6" t="s">
        <v>9423</v>
      </c>
      <c r="O6" t="str">
        <f t="shared" si="0"/>
        <v>H000005111</v>
      </c>
    </row>
    <row r="7" spans="1:15">
      <c r="A7" t="s">
        <v>6098</v>
      </c>
      <c r="B7" t="s">
        <v>9911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4367</v>
      </c>
      <c r="J7" t="s">
        <v>9995</v>
      </c>
      <c r="L7" t="s">
        <v>9920</v>
      </c>
      <c r="M7" t="s">
        <v>4742</v>
      </c>
      <c r="O7" t="str">
        <f t="shared" si="0"/>
        <v>H000005111</v>
      </c>
    </row>
    <row r="8" spans="1:15">
      <c r="A8" t="s">
        <v>9422</v>
      </c>
      <c r="B8" t="s">
        <v>9912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  <c r="I8" t="s">
        <v>2433</v>
      </c>
      <c r="J8" t="s">
        <v>9997</v>
      </c>
      <c r="L8" t="s">
        <v>9919</v>
      </c>
      <c r="M8" t="s">
        <v>9424</v>
      </c>
      <c r="O8" t="str">
        <f t="shared" si="0"/>
        <v>H000005112</v>
      </c>
    </row>
    <row r="9" spans="1:15">
      <c r="A9" t="s">
        <v>9659</v>
      </c>
      <c r="B9" t="s">
        <v>9916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  <c r="I9" t="s">
        <v>2433</v>
      </c>
      <c r="J9" t="s">
        <v>9998</v>
      </c>
      <c r="L9" t="s">
        <v>9919</v>
      </c>
      <c r="M9" t="s">
        <v>9913</v>
      </c>
      <c r="O9" t="str">
        <f t="shared" si="0"/>
        <v>H000005112</v>
      </c>
    </row>
    <row r="10" spans="1:15">
      <c r="A10" t="s">
        <v>9660</v>
      </c>
      <c r="B10" t="s">
        <v>9917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  <c r="I10" t="s">
        <v>2688</v>
      </c>
      <c r="J10" t="s">
        <v>9999</v>
      </c>
      <c r="L10" t="s">
        <v>9918</v>
      </c>
      <c r="M10" t="s">
        <v>4753</v>
      </c>
      <c r="O10" t="str">
        <f t="shared" si="0"/>
        <v>H000005113</v>
      </c>
    </row>
    <row r="11" spans="1:15">
      <c r="A11" t="s">
        <v>9995</v>
      </c>
      <c r="B11" t="s">
        <v>9936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  <c r="I11" t="s">
        <v>8771</v>
      </c>
      <c r="J11" t="s">
        <v>10000</v>
      </c>
      <c r="L11" t="s">
        <v>9421</v>
      </c>
      <c r="M11" t="s">
        <v>9914</v>
      </c>
      <c r="O11" t="str">
        <f t="shared" si="0"/>
        <v>H000004956</v>
      </c>
    </row>
    <row r="12" spans="1:15">
      <c r="A12" t="s">
        <v>9997</v>
      </c>
      <c r="B12" t="s">
        <v>9937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  <c r="I12" t="s">
        <v>8772</v>
      </c>
      <c r="J12" t="s">
        <v>10001</v>
      </c>
      <c r="L12" t="s">
        <v>6118</v>
      </c>
      <c r="M12" t="s">
        <v>6652</v>
      </c>
      <c r="O12" t="str">
        <f t="shared" si="0"/>
        <v>H000000000</v>
      </c>
    </row>
    <row r="13" spans="1:15">
      <c r="A13" t="s">
        <v>9998</v>
      </c>
      <c r="B13" t="s">
        <v>9938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  <c r="I13" t="s">
        <v>2433</v>
      </c>
      <c r="J13" t="s">
        <v>10002</v>
      </c>
      <c r="L13" t="s">
        <v>9618</v>
      </c>
      <c r="M13" t="s">
        <v>9659</v>
      </c>
      <c r="O13" t="str">
        <f t="shared" si="0"/>
        <v>H000000975</v>
      </c>
    </row>
    <row r="14" spans="1:15">
      <c r="A14" t="s">
        <v>9999</v>
      </c>
      <c r="B14" t="s">
        <v>9939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  <c r="I14" t="s">
        <v>8049</v>
      </c>
      <c r="J14" t="s">
        <v>10003</v>
      </c>
      <c r="L14" t="s">
        <v>9618</v>
      </c>
      <c r="M14" t="s">
        <v>9660</v>
      </c>
      <c r="O14" t="str">
        <f t="shared" si="0"/>
        <v>H000000975</v>
      </c>
    </row>
    <row r="15" spans="1:15">
      <c r="A15" t="s">
        <v>10000</v>
      </c>
      <c r="B15" t="s">
        <v>9940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  <c r="I15" t="s">
        <v>2234</v>
      </c>
      <c r="J15" t="s">
        <v>10004</v>
      </c>
      <c r="L15" t="s">
        <v>2433</v>
      </c>
      <c r="M15" t="s">
        <v>9990</v>
      </c>
      <c r="O15" t="str">
        <f t="shared" si="0"/>
        <v>P000000962</v>
      </c>
    </row>
    <row r="16" spans="1:15">
      <c r="A16" t="s">
        <v>10001</v>
      </c>
      <c r="B16" t="s">
        <v>9941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  <c r="I16" t="s">
        <v>4210</v>
      </c>
      <c r="J16" t="s">
        <v>10005</v>
      </c>
      <c r="L16" t="s">
        <v>275</v>
      </c>
      <c r="M16" t="s">
        <v>2445</v>
      </c>
      <c r="O16" t="str">
        <f t="shared" si="0"/>
        <v>O000000009</v>
      </c>
    </row>
    <row r="17" spans="1:15">
      <c r="A17" t="s">
        <v>10002</v>
      </c>
      <c r="B17" t="s">
        <v>9942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  <c r="I17" t="s">
        <v>4210</v>
      </c>
      <c r="J17" t="s">
        <v>10006</v>
      </c>
      <c r="L17" t="s">
        <v>275</v>
      </c>
      <c r="M17" t="s">
        <v>2693</v>
      </c>
      <c r="O17" t="str">
        <f t="shared" si="0"/>
        <v>O000000009</v>
      </c>
    </row>
    <row r="18" spans="1:15">
      <c r="A18" t="s">
        <v>10003</v>
      </c>
      <c r="B18" t="s">
        <v>9943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  <c r="I18" t="s">
        <v>4210</v>
      </c>
      <c r="J18" t="s">
        <v>10007</v>
      </c>
      <c r="L18" t="s">
        <v>275</v>
      </c>
      <c r="M18" t="s">
        <v>9991</v>
      </c>
      <c r="O18" t="str">
        <f t="shared" si="0"/>
        <v>O000000009</v>
      </c>
    </row>
    <row r="19" spans="1:15">
      <c r="A19" t="s">
        <v>10004</v>
      </c>
      <c r="B19" t="s">
        <v>9944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  <c r="I19" t="s">
        <v>4210</v>
      </c>
      <c r="J19" t="s">
        <v>10008</v>
      </c>
      <c r="L19" t="s">
        <v>275</v>
      </c>
      <c r="M19" t="s">
        <v>9992</v>
      </c>
      <c r="O19" t="str">
        <f t="shared" si="0"/>
        <v>O000000009</v>
      </c>
    </row>
    <row r="20" spans="1:15">
      <c r="A20" t="s">
        <v>10005</v>
      </c>
      <c r="B20" t="s">
        <v>9945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  <c r="I20" t="s">
        <v>4433</v>
      </c>
      <c r="J20" t="s">
        <v>10009</v>
      </c>
      <c r="L20" t="s">
        <v>275</v>
      </c>
      <c r="M20" t="s">
        <v>9993</v>
      </c>
      <c r="O20" t="str">
        <f t="shared" si="0"/>
        <v>O000000009</v>
      </c>
    </row>
    <row r="21" spans="1:15">
      <c r="A21" t="s">
        <v>10006</v>
      </c>
      <c r="B21" t="s">
        <v>9946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  <c r="I21" t="s">
        <v>4433</v>
      </c>
      <c r="J21" t="s">
        <v>10010</v>
      </c>
      <c r="L21" t="s">
        <v>275</v>
      </c>
      <c r="M21" t="s">
        <v>2695</v>
      </c>
      <c r="O21" t="str">
        <f t="shared" si="0"/>
        <v>O000000009</v>
      </c>
    </row>
    <row r="22" spans="1:15">
      <c r="A22" t="s">
        <v>10007</v>
      </c>
      <c r="B22" t="s">
        <v>9947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  <c r="I22" t="s">
        <v>4433</v>
      </c>
      <c r="J22" t="s">
        <v>10011</v>
      </c>
      <c r="L22" t="s">
        <v>275</v>
      </c>
      <c r="M22" t="s">
        <v>2697</v>
      </c>
      <c r="O22" t="str">
        <f t="shared" si="0"/>
        <v>O000000009</v>
      </c>
    </row>
    <row r="23" spans="1:15">
      <c r="A23" t="s">
        <v>10008</v>
      </c>
      <c r="B23" t="s">
        <v>9948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  <c r="I23" t="s">
        <v>4433</v>
      </c>
      <c r="J23" t="s">
        <v>10012</v>
      </c>
      <c r="L23" t="s">
        <v>275</v>
      </c>
      <c r="M23" t="s">
        <v>2466</v>
      </c>
      <c r="O23" t="str">
        <f t="shared" si="0"/>
        <v>O000000009</v>
      </c>
    </row>
    <row r="24" spans="1:15">
      <c r="A24" t="s">
        <v>10009</v>
      </c>
      <c r="B24" t="s">
        <v>9949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  <c r="I24" t="s">
        <v>9999</v>
      </c>
      <c r="J24" t="s">
        <v>10013</v>
      </c>
      <c r="L24" t="s">
        <v>275</v>
      </c>
      <c r="M24" t="s">
        <v>2468</v>
      </c>
      <c r="O24" t="str">
        <f t="shared" si="0"/>
        <v>O000000009</v>
      </c>
    </row>
    <row r="25" spans="1:15">
      <c r="A25" t="s">
        <v>10010</v>
      </c>
      <c r="B25" t="s">
        <v>9950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  <c r="I25" t="s">
        <v>9999</v>
      </c>
      <c r="J25" t="s">
        <v>10014</v>
      </c>
      <c r="L25" t="s">
        <v>275</v>
      </c>
      <c r="M25" t="s">
        <v>2470</v>
      </c>
      <c r="O25" t="str">
        <f t="shared" si="0"/>
        <v>O000000009</v>
      </c>
    </row>
    <row r="26" spans="1:15">
      <c r="A26" t="s">
        <v>10011</v>
      </c>
      <c r="B26" t="s">
        <v>9951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  <c r="I26" t="s">
        <v>9999</v>
      </c>
      <c r="J26" t="s">
        <v>10015</v>
      </c>
      <c r="L26" t="s">
        <v>275</v>
      </c>
      <c r="M26" t="s">
        <v>9994</v>
      </c>
      <c r="O26" t="str">
        <f t="shared" si="0"/>
        <v>O000000009</v>
      </c>
    </row>
    <row r="27" spans="1:15">
      <c r="A27" t="s">
        <v>10012</v>
      </c>
      <c r="B27" t="s">
        <v>9952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  <c r="I27" t="s">
        <v>9999</v>
      </c>
      <c r="J27" t="s">
        <v>10016</v>
      </c>
      <c r="L27" t="s">
        <v>275</v>
      </c>
      <c r="M27" t="s">
        <v>4859</v>
      </c>
      <c r="O27" t="str">
        <f t="shared" si="0"/>
        <v>O000000009</v>
      </c>
    </row>
    <row r="28" spans="1:15">
      <c r="A28" t="s">
        <v>10013</v>
      </c>
      <c r="B28" t="s">
        <v>9953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  <c r="I28" t="s">
        <v>9999</v>
      </c>
      <c r="J28" t="s">
        <v>10017</v>
      </c>
      <c r="L28" t="s">
        <v>275</v>
      </c>
      <c r="M28" t="s">
        <v>4867</v>
      </c>
      <c r="O28" t="str">
        <f t="shared" si="0"/>
        <v>O000000009</v>
      </c>
    </row>
    <row r="29" spans="1:15">
      <c r="A29" t="s">
        <v>10014</v>
      </c>
      <c r="B29" t="s">
        <v>9954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  <c r="I29" t="s">
        <v>10000</v>
      </c>
      <c r="J29" t="s">
        <v>10018</v>
      </c>
      <c r="L29" t="s">
        <v>275</v>
      </c>
      <c r="M29" t="s">
        <v>4897</v>
      </c>
      <c r="O29" t="str">
        <f t="shared" si="0"/>
        <v>O000000009</v>
      </c>
    </row>
    <row r="30" spans="1:15">
      <c r="A30" t="s">
        <v>10015</v>
      </c>
      <c r="B30" t="s">
        <v>9955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10000</v>
      </c>
      <c r="J30" t="s">
        <v>10019</v>
      </c>
      <c r="L30" t="s">
        <v>275</v>
      </c>
      <c r="M30" t="s">
        <v>4899</v>
      </c>
      <c r="O30" t="str">
        <f t="shared" si="0"/>
        <v>O000000009</v>
      </c>
    </row>
    <row r="31" spans="1:15">
      <c r="A31" t="s">
        <v>10016</v>
      </c>
      <c r="B31" t="s">
        <v>9956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10000</v>
      </c>
      <c r="J31" t="s">
        <v>10020</v>
      </c>
      <c r="L31" t="s">
        <v>275</v>
      </c>
      <c r="M31" t="s">
        <v>4901</v>
      </c>
      <c r="O31" t="str">
        <f t="shared" si="0"/>
        <v>O000000009</v>
      </c>
    </row>
    <row r="32" spans="1:15">
      <c r="A32" t="s">
        <v>10017</v>
      </c>
      <c r="B32" t="s">
        <v>9957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10000</v>
      </c>
      <c r="J32" t="s">
        <v>10021</v>
      </c>
      <c r="L32" t="s">
        <v>275</v>
      </c>
      <c r="M32" t="s">
        <v>4933</v>
      </c>
      <c r="O32" t="str">
        <f t="shared" si="0"/>
        <v>O000000009</v>
      </c>
    </row>
    <row r="33" spans="1:15">
      <c r="A33" t="s">
        <v>10018</v>
      </c>
      <c r="B33" t="s">
        <v>9958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10000</v>
      </c>
      <c r="J33" t="s">
        <v>10022</v>
      </c>
      <c r="L33" t="s">
        <v>11257</v>
      </c>
      <c r="M33" t="s">
        <v>6644</v>
      </c>
      <c r="O33" t="str">
        <f t="shared" si="0"/>
        <v>G000001562</v>
      </c>
    </row>
    <row r="34" spans="1:15">
      <c r="A34" t="s">
        <v>10019</v>
      </c>
      <c r="B34" t="s">
        <v>9959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10001</v>
      </c>
      <c r="J34" t="s">
        <v>10023</v>
      </c>
      <c r="L34" t="s">
        <v>11256</v>
      </c>
      <c r="M34" t="s">
        <v>6162</v>
      </c>
      <c r="O34" t="str">
        <f t="shared" si="0"/>
        <v>G000001561</v>
      </c>
    </row>
    <row r="35" spans="1:15">
      <c r="A35" t="s">
        <v>10020</v>
      </c>
      <c r="B35" t="s">
        <v>9960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10001</v>
      </c>
      <c r="J35" t="s">
        <v>10024</v>
      </c>
      <c r="L35" t="s">
        <v>275</v>
      </c>
      <c r="M35" t="s">
        <v>11259</v>
      </c>
      <c r="O35" t="str">
        <f t="shared" si="0"/>
        <v>O000000009</v>
      </c>
    </row>
    <row r="36" spans="1:15">
      <c r="A36" t="s">
        <v>10021</v>
      </c>
      <c r="B36" t="s">
        <v>9961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10001</v>
      </c>
      <c r="J36" t="s">
        <v>10025</v>
      </c>
      <c r="L36" t="s">
        <v>275</v>
      </c>
      <c r="M36" t="s">
        <v>11260</v>
      </c>
      <c r="O36" t="str">
        <f t="shared" si="0"/>
        <v>O000000009</v>
      </c>
    </row>
    <row r="37" spans="1:15">
      <c r="A37" t="s">
        <v>10022</v>
      </c>
      <c r="B37" t="s">
        <v>9962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10001</v>
      </c>
      <c r="J37" t="s">
        <v>10026</v>
      </c>
      <c r="L37" t="s">
        <v>275</v>
      </c>
      <c r="M37" t="s">
        <v>11261</v>
      </c>
      <c r="O37" t="str">
        <f t="shared" si="0"/>
        <v>O000000009</v>
      </c>
    </row>
    <row r="38" spans="1:15">
      <c r="A38" t="s">
        <v>10023</v>
      </c>
      <c r="B38" t="s">
        <v>9963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10001</v>
      </c>
      <c r="J38" t="s">
        <v>10027</v>
      </c>
      <c r="L38" t="s">
        <v>275</v>
      </c>
      <c r="M38" t="s">
        <v>11262</v>
      </c>
      <c r="O38" t="str">
        <f t="shared" si="0"/>
        <v>O000000009</v>
      </c>
    </row>
    <row r="39" spans="1:15">
      <c r="A39" t="s">
        <v>10024</v>
      </c>
      <c r="B39" t="s">
        <v>9964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10002</v>
      </c>
      <c r="J39" t="s">
        <v>10028</v>
      </c>
      <c r="L39" t="s">
        <v>275</v>
      </c>
      <c r="M39" t="s">
        <v>11263</v>
      </c>
      <c r="O39" t="str">
        <f t="shared" si="0"/>
        <v>O000000009</v>
      </c>
    </row>
    <row r="40" spans="1:15">
      <c r="A40" t="s">
        <v>10025</v>
      </c>
      <c r="B40" t="s">
        <v>9965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10002</v>
      </c>
      <c r="J40" t="s">
        <v>10029</v>
      </c>
      <c r="L40" t="s">
        <v>275</v>
      </c>
      <c r="M40" t="s">
        <v>11264</v>
      </c>
      <c r="O40" t="str">
        <f t="shared" si="0"/>
        <v>O000000009</v>
      </c>
    </row>
    <row r="41" spans="1:15">
      <c r="A41" t="s">
        <v>10026</v>
      </c>
      <c r="B41" t="s">
        <v>9966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10002</v>
      </c>
      <c r="J41" t="s">
        <v>10030</v>
      </c>
      <c r="L41" t="s">
        <v>275</v>
      </c>
      <c r="M41" t="s">
        <v>11265</v>
      </c>
      <c r="O41" t="str">
        <f t="shared" si="0"/>
        <v>O000000009</v>
      </c>
    </row>
    <row r="42" spans="1:15">
      <c r="A42" t="s">
        <v>10027</v>
      </c>
      <c r="B42" t="s">
        <v>9967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10002</v>
      </c>
      <c r="J42" t="s">
        <v>10031</v>
      </c>
      <c r="L42" t="s">
        <v>275</v>
      </c>
      <c r="M42" t="s">
        <v>11266</v>
      </c>
      <c r="O42" t="str">
        <f t="shared" si="0"/>
        <v>O000000009</v>
      </c>
    </row>
    <row r="43" spans="1:15">
      <c r="A43" t="s">
        <v>10028</v>
      </c>
      <c r="B43" t="s">
        <v>9968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10002</v>
      </c>
      <c r="J43" t="s">
        <v>10032</v>
      </c>
      <c r="L43" t="s">
        <v>275</v>
      </c>
      <c r="M43" t="s">
        <v>11267</v>
      </c>
      <c r="O43" t="str">
        <f t="shared" si="0"/>
        <v>O000000009</v>
      </c>
    </row>
    <row r="44" spans="1:15">
      <c r="A44" t="s">
        <v>10029</v>
      </c>
      <c r="B44" t="s">
        <v>9969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10003</v>
      </c>
      <c r="J44" t="s">
        <v>10033</v>
      </c>
      <c r="L44" t="s">
        <v>275</v>
      </c>
      <c r="M44" t="s">
        <v>11268</v>
      </c>
      <c r="O44" t="str">
        <f t="shared" si="0"/>
        <v>O000000009</v>
      </c>
    </row>
    <row r="45" spans="1:15">
      <c r="A45" t="s">
        <v>10030</v>
      </c>
      <c r="B45" t="s">
        <v>9970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10003</v>
      </c>
      <c r="J45" t="s">
        <v>10034</v>
      </c>
      <c r="L45" t="s">
        <v>275</v>
      </c>
      <c r="M45" t="s">
        <v>11269</v>
      </c>
      <c r="O45" t="str">
        <f t="shared" si="0"/>
        <v>O000000009</v>
      </c>
    </row>
    <row r="46" spans="1:15">
      <c r="A46" t="s">
        <v>10031</v>
      </c>
      <c r="B46" t="s">
        <v>9971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10003</v>
      </c>
      <c r="J46" t="s">
        <v>10035</v>
      </c>
      <c r="L46" t="s">
        <v>275</v>
      </c>
      <c r="M46" t="s">
        <v>11270</v>
      </c>
      <c r="O46" t="str">
        <f t="shared" si="0"/>
        <v>O000000009</v>
      </c>
    </row>
    <row r="47" spans="1:15">
      <c r="A47" t="s">
        <v>10032</v>
      </c>
      <c r="B47" t="s">
        <v>9972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10003</v>
      </c>
      <c r="J47" t="s">
        <v>10036</v>
      </c>
      <c r="L47" t="s">
        <v>275</v>
      </c>
      <c r="M47" t="s">
        <v>7403</v>
      </c>
      <c r="O47" t="str">
        <f t="shared" si="0"/>
        <v>O000000009</v>
      </c>
    </row>
    <row r="48" spans="1:15">
      <c r="A48" t="s">
        <v>10033</v>
      </c>
      <c r="B48" t="s">
        <v>9973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10003</v>
      </c>
      <c r="J48" t="s">
        <v>10037</v>
      </c>
      <c r="L48" t="s">
        <v>275</v>
      </c>
      <c r="M48" t="s">
        <v>7404</v>
      </c>
      <c r="O48" t="str">
        <f t="shared" si="0"/>
        <v>O000000009</v>
      </c>
    </row>
    <row r="49" spans="1:15">
      <c r="A49" t="s">
        <v>10034</v>
      </c>
      <c r="B49" t="s">
        <v>9974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10004</v>
      </c>
      <c r="J49" t="s">
        <v>10038</v>
      </c>
      <c r="L49" t="s">
        <v>275</v>
      </c>
      <c r="M49" t="s">
        <v>7405</v>
      </c>
      <c r="O49" t="str">
        <f t="shared" si="0"/>
        <v>O000000009</v>
      </c>
    </row>
    <row r="50" spans="1:15">
      <c r="A50" t="s">
        <v>10035</v>
      </c>
      <c r="B50" t="s">
        <v>9975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10004</v>
      </c>
      <c r="J50" t="s">
        <v>10039</v>
      </c>
      <c r="L50" t="s">
        <v>275</v>
      </c>
      <c r="M50" t="s">
        <v>11271</v>
      </c>
      <c r="O50" t="str">
        <f t="shared" si="0"/>
        <v>O000000009</v>
      </c>
    </row>
    <row r="51" spans="1:15">
      <c r="A51" t="s">
        <v>10036</v>
      </c>
      <c r="B51" t="s">
        <v>9976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10004</v>
      </c>
      <c r="J51" t="s">
        <v>10040</v>
      </c>
      <c r="L51" t="s">
        <v>275</v>
      </c>
      <c r="M51" t="s">
        <v>11272</v>
      </c>
      <c r="O51" t="str">
        <f t="shared" si="0"/>
        <v>O000000009</v>
      </c>
    </row>
    <row r="52" spans="1:15">
      <c r="A52" t="s">
        <v>10037</v>
      </c>
      <c r="B52" t="s">
        <v>9977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10004</v>
      </c>
      <c r="J52" t="s">
        <v>10041</v>
      </c>
      <c r="L52" t="s">
        <v>275</v>
      </c>
      <c r="M52" t="s">
        <v>11273</v>
      </c>
      <c r="O52" t="str">
        <f t="shared" si="0"/>
        <v>O000000009</v>
      </c>
    </row>
    <row r="53" spans="1:15">
      <c r="A53" t="s">
        <v>10038</v>
      </c>
      <c r="B53" t="s">
        <v>9978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10004</v>
      </c>
      <c r="J53" t="s">
        <v>10042</v>
      </c>
      <c r="L53" t="s">
        <v>275</v>
      </c>
      <c r="M53" t="s">
        <v>11274</v>
      </c>
      <c r="O53" t="str">
        <f t="shared" si="0"/>
        <v>O000000009</v>
      </c>
    </row>
    <row r="54" spans="1:15">
      <c r="A54" t="s">
        <v>10039</v>
      </c>
      <c r="B54" t="s">
        <v>9979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2441</v>
      </c>
      <c r="J54" t="s">
        <v>10043</v>
      </c>
      <c r="L54" t="s">
        <v>275</v>
      </c>
      <c r="M54" t="s">
        <v>11275</v>
      </c>
      <c r="O54" t="str">
        <f t="shared" si="0"/>
        <v>O000000009</v>
      </c>
    </row>
    <row r="55" spans="1:15">
      <c r="A55" t="s">
        <v>10040</v>
      </c>
      <c r="B55" t="s">
        <v>9980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2441</v>
      </c>
      <c r="J55" t="s">
        <v>10044</v>
      </c>
      <c r="L55" t="s">
        <v>275</v>
      </c>
      <c r="M55" t="s">
        <v>11276</v>
      </c>
      <c r="O55" t="str">
        <f t="shared" si="0"/>
        <v>O000000009</v>
      </c>
    </row>
    <row r="56" spans="1:15">
      <c r="A56" t="s">
        <v>10041</v>
      </c>
      <c r="B56" t="s">
        <v>9981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10047</v>
      </c>
      <c r="J56" t="s">
        <v>10060</v>
      </c>
      <c r="L56" t="s">
        <v>275</v>
      </c>
      <c r="M56" t="s">
        <v>11277</v>
      </c>
      <c r="O56" t="str">
        <f t="shared" si="0"/>
        <v>O000000009</v>
      </c>
    </row>
    <row r="57" spans="1:15">
      <c r="A57" t="s">
        <v>10042</v>
      </c>
      <c r="B57" t="s">
        <v>9982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10058</v>
      </c>
      <c r="J57" t="s">
        <v>10061</v>
      </c>
      <c r="L57" t="s">
        <v>275</v>
      </c>
      <c r="M57" t="s">
        <v>11278</v>
      </c>
      <c r="O57" t="str">
        <f t="shared" si="0"/>
        <v>O000000009</v>
      </c>
    </row>
    <row r="58" spans="1:15">
      <c r="A58" t="s">
        <v>10043</v>
      </c>
      <c r="B58" t="s">
        <v>9983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10061</v>
      </c>
      <c r="J58" t="s">
        <v>10062</v>
      </c>
      <c r="L58" t="s">
        <v>275</v>
      </c>
      <c r="M58" t="s">
        <v>11279</v>
      </c>
      <c r="O58" t="str">
        <f t="shared" si="0"/>
        <v>O000000009</v>
      </c>
    </row>
    <row r="59" spans="1:15">
      <c r="A59" t="s">
        <v>10044</v>
      </c>
      <c r="B59" t="s">
        <v>9984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  <c r="I59" t="s">
        <v>10061</v>
      </c>
      <c r="J59" t="s">
        <v>10063</v>
      </c>
      <c r="L59" t="s">
        <v>275</v>
      </c>
      <c r="M59" t="s">
        <v>11280</v>
      </c>
      <c r="O59" t="str">
        <f t="shared" si="0"/>
        <v>O000000009</v>
      </c>
    </row>
    <row r="60" spans="1:15">
      <c r="A60" t="s">
        <v>4210</v>
      </c>
      <c r="B60" t="s">
        <v>9986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  <c r="I60" t="s">
        <v>10061</v>
      </c>
      <c r="J60" t="s">
        <v>10064</v>
      </c>
      <c r="L60" t="s">
        <v>275</v>
      </c>
      <c r="M60" t="s">
        <v>11281</v>
      </c>
      <c r="O60" t="str">
        <f t="shared" si="0"/>
        <v>O000000009</v>
      </c>
    </row>
    <row r="61" spans="1:15">
      <c r="A61" t="s">
        <v>4216</v>
      </c>
      <c r="B61" t="s">
        <v>9987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  <c r="I61" t="s">
        <v>1115</v>
      </c>
      <c r="J61" t="s">
        <v>10452</v>
      </c>
      <c r="L61" t="s">
        <v>275</v>
      </c>
      <c r="M61" t="s">
        <v>7412</v>
      </c>
      <c r="O61" t="str">
        <f t="shared" si="0"/>
        <v>O000000009</v>
      </c>
    </row>
    <row r="62" spans="1:15">
      <c r="A62" t="s">
        <v>4433</v>
      </c>
      <c r="B62" t="s">
        <v>9988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  <c r="I62" t="s">
        <v>1115</v>
      </c>
      <c r="J62" t="s">
        <v>10453</v>
      </c>
      <c r="L62" t="s">
        <v>275</v>
      </c>
      <c r="M62" t="s">
        <v>7414</v>
      </c>
      <c r="O62" t="str">
        <f t="shared" si="0"/>
        <v>O000000009</v>
      </c>
    </row>
    <row r="63" spans="1:15">
      <c r="A63" t="s">
        <v>9985</v>
      </c>
      <c r="B63" t="s">
        <v>9989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  <c r="I63" t="s">
        <v>1115</v>
      </c>
      <c r="J63" t="s">
        <v>10454</v>
      </c>
      <c r="L63" t="s">
        <v>275</v>
      </c>
      <c r="M63" t="s">
        <v>7415</v>
      </c>
      <c r="O63" t="str">
        <f t="shared" si="0"/>
        <v>O000000009</v>
      </c>
    </row>
    <row r="64" spans="1:15">
      <c r="A64" t="s">
        <v>10060</v>
      </c>
      <c r="B64" t="s">
        <v>10046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  <c r="I64" t="s">
        <v>1115</v>
      </c>
      <c r="J64" t="s">
        <v>10455</v>
      </c>
      <c r="L64" t="s">
        <v>275</v>
      </c>
      <c r="M64" t="s">
        <v>7416</v>
      </c>
      <c r="O64" t="str">
        <f t="shared" si="0"/>
        <v>O000000009</v>
      </c>
    </row>
    <row r="65" spans="1:15">
      <c r="A65" t="s">
        <v>10061</v>
      </c>
      <c r="B65" t="s">
        <v>10054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  <c r="I65" t="s">
        <v>1115</v>
      </c>
      <c r="J65" t="s">
        <v>10456</v>
      </c>
      <c r="L65" t="s">
        <v>275</v>
      </c>
      <c r="M65" t="s">
        <v>7417</v>
      </c>
      <c r="O65" t="str">
        <f t="shared" si="0"/>
        <v>O000000009</v>
      </c>
    </row>
    <row r="66" spans="1:15">
      <c r="A66" t="s">
        <v>10062</v>
      </c>
      <c r="B66" t="s">
        <v>10055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  <c r="I66" t="s">
        <v>1115</v>
      </c>
      <c r="J66" t="s">
        <v>10457</v>
      </c>
      <c r="L66" t="s">
        <v>275</v>
      </c>
      <c r="M66" t="s">
        <v>7418</v>
      </c>
      <c r="O66" t="str">
        <f t="shared" si="0"/>
        <v>O000000009</v>
      </c>
    </row>
    <row r="67" spans="1:15">
      <c r="A67" t="s">
        <v>10063</v>
      </c>
      <c r="B67" t="s">
        <v>10056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  <c r="I67" t="s">
        <v>1115</v>
      </c>
      <c r="J67" t="s">
        <v>10458</v>
      </c>
      <c r="L67" t="s">
        <v>275</v>
      </c>
      <c r="M67" t="s">
        <v>7419</v>
      </c>
      <c r="O67" t="str">
        <f t="shared" ref="O67:O130" si="1">LEFT(L67,10)</f>
        <v>O000000009</v>
      </c>
    </row>
    <row r="68" spans="1:15">
      <c r="A68" t="s">
        <v>10064</v>
      </c>
      <c r="B68" t="s">
        <v>10057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  <c r="I68" t="s">
        <v>1115</v>
      </c>
      <c r="J68" t="s">
        <v>10459</v>
      </c>
      <c r="L68" t="s">
        <v>275</v>
      </c>
      <c r="M68" t="s">
        <v>11282</v>
      </c>
      <c r="O68" t="str">
        <f t="shared" si="1"/>
        <v>O000000009</v>
      </c>
    </row>
    <row r="69" spans="1:15">
      <c r="A69" t="s">
        <v>10452</v>
      </c>
      <c r="B69" t="s">
        <v>10219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  <c r="I69" t="s">
        <v>1115</v>
      </c>
      <c r="J69" t="s">
        <v>10460</v>
      </c>
      <c r="L69" t="s">
        <v>275</v>
      </c>
      <c r="M69" t="s">
        <v>11283</v>
      </c>
      <c r="O69" t="str">
        <f t="shared" si="1"/>
        <v>O000000009</v>
      </c>
    </row>
    <row r="70" spans="1:15">
      <c r="A70" t="s">
        <v>10453</v>
      </c>
      <c r="B70" t="s">
        <v>10221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  <c r="I70" t="s">
        <v>1115</v>
      </c>
      <c r="J70" t="s">
        <v>10461</v>
      </c>
      <c r="L70" t="s">
        <v>275</v>
      </c>
      <c r="M70" t="s">
        <v>11284</v>
      </c>
      <c r="O70" t="str">
        <f t="shared" si="1"/>
        <v>O000000009</v>
      </c>
    </row>
    <row r="71" spans="1:15">
      <c r="A71" t="s">
        <v>10454</v>
      </c>
      <c r="B71" t="s">
        <v>10222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  <c r="I71" t="s">
        <v>1115</v>
      </c>
      <c r="J71" t="s">
        <v>10462</v>
      </c>
      <c r="L71" t="s">
        <v>275</v>
      </c>
      <c r="M71" t="s">
        <v>11285</v>
      </c>
      <c r="O71" t="str">
        <f t="shared" si="1"/>
        <v>O000000009</v>
      </c>
    </row>
    <row r="72" spans="1:15">
      <c r="A72" t="s">
        <v>10455</v>
      </c>
      <c r="B72" t="s">
        <v>10223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  <c r="I72" t="s">
        <v>1115</v>
      </c>
      <c r="J72" t="s">
        <v>10463</v>
      </c>
      <c r="L72" t="s">
        <v>275</v>
      </c>
      <c r="M72" t="s">
        <v>11286</v>
      </c>
      <c r="O72" t="str">
        <f t="shared" si="1"/>
        <v>O000000009</v>
      </c>
    </row>
    <row r="73" spans="1:15">
      <c r="A73" t="s">
        <v>10456</v>
      </c>
      <c r="B73" t="s">
        <v>10224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  <c r="I73" t="s">
        <v>1115</v>
      </c>
      <c r="J73" t="s">
        <v>10464</v>
      </c>
      <c r="L73" t="s">
        <v>275</v>
      </c>
      <c r="M73" t="s">
        <v>11287</v>
      </c>
      <c r="O73" t="str">
        <f t="shared" si="1"/>
        <v>O000000009</v>
      </c>
    </row>
    <row r="74" spans="1:15">
      <c r="A74" t="s">
        <v>10457</v>
      </c>
      <c r="B74" t="s">
        <v>10225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  <c r="I74" t="s">
        <v>1115</v>
      </c>
      <c r="J74" t="s">
        <v>10465</v>
      </c>
      <c r="L74" t="s">
        <v>275</v>
      </c>
      <c r="M74" t="s">
        <v>11288</v>
      </c>
      <c r="O74" t="str">
        <f t="shared" si="1"/>
        <v>O000000009</v>
      </c>
    </row>
    <row r="75" spans="1:15">
      <c r="A75" t="s">
        <v>10458</v>
      </c>
      <c r="B75" t="s">
        <v>10226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  <c r="I75" t="s">
        <v>1115</v>
      </c>
      <c r="J75" t="s">
        <v>10466</v>
      </c>
      <c r="L75" t="s">
        <v>275</v>
      </c>
      <c r="M75" t="s">
        <v>11289</v>
      </c>
      <c r="O75" t="str">
        <f t="shared" si="1"/>
        <v>O000000009</v>
      </c>
    </row>
    <row r="76" spans="1:15">
      <c r="A76" t="s">
        <v>10459</v>
      </c>
      <c r="B76" t="s">
        <v>10227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  <c r="I76" t="s">
        <v>1115</v>
      </c>
      <c r="J76" t="s">
        <v>10467</v>
      </c>
      <c r="L76" t="s">
        <v>275</v>
      </c>
      <c r="M76" t="s">
        <v>11290</v>
      </c>
      <c r="O76" t="str">
        <f t="shared" si="1"/>
        <v>O000000009</v>
      </c>
    </row>
    <row r="77" spans="1:15">
      <c r="A77" t="s">
        <v>10460</v>
      </c>
      <c r="B77" t="s">
        <v>10228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  <c r="I77" t="s">
        <v>1115</v>
      </c>
      <c r="J77" t="s">
        <v>10468</v>
      </c>
      <c r="L77" t="s">
        <v>275</v>
      </c>
      <c r="M77" t="s">
        <v>11291</v>
      </c>
      <c r="O77" t="str">
        <f t="shared" si="1"/>
        <v>O000000009</v>
      </c>
    </row>
    <row r="78" spans="1:15">
      <c r="A78" t="s">
        <v>10461</v>
      </c>
      <c r="B78" t="s">
        <v>10229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  <c r="I78" t="s">
        <v>1115</v>
      </c>
      <c r="J78" t="s">
        <v>10469</v>
      </c>
      <c r="L78" t="s">
        <v>275</v>
      </c>
      <c r="M78" t="s">
        <v>11292</v>
      </c>
      <c r="O78" t="str">
        <f t="shared" si="1"/>
        <v>O000000009</v>
      </c>
    </row>
    <row r="79" spans="1:15">
      <c r="A79" t="s">
        <v>10462</v>
      </c>
      <c r="B79" t="s">
        <v>10230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  <c r="I79" t="s">
        <v>1115</v>
      </c>
      <c r="J79" t="s">
        <v>10470</v>
      </c>
      <c r="L79" t="s">
        <v>275</v>
      </c>
      <c r="M79" t="s">
        <v>11293</v>
      </c>
      <c r="O79" t="str">
        <f t="shared" si="1"/>
        <v>O000000009</v>
      </c>
    </row>
    <row r="80" spans="1:15">
      <c r="A80" t="s">
        <v>10463</v>
      </c>
      <c r="B80" t="s">
        <v>10231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  <c r="I80" t="s">
        <v>1115</v>
      </c>
      <c r="J80" t="s">
        <v>10471</v>
      </c>
      <c r="L80" t="s">
        <v>275</v>
      </c>
      <c r="M80" t="s">
        <v>11294</v>
      </c>
      <c r="O80" t="str">
        <f t="shared" si="1"/>
        <v>O000000009</v>
      </c>
    </row>
    <row r="81" spans="1:15">
      <c r="A81" t="s">
        <v>10464</v>
      </c>
      <c r="B81" t="s">
        <v>10232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  <c r="I81" t="s">
        <v>1115</v>
      </c>
      <c r="J81" t="s">
        <v>10472</v>
      </c>
      <c r="L81" t="s">
        <v>275</v>
      </c>
      <c r="M81" t="s">
        <v>11295</v>
      </c>
      <c r="O81" t="str">
        <f t="shared" si="1"/>
        <v>O000000009</v>
      </c>
    </row>
    <row r="82" spans="1:15">
      <c r="A82" t="s">
        <v>10465</v>
      </c>
      <c r="B82" t="s">
        <v>10233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  <c r="I82" t="s">
        <v>1115</v>
      </c>
      <c r="J82" t="s">
        <v>10473</v>
      </c>
      <c r="L82" t="s">
        <v>275</v>
      </c>
      <c r="M82" t="s">
        <v>11296</v>
      </c>
      <c r="O82" t="str">
        <f t="shared" si="1"/>
        <v>O000000009</v>
      </c>
    </row>
    <row r="83" spans="1:15">
      <c r="A83" t="s">
        <v>10466</v>
      </c>
      <c r="B83" t="s">
        <v>10234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  <c r="I83" t="s">
        <v>1115</v>
      </c>
      <c r="J83" t="s">
        <v>10474</v>
      </c>
      <c r="L83" t="s">
        <v>275</v>
      </c>
      <c r="M83" t="s">
        <v>11297</v>
      </c>
      <c r="O83" t="str">
        <f t="shared" si="1"/>
        <v>O000000009</v>
      </c>
    </row>
    <row r="84" spans="1:15">
      <c r="A84" t="s">
        <v>10467</v>
      </c>
      <c r="B84" t="s">
        <v>10235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  <c r="I84" t="s">
        <v>1115</v>
      </c>
      <c r="J84" t="s">
        <v>10475</v>
      </c>
      <c r="L84" t="s">
        <v>275</v>
      </c>
      <c r="M84" t="s">
        <v>7443</v>
      </c>
      <c r="O84" t="str">
        <f t="shared" si="1"/>
        <v>O000000009</v>
      </c>
    </row>
    <row r="85" spans="1:15">
      <c r="A85" t="s">
        <v>10468</v>
      </c>
      <c r="B85" t="s">
        <v>10236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  <c r="I85" t="s">
        <v>1115</v>
      </c>
      <c r="J85" t="s">
        <v>10476</v>
      </c>
      <c r="L85" t="s">
        <v>275</v>
      </c>
      <c r="M85" t="s">
        <v>7444</v>
      </c>
      <c r="O85" t="str">
        <f t="shared" si="1"/>
        <v>O000000009</v>
      </c>
    </row>
    <row r="86" spans="1:15">
      <c r="A86" t="s">
        <v>10469</v>
      </c>
      <c r="B86" t="s">
        <v>10237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  <c r="I86" t="s">
        <v>1115</v>
      </c>
      <c r="J86" t="s">
        <v>10477</v>
      </c>
      <c r="L86" t="s">
        <v>275</v>
      </c>
      <c r="M86" t="s">
        <v>7445</v>
      </c>
      <c r="O86" t="str">
        <f t="shared" si="1"/>
        <v>O000000009</v>
      </c>
    </row>
    <row r="87" spans="1:15">
      <c r="A87" t="s">
        <v>10470</v>
      </c>
      <c r="B87" t="s">
        <v>10238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  <c r="I87" t="s">
        <v>1115</v>
      </c>
      <c r="J87" t="s">
        <v>10478</v>
      </c>
      <c r="L87" t="s">
        <v>275</v>
      </c>
      <c r="M87" t="s">
        <v>11298</v>
      </c>
      <c r="O87" t="str">
        <f t="shared" si="1"/>
        <v>O000000009</v>
      </c>
    </row>
    <row r="88" spans="1:15">
      <c r="A88" t="s">
        <v>10471</v>
      </c>
      <c r="B88" t="s">
        <v>10239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  <c r="I88" t="s">
        <v>1115</v>
      </c>
      <c r="J88" t="s">
        <v>10479</v>
      </c>
      <c r="L88" t="s">
        <v>275</v>
      </c>
      <c r="M88" t="s">
        <v>11299</v>
      </c>
      <c r="O88" t="str">
        <f t="shared" si="1"/>
        <v>O000000009</v>
      </c>
    </row>
    <row r="89" spans="1:15">
      <c r="A89" t="s">
        <v>10472</v>
      </c>
      <c r="B89" t="s">
        <v>10240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  <c r="I89" t="s">
        <v>1115</v>
      </c>
      <c r="J89" t="s">
        <v>10480</v>
      </c>
      <c r="L89" t="s">
        <v>275</v>
      </c>
      <c r="M89" t="s">
        <v>11300</v>
      </c>
      <c r="O89" t="str">
        <f t="shared" si="1"/>
        <v>O000000009</v>
      </c>
    </row>
    <row r="90" spans="1:15">
      <c r="A90" t="s">
        <v>10473</v>
      </c>
      <c r="B90" t="s">
        <v>10241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  <c r="I90" t="s">
        <v>1115</v>
      </c>
      <c r="J90" t="s">
        <v>10481</v>
      </c>
      <c r="L90" t="s">
        <v>275</v>
      </c>
      <c r="M90" t="s">
        <v>11301</v>
      </c>
      <c r="O90" t="str">
        <f t="shared" si="1"/>
        <v>O000000009</v>
      </c>
    </row>
    <row r="91" spans="1:15">
      <c r="A91" t="s">
        <v>10474</v>
      </c>
      <c r="B91" t="s">
        <v>10242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  <c r="I91" t="s">
        <v>1115</v>
      </c>
      <c r="J91" t="s">
        <v>10482</v>
      </c>
      <c r="L91" t="s">
        <v>275</v>
      </c>
      <c r="M91" t="s">
        <v>11302</v>
      </c>
      <c r="O91" t="str">
        <f t="shared" si="1"/>
        <v>O000000009</v>
      </c>
    </row>
    <row r="92" spans="1:15">
      <c r="A92" t="s">
        <v>10475</v>
      </c>
      <c r="B92" t="s">
        <v>10243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  <c r="I92" t="s">
        <v>1115</v>
      </c>
      <c r="J92" t="s">
        <v>10483</v>
      </c>
      <c r="L92" t="s">
        <v>275</v>
      </c>
      <c r="M92" t="s">
        <v>7452</v>
      </c>
      <c r="O92" t="str">
        <f t="shared" si="1"/>
        <v>O000000009</v>
      </c>
    </row>
    <row r="93" spans="1:15">
      <c r="A93" t="s">
        <v>10476</v>
      </c>
      <c r="B93" t="s">
        <v>10244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  <c r="I93" t="s">
        <v>1115</v>
      </c>
      <c r="J93" t="s">
        <v>10484</v>
      </c>
      <c r="L93" t="s">
        <v>275</v>
      </c>
      <c r="M93" t="s">
        <v>7454</v>
      </c>
      <c r="O93" t="str">
        <f t="shared" si="1"/>
        <v>O000000009</v>
      </c>
    </row>
    <row r="94" spans="1:15">
      <c r="A94" t="s">
        <v>10477</v>
      </c>
      <c r="B94" t="s">
        <v>10245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  <c r="I94" t="s">
        <v>1115</v>
      </c>
      <c r="J94" t="s">
        <v>10485</v>
      </c>
      <c r="L94" t="s">
        <v>275</v>
      </c>
      <c r="M94" t="s">
        <v>7455</v>
      </c>
      <c r="O94" t="str">
        <f t="shared" si="1"/>
        <v>O000000009</v>
      </c>
    </row>
    <row r="95" spans="1:15">
      <c r="A95" t="s">
        <v>10478</v>
      </c>
      <c r="B95" t="s">
        <v>10246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  <c r="I95" t="s">
        <v>1115</v>
      </c>
      <c r="J95" t="s">
        <v>10486</v>
      </c>
      <c r="L95" t="s">
        <v>275</v>
      </c>
      <c r="M95" t="s">
        <v>7456</v>
      </c>
      <c r="O95" t="str">
        <f t="shared" si="1"/>
        <v>O000000009</v>
      </c>
    </row>
    <row r="96" spans="1:15">
      <c r="A96" t="s">
        <v>10479</v>
      </c>
      <c r="B96" t="s">
        <v>10247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  <c r="I96" t="s">
        <v>1115</v>
      </c>
      <c r="J96" t="s">
        <v>10487</v>
      </c>
      <c r="L96" t="s">
        <v>275</v>
      </c>
      <c r="M96" t="s">
        <v>7457</v>
      </c>
      <c r="O96" t="str">
        <f t="shared" si="1"/>
        <v>O000000009</v>
      </c>
    </row>
    <row r="97" spans="1:15">
      <c r="A97" t="s">
        <v>10480</v>
      </c>
      <c r="B97" t="s">
        <v>10248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  <c r="I97" t="s">
        <v>1115</v>
      </c>
      <c r="J97" t="s">
        <v>10488</v>
      </c>
      <c r="L97" t="s">
        <v>275</v>
      </c>
      <c r="M97" t="s">
        <v>7458</v>
      </c>
      <c r="O97" t="str">
        <f t="shared" si="1"/>
        <v>O000000009</v>
      </c>
    </row>
    <row r="98" spans="1:15">
      <c r="A98" t="s">
        <v>10481</v>
      </c>
      <c r="B98" t="s">
        <v>10249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  <c r="I98" t="s">
        <v>1115</v>
      </c>
      <c r="J98" t="s">
        <v>10489</v>
      </c>
      <c r="L98" t="s">
        <v>275</v>
      </c>
      <c r="M98" t="s">
        <v>7459</v>
      </c>
      <c r="O98" t="str">
        <f t="shared" si="1"/>
        <v>O000000009</v>
      </c>
    </row>
    <row r="99" spans="1:15">
      <c r="A99" t="s">
        <v>10482</v>
      </c>
      <c r="B99" t="s">
        <v>10250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  <c r="I99" t="s">
        <v>1115</v>
      </c>
      <c r="J99" t="s">
        <v>10490</v>
      </c>
      <c r="L99" t="s">
        <v>275</v>
      </c>
      <c r="M99" t="s">
        <v>11303</v>
      </c>
      <c r="O99" t="str">
        <f t="shared" si="1"/>
        <v>O000000009</v>
      </c>
    </row>
    <row r="100" spans="1:15">
      <c r="A100" t="s">
        <v>10483</v>
      </c>
      <c r="B100" t="s">
        <v>10251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  <c r="I100" t="s">
        <v>1115</v>
      </c>
      <c r="J100" t="s">
        <v>10491</v>
      </c>
      <c r="L100" t="s">
        <v>275</v>
      </c>
      <c r="M100" t="s">
        <v>11304</v>
      </c>
      <c r="O100" t="str">
        <f t="shared" si="1"/>
        <v>O000000009</v>
      </c>
    </row>
    <row r="101" spans="1:15">
      <c r="A101" t="s">
        <v>10484</v>
      </c>
      <c r="B101" t="s">
        <v>10252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  <c r="I101" t="s">
        <v>1115</v>
      </c>
      <c r="J101" t="s">
        <v>10492</v>
      </c>
      <c r="L101" t="s">
        <v>275</v>
      </c>
      <c r="M101" t="s">
        <v>11305</v>
      </c>
      <c r="O101" t="str">
        <f t="shared" si="1"/>
        <v>O000000009</v>
      </c>
    </row>
    <row r="102" spans="1:15">
      <c r="A102" t="s">
        <v>10485</v>
      </c>
      <c r="B102" t="s">
        <v>10253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  <c r="I102" t="s">
        <v>1115</v>
      </c>
      <c r="J102" t="s">
        <v>10493</v>
      </c>
      <c r="L102" t="s">
        <v>275</v>
      </c>
      <c r="M102" t="s">
        <v>11306</v>
      </c>
      <c r="O102" t="str">
        <f t="shared" si="1"/>
        <v>O000000009</v>
      </c>
    </row>
    <row r="103" spans="1:15">
      <c r="A103" t="s">
        <v>10486</v>
      </c>
      <c r="B103" t="s">
        <v>10254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  <c r="I103" t="s">
        <v>1115</v>
      </c>
      <c r="J103" t="s">
        <v>10494</v>
      </c>
      <c r="L103" t="s">
        <v>275</v>
      </c>
      <c r="M103" t="s">
        <v>11307</v>
      </c>
      <c r="O103" t="str">
        <f t="shared" si="1"/>
        <v>O000000009</v>
      </c>
    </row>
    <row r="104" spans="1:15">
      <c r="A104" t="s">
        <v>10487</v>
      </c>
      <c r="B104" t="s">
        <v>10255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  <c r="I104" t="s">
        <v>1115</v>
      </c>
      <c r="J104" t="s">
        <v>10495</v>
      </c>
      <c r="L104" t="s">
        <v>275</v>
      </c>
      <c r="M104" t="s">
        <v>11308</v>
      </c>
      <c r="O104" t="str">
        <f t="shared" si="1"/>
        <v>O000000009</v>
      </c>
    </row>
    <row r="105" spans="1:15">
      <c r="A105" t="s">
        <v>10488</v>
      </c>
      <c r="B105" t="s">
        <v>10256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  <c r="I105" t="s">
        <v>1115</v>
      </c>
      <c r="J105" t="s">
        <v>10496</v>
      </c>
      <c r="L105" t="s">
        <v>275</v>
      </c>
      <c r="M105" t="s">
        <v>11309</v>
      </c>
      <c r="O105" t="str">
        <f t="shared" si="1"/>
        <v>O000000009</v>
      </c>
    </row>
    <row r="106" spans="1:15">
      <c r="A106" t="s">
        <v>10489</v>
      </c>
      <c r="B106" t="s">
        <v>10257</v>
      </c>
      <c r="C106" t="s">
        <v>4938</v>
      </c>
      <c r="D106" t="s">
        <v>4938</v>
      </c>
      <c r="E106" t="s">
        <v>4938</v>
      </c>
      <c r="F106" t="s">
        <v>4938</v>
      </c>
      <c r="G106" t="s">
        <v>4938</v>
      </c>
      <c r="I106" t="s">
        <v>1115</v>
      </c>
      <c r="J106" t="s">
        <v>10497</v>
      </c>
      <c r="L106" t="s">
        <v>275</v>
      </c>
      <c r="M106" t="s">
        <v>11310</v>
      </c>
      <c r="O106" t="str">
        <f t="shared" si="1"/>
        <v>O000000009</v>
      </c>
    </row>
    <row r="107" spans="1:15">
      <c r="A107" t="s">
        <v>10490</v>
      </c>
      <c r="B107" t="s">
        <v>10258</v>
      </c>
      <c r="C107" t="s">
        <v>4938</v>
      </c>
      <c r="D107" t="s">
        <v>4938</v>
      </c>
      <c r="E107" t="s">
        <v>4938</v>
      </c>
      <c r="F107" t="s">
        <v>4938</v>
      </c>
      <c r="G107" t="s">
        <v>4938</v>
      </c>
      <c r="I107" t="s">
        <v>1115</v>
      </c>
      <c r="J107" t="s">
        <v>10498</v>
      </c>
      <c r="L107" t="s">
        <v>275</v>
      </c>
      <c r="M107" t="s">
        <v>11311</v>
      </c>
      <c r="O107" t="str">
        <f t="shared" si="1"/>
        <v>O000000009</v>
      </c>
    </row>
    <row r="108" spans="1:15">
      <c r="A108" t="s">
        <v>10491</v>
      </c>
      <c r="B108" t="s">
        <v>10259</v>
      </c>
      <c r="C108" t="s">
        <v>4938</v>
      </c>
      <c r="D108" t="s">
        <v>4938</v>
      </c>
      <c r="E108" t="s">
        <v>4938</v>
      </c>
      <c r="F108" t="s">
        <v>4938</v>
      </c>
      <c r="G108" t="s">
        <v>4938</v>
      </c>
      <c r="I108" t="s">
        <v>1115</v>
      </c>
      <c r="J108" t="s">
        <v>10499</v>
      </c>
      <c r="L108" t="s">
        <v>275</v>
      </c>
      <c r="M108" t="s">
        <v>11312</v>
      </c>
      <c r="O108" t="str">
        <f t="shared" si="1"/>
        <v>O000000009</v>
      </c>
    </row>
    <row r="109" spans="1:15">
      <c r="A109" t="s">
        <v>10492</v>
      </c>
      <c r="B109" t="s">
        <v>10260</v>
      </c>
      <c r="C109" t="s">
        <v>4938</v>
      </c>
      <c r="D109" t="s">
        <v>4938</v>
      </c>
      <c r="E109" t="s">
        <v>4938</v>
      </c>
      <c r="F109" t="s">
        <v>4938</v>
      </c>
      <c r="G109" t="s">
        <v>4938</v>
      </c>
      <c r="I109" t="s">
        <v>1115</v>
      </c>
      <c r="J109" t="s">
        <v>10500</v>
      </c>
      <c r="L109" t="s">
        <v>275</v>
      </c>
      <c r="M109" t="s">
        <v>11313</v>
      </c>
      <c r="O109" t="str">
        <f t="shared" si="1"/>
        <v>O000000009</v>
      </c>
    </row>
    <row r="110" spans="1:15">
      <c r="A110" t="s">
        <v>10493</v>
      </c>
      <c r="B110" t="s">
        <v>10261</v>
      </c>
      <c r="C110" t="s">
        <v>4938</v>
      </c>
      <c r="D110" t="s">
        <v>4938</v>
      </c>
      <c r="E110" t="s">
        <v>4938</v>
      </c>
      <c r="F110" t="s">
        <v>4938</v>
      </c>
      <c r="G110" t="s">
        <v>4938</v>
      </c>
      <c r="I110" t="s">
        <v>1115</v>
      </c>
      <c r="J110" t="s">
        <v>10501</v>
      </c>
      <c r="L110" t="s">
        <v>275</v>
      </c>
      <c r="M110" t="s">
        <v>11314</v>
      </c>
      <c r="O110" t="str">
        <f t="shared" si="1"/>
        <v>O000000009</v>
      </c>
    </row>
    <row r="111" spans="1:15">
      <c r="A111" t="s">
        <v>10494</v>
      </c>
      <c r="B111" t="s">
        <v>10262</v>
      </c>
      <c r="C111" t="s">
        <v>4938</v>
      </c>
      <c r="D111" t="s">
        <v>4938</v>
      </c>
      <c r="E111" t="s">
        <v>4938</v>
      </c>
      <c r="F111" t="s">
        <v>4938</v>
      </c>
      <c r="G111" t="s">
        <v>4938</v>
      </c>
      <c r="I111" t="s">
        <v>1115</v>
      </c>
      <c r="J111" t="s">
        <v>10502</v>
      </c>
      <c r="L111" t="s">
        <v>275</v>
      </c>
      <c r="M111" t="s">
        <v>11315</v>
      </c>
      <c r="O111" t="str">
        <f t="shared" si="1"/>
        <v>O000000009</v>
      </c>
    </row>
    <row r="112" spans="1:15">
      <c r="A112" t="s">
        <v>10495</v>
      </c>
      <c r="B112" t="s">
        <v>10263</v>
      </c>
      <c r="C112" t="s">
        <v>4938</v>
      </c>
      <c r="D112" t="s">
        <v>4938</v>
      </c>
      <c r="E112" t="s">
        <v>4938</v>
      </c>
      <c r="F112" t="s">
        <v>4938</v>
      </c>
      <c r="G112" t="s">
        <v>4938</v>
      </c>
      <c r="I112" t="s">
        <v>1115</v>
      </c>
      <c r="J112" t="s">
        <v>10503</v>
      </c>
      <c r="L112" t="s">
        <v>275</v>
      </c>
      <c r="M112" t="s">
        <v>11316</v>
      </c>
      <c r="O112" t="str">
        <f t="shared" si="1"/>
        <v>O000000009</v>
      </c>
    </row>
    <row r="113" spans="1:15">
      <c r="A113" t="s">
        <v>10496</v>
      </c>
      <c r="B113" t="s">
        <v>10264</v>
      </c>
      <c r="C113" t="s">
        <v>4938</v>
      </c>
      <c r="D113" t="s">
        <v>4938</v>
      </c>
      <c r="E113" t="s">
        <v>4938</v>
      </c>
      <c r="F113" t="s">
        <v>4938</v>
      </c>
      <c r="G113" t="s">
        <v>4938</v>
      </c>
      <c r="I113" t="s">
        <v>1115</v>
      </c>
      <c r="J113" t="s">
        <v>10504</v>
      </c>
      <c r="L113" t="s">
        <v>275</v>
      </c>
      <c r="M113" t="s">
        <v>11317</v>
      </c>
      <c r="O113" t="str">
        <f t="shared" si="1"/>
        <v>O000000009</v>
      </c>
    </row>
    <row r="114" spans="1:15">
      <c r="A114" t="s">
        <v>10497</v>
      </c>
      <c r="B114" t="s">
        <v>10265</v>
      </c>
      <c r="C114" t="s">
        <v>4938</v>
      </c>
      <c r="D114" t="s">
        <v>4938</v>
      </c>
      <c r="E114" t="s">
        <v>4938</v>
      </c>
      <c r="F114" t="s">
        <v>4938</v>
      </c>
      <c r="G114" t="s">
        <v>4938</v>
      </c>
      <c r="I114" t="s">
        <v>1115</v>
      </c>
      <c r="J114" t="s">
        <v>10505</v>
      </c>
      <c r="L114" t="s">
        <v>275</v>
      </c>
      <c r="M114" t="s">
        <v>11318</v>
      </c>
      <c r="O114" t="str">
        <f t="shared" si="1"/>
        <v>O000000009</v>
      </c>
    </row>
    <row r="115" spans="1:15">
      <c r="A115" t="s">
        <v>10498</v>
      </c>
      <c r="B115" t="s">
        <v>10266</v>
      </c>
      <c r="C115" t="s">
        <v>4938</v>
      </c>
      <c r="D115" t="s">
        <v>4938</v>
      </c>
      <c r="E115" t="s">
        <v>4938</v>
      </c>
      <c r="F115" t="s">
        <v>4938</v>
      </c>
      <c r="G115" t="s">
        <v>4938</v>
      </c>
      <c r="I115" t="s">
        <v>1115</v>
      </c>
      <c r="J115" t="s">
        <v>10506</v>
      </c>
      <c r="L115" t="s">
        <v>275</v>
      </c>
      <c r="M115" t="s">
        <v>11319</v>
      </c>
      <c r="O115" t="str">
        <f t="shared" si="1"/>
        <v>O000000009</v>
      </c>
    </row>
    <row r="116" spans="1:15">
      <c r="A116" t="s">
        <v>10499</v>
      </c>
      <c r="B116" t="s">
        <v>10267</v>
      </c>
      <c r="C116" t="s">
        <v>4938</v>
      </c>
      <c r="D116" t="s">
        <v>4938</v>
      </c>
      <c r="E116" t="s">
        <v>4938</v>
      </c>
      <c r="F116" t="s">
        <v>4938</v>
      </c>
      <c r="G116" t="s">
        <v>4938</v>
      </c>
      <c r="I116" t="s">
        <v>1115</v>
      </c>
      <c r="J116" t="s">
        <v>10507</v>
      </c>
      <c r="L116" t="s">
        <v>275</v>
      </c>
      <c r="M116" t="s">
        <v>11320</v>
      </c>
      <c r="O116" t="str">
        <f t="shared" si="1"/>
        <v>O000000009</v>
      </c>
    </row>
    <row r="117" spans="1:15">
      <c r="A117" t="s">
        <v>10500</v>
      </c>
      <c r="B117" t="s">
        <v>10268</v>
      </c>
      <c r="C117" t="s">
        <v>4938</v>
      </c>
      <c r="D117" t="s">
        <v>4938</v>
      </c>
      <c r="E117" t="s">
        <v>4938</v>
      </c>
      <c r="F117" t="s">
        <v>4938</v>
      </c>
      <c r="G117" t="s">
        <v>4938</v>
      </c>
      <c r="I117" t="s">
        <v>1115</v>
      </c>
      <c r="J117" t="s">
        <v>10508</v>
      </c>
      <c r="L117" t="s">
        <v>275</v>
      </c>
      <c r="M117" t="s">
        <v>11321</v>
      </c>
      <c r="O117" t="str">
        <f t="shared" si="1"/>
        <v>O000000009</v>
      </c>
    </row>
    <row r="118" spans="1:15">
      <c r="A118" t="s">
        <v>10501</v>
      </c>
      <c r="B118" t="s">
        <v>10269</v>
      </c>
      <c r="C118" t="s">
        <v>4938</v>
      </c>
      <c r="D118" t="s">
        <v>4938</v>
      </c>
      <c r="E118" t="s">
        <v>4938</v>
      </c>
      <c r="F118" t="s">
        <v>4938</v>
      </c>
      <c r="G118" t="s">
        <v>4938</v>
      </c>
      <c r="I118" t="s">
        <v>1115</v>
      </c>
      <c r="J118" t="s">
        <v>10509</v>
      </c>
      <c r="L118" t="s">
        <v>275</v>
      </c>
      <c r="M118" t="s">
        <v>11322</v>
      </c>
      <c r="O118" t="str">
        <f t="shared" si="1"/>
        <v>O000000009</v>
      </c>
    </row>
    <row r="119" spans="1:15">
      <c r="A119" t="s">
        <v>10502</v>
      </c>
      <c r="B119" t="s">
        <v>10270</v>
      </c>
      <c r="C119" t="s">
        <v>4938</v>
      </c>
      <c r="D119" t="s">
        <v>4938</v>
      </c>
      <c r="E119" t="s">
        <v>4938</v>
      </c>
      <c r="F119" t="s">
        <v>4938</v>
      </c>
      <c r="G119" t="s">
        <v>4938</v>
      </c>
      <c r="I119" t="s">
        <v>1115</v>
      </c>
      <c r="J119" t="s">
        <v>10510</v>
      </c>
      <c r="L119" t="s">
        <v>275</v>
      </c>
      <c r="M119" t="s">
        <v>7463</v>
      </c>
      <c r="O119" t="str">
        <f t="shared" si="1"/>
        <v>O000000009</v>
      </c>
    </row>
    <row r="120" spans="1:15">
      <c r="A120" t="s">
        <v>10503</v>
      </c>
      <c r="B120" t="s">
        <v>10271</v>
      </c>
      <c r="C120" t="s">
        <v>4938</v>
      </c>
      <c r="D120" t="s">
        <v>4938</v>
      </c>
      <c r="E120" t="s">
        <v>4938</v>
      </c>
      <c r="F120" t="s">
        <v>4938</v>
      </c>
      <c r="G120" t="s">
        <v>4938</v>
      </c>
      <c r="I120" t="s">
        <v>1115</v>
      </c>
      <c r="J120" t="s">
        <v>10511</v>
      </c>
      <c r="L120" t="s">
        <v>275</v>
      </c>
      <c r="M120" t="s">
        <v>7464</v>
      </c>
      <c r="O120" t="str">
        <f t="shared" si="1"/>
        <v>O000000009</v>
      </c>
    </row>
    <row r="121" spans="1:15">
      <c r="A121" t="s">
        <v>10504</v>
      </c>
      <c r="B121" t="s">
        <v>10272</v>
      </c>
      <c r="C121" t="s">
        <v>4938</v>
      </c>
      <c r="D121" t="s">
        <v>4938</v>
      </c>
      <c r="E121" t="s">
        <v>4938</v>
      </c>
      <c r="F121" t="s">
        <v>4938</v>
      </c>
      <c r="G121" t="s">
        <v>4938</v>
      </c>
      <c r="I121" t="s">
        <v>1115</v>
      </c>
      <c r="J121" t="s">
        <v>10512</v>
      </c>
      <c r="L121" t="s">
        <v>275</v>
      </c>
      <c r="M121" t="s">
        <v>7465</v>
      </c>
      <c r="O121" t="str">
        <f t="shared" si="1"/>
        <v>O000000009</v>
      </c>
    </row>
    <row r="122" spans="1:15">
      <c r="A122" t="s">
        <v>10505</v>
      </c>
      <c r="B122" t="s">
        <v>10273</v>
      </c>
      <c r="C122" t="s">
        <v>4938</v>
      </c>
      <c r="D122" t="s">
        <v>4938</v>
      </c>
      <c r="E122" t="s">
        <v>4938</v>
      </c>
      <c r="F122" t="s">
        <v>4938</v>
      </c>
      <c r="G122" t="s">
        <v>4938</v>
      </c>
      <c r="I122" t="s">
        <v>11483</v>
      </c>
      <c r="J122" t="s">
        <v>10513</v>
      </c>
      <c r="L122" t="s">
        <v>275</v>
      </c>
      <c r="M122" t="s">
        <v>11323</v>
      </c>
      <c r="O122" t="str">
        <f t="shared" si="1"/>
        <v>O000000009</v>
      </c>
    </row>
    <row r="123" spans="1:15">
      <c r="A123" t="s">
        <v>10506</v>
      </c>
      <c r="B123" t="s">
        <v>10274</v>
      </c>
      <c r="C123" t="s">
        <v>4938</v>
      </c>
      <c r="D123" t="s">
        <v>4938</v>
      </c>
      <c r="E123" t="s">
        <v>4938</v>
      </c>
      <c r="F123" t="s">
        <v>4938</v>
      </c>
      <c r="G123" t="s">
        <v>4938</v>
      </c>
      <c r="I123" t="s">
        <v>11483</v>
      </c>
      <c r="J123" t="s">
        <v>10514</v>
      </c>
      <c r="L123" t="s">
        <v>275</v>
      </c>
      <c r="M123" t="s">
        <v>11324</v>
      </c>
      <c r="O123" t="str">
        <f t="shared" si="1"/>
        <v>O000000009</v>
      </c>
    </row>
    <row r="124" spans="1:15">
      <c r="A124" t="s">
        <v>10507</v>
      </c>
      <c r="B124" t="s">
        <v>10275</v>
      </c>
      <c r="C124" t="s">
        <v>4938</v>
      </c>
      <c r="D124" t="s">
        <v>4938</v>
      </c>
      <c r="E124" t="s">
        <v>4938</v>
      </c>
      <c r="F124" t="s">
        <v>4938</v>
      </c>
      <c r="G124" t="s">
        <v>4938</v>
      </c>
      <c r="I124" t="s">
        <v>11483</v>
      </c>
      <c r="J124" t="s">
        <v>10515</v>
      </c>
      <c r="L124" t="s">
        <v>275</v>
      </c>
      <c r="M124" t="s">
        <v>11325</v>
      </c>
      <c r="O124" t="str">
        <f t="shared" si="1"/>
        <v>O000000009</v>
      </c>
    </row>
    <row r="125" spans="1:15">
      <c r="A125" t="s">
        <v>10508</v>
      </c>
      <c r="B125" t="s">
        <v>10276</v>
      </c>
      <c r="C125" t="s">
        <v>4938</v>
      </c>
      <c r="D125" t="s">
        <v>4938</v>
      </c>
      <c r="E125" t="s">
        <v>4938</v>
      </c>
      <c r="F125" t="s">
        <v>4938</v>
      </c>
      <c r="G125" t="s">
        <v>4938</v>
      </c>
      <c r="I125" t="s">
        <v>11483</v>
      </c>
      <c r="J125" t="s">
        <v>10516</v>
      </c>
      <c r="L125" t="s">
        <v>275</v>
      </c>
      <c r="M125" t="s">
        <v>11326</v>
      </c>
      <c r="O125" t="str">
        <f t="shared" si="1"/>
        <v>O000000009</v>
      </c>
    </row>
    <row r="126" spans="1:15">
      <c r="A126" t="s">
        <v>10509</v>
      </c>
      <c r="B126" t="s">
        <v>10277</v>
      </c>
      <c r="C126" t="s">
        <v>4938</v>
      </c>
      <c r="D126" t="s">
        <v>4938</v>
      </c>
      <c r="E126" t="s">
        <v>4938</v>
      </c>
      <c r="F126" t="s">
        <v>4938</v>
      </c>
      <c r="G126" t="s">
        <v>4938</v>
      </c>
      <c r="I126" t="s">
        <v>11483</v>
      </c>
      <c r="J126" t="s">
        <v>10517</v>
      </c>
      <c r="L126" t="s">
        <v>275</v>
      </c>
      <c r="M126" t="s">
        <v>11327</v>
      </c>
      <c r="O126" t="str">
        <f t="shared" si="1"/>
        <v>O000000009</v>
      </c>
    </row>
    <row r="127" spans="1:15">
      <c r="A127" t="s">
        <v>10510</v>
      </c>
      <c r="B127" t="s">
        <v>10278</v>
      </c>
      <c r="C127" t="s">
        <v>4938</v>
      </c>
      <c r="D127" t="s">
        <v>4938</v>
      </c>
      <c r="E127" t="s">
        <v>4938</v>
      </c>
      <c r="F127" t="s">
        <v>4938</v>
      </c>
      <c r="G127" t="s">
        <v>4938</v>
      </c>
      <c r="I127" t="s">
        <v>11483</v>
      </c>
      <c r="J127" t="s">
        <v>10518</v>
      </c>
      <c r="L127" t="s">
        <v>275</v>
      </c>
      <c r="M127" t="s">
        <v>11328</v>
      </c>
      <c r="O127" t="str">
        <f t="shared" si="1"/>
        <v>O000000009</v>
      </c>
    </row>
    <row r="128" spans="1:15">
      <c r="A128" t="s">
        <v>10511</v>
      </c>
      <c r="B128" t="s">
        <v>10279</v>
      </c>
      <c r="C128" t="s">
        <v>4938</v>
      </c>
      <c r="D128" t="s">
        <v>4938</v>
      </c>
      <c r="E128" t="s">
        <v>4938</v>
      </c>
      <c r="F128" t="s">
        <v>4938</v>
      </c>
      <c r="G128" t="s">
        <v>4938</v>
      </c>
      <c r="I128" t="s">
        <v>11483</v>
      </c>
      <c r="J128" t="s">
        <v>10519</v>
      </c>
      <c r="L128" t="s">
        <v>275</v>
      </c>
      <c r="M128" t="s">
        <v>11329</v>
      </c>
      <c r="O128" t="str">
        <f t="shared" si="1"/>
        <v>O000000009</v>
      </c>
    </row>
    <row r="129" spans="1:15">
      <c r="A129" t="s">
        <v>10512</v>
      </c>
      <c r="B129" t="s">
        <v>10280</v>
      </c>
      <c r="C129" t="s">
        <v>4938</v>
      </c>
      <c r="D129" t="s">
        <v>4938</v>
      </c>
      <c r="E129" t="s">
        <v>4938</v>
      </c>
      <c r="F129" t="s">
        <v>4938</v>
      </c>
      <c r="G129" t="s">
        <v>4938</v>
      </c>
      <c r="I129" t="s">
        <v>11483</v>
      </c>
      <c r="J129" t="s">
        <v>10520</v>
      </c>
      <c r="L129" t="s">
        <v>275</v>
      </c>
      <c r="M129" t="s">
        <v>11330</v>
      </c>
      <c r="O129" t="str">
        <f t="shared" si="1"/>
        <v>O000000009</v>
      </c>
    </row>
    <row r="130" spans="1:15">
      <c r="A130" t="s">
        <v>10513</v>
      </c>
      <c r="B130" t="s">
        <v>10281</v>
      </c>
      <c r="C130" t="s">
        <v>4938</v>
      </c>
      <c r="D130" t="s">
        <v>4938</v>
      </c>
      <c r="E130" t="s">
        <v>4938</v>
      </c>
      <c r="F130" t="s">
        <v>4938</v>
      </c>
      <c r="G130" t="s">
        <v>4938</v>
      </c>
      <c r="I130" t="s">
        <v>11483</v>
      </c>
      <c r="J130" t="s">
        <v>10521</v>
      </c>
      <c r="L130" t="s">
        <v>275</v>
      </c>
      <c r="M130" t="s">
        <v>11331</v>
      </c>
      <c r="O130" t="str">
        <f t="shared" si="1"/>
        <v>O000000009</v>
      </c>
    </row>
    <row r="131" spans="1:15">
      <c r="A131" t="s">
        <v>10514</v>
      </c>
      <c r="B131" t="s">
        <v>10283</v>
      </c>
      <c r="C131" t="s">
        <v>4938</v>
      </c>
      <c r="D131" t="s">
        <v>4938</v>
      </c>
      <c r="E131" t="s">
        <v>4938</v>
      </c>
      <c r="F131" t="s">
        <v>4938</v>
      </c>
      <c r="G131" t="s">
        <v>4938</v>
      </c>
      <c r="I131" t="s">
        <v>11483</v>
      </c>
      <c r="J131" t="s">
        <v>10522</v>
      </c>
      <c r="L131" t="s">
        <v>275</v>
      </c>
      <c r="M131" t="s">
        <v>7472</v>
      </c>
      <c r="O131" t="str">
        <f t="shared" ref="O131:O194" si="2">LEFT(L131,10)</f>
        <v>O000000009</v>
      </c>
    </row>
    <row r="132" spans="1:15">
      <c r="A132" t="s">
        <v>10515</v>
      </c>
      <c r="B132" t="s">
        <v>10284</v>
      </c>
      <c r="C132" t="s">
        <v>4938</v>
      </c>
      <c r="D132" t="s">
        <v>4938</v>
      </c>
      <c r="E132" t="s">
        <v>4938</v>
      </c>
      <c r="F132" t="s">
        <v>4938</v>
      </c>
      <c r="G132" t="s">
        <v>4938</v>
      </c>
      <c r="I132" t="s">
        <v>11483</v>
      </c>
      <c r="J132" t="s">
        <v>10523</v>
      </c>
      <c r="L132" t="s">
        <v>275</v>
      </c>
      <c r="M132" t="s">
        <v>7474</v>
      </c>
      <c r="O132" t="str">
        <f t="shared" si="2"/>
        <v>O000000009</v>
      </c>
    </row>
    <row r="133" spans="1:15">
      <c r="A133" t="s">
        <v>10516</v>
      </c>
      <c r="B133" t="s">
        <v>10285</v>
      </c>
      <c r="C133" t="s">
        <v>4938</v>
      </c>
      <c r="D133" t="s">
        <v>4938</v>
      </c>
      <c r="E133" t="s">
        <v>4938</v>
      </c>
      <c r="F133" t="s">
        <v>4938</v>
      </c>
      <c r="G133" t="s">
        <v>4938</v>
      </c>
      <c r="I133" t="s">
        <v>11483</v>
      </c>
      <c r="J133" t="s">
        <v>10524</v>
      </c>
      <c r="L133" t="s">
        <v>275</v>
      </c>
      <c r="M133" t="s">
        <v>7475</v>
      </c>
      <c r="O133" t="str">
        <f t="shared" si="2"/>
        <v>O000000009</v>
      </c>
    </row>
    <row r="134" spans="1:15">
      <c r="A134" t="s">
        <v>10517</v>
      </c>
      <c r="B134" t="s">
        <v>10286</v>
      </c>
      <c r="C134" t="s">
        <v>4938</v>
      </c>
      <c r="D134" t="s">
        <v>4938</v>
      </c>
      <c r="E134" t="s">
        <v>4938</v>
      </c>
      <c r="F134" t="s">
        <v>4938</v>
      </c>
      <c r="G134" t="s">
        <v>4938</v>
      </c>
      <c r="I134" t="s">
        <v>11483</v>
      </c>
      <c r="J134" t="s">
        <v>10525</v>
      </c>
      <c r="L134" t="s">
        <v>275</v>
      </c>
      <c r="M134" t="s">
        <v>7476</v>
      </c>
      <c r="O134" t="str">
        <f t="shared" si="2"/>
        <v>O000000009</v>
      </c>
    </row>
    <row r="135" spans="1:15">
      <c r="A135" t="s">
        <v>10518</v>
      </c>
      <c r="B135" t="s">
        <v>10287</v>
      </c>
      <c r="C135" t="s">
        <v>4938</v>
      </c>
      <c r="D135" t="s">
        <v>4938</v>
      </c>
      <c r="E135" t="s">
        <v>4938</v>
      </c>
      <c r="F135" t="s">
        <v>4938</v>
      </c>
      <c r="G135" t="s">
        <v>4938</v>
      </c>
      <c r="I135" t="s">
        <v>11483</v>
      </c>
      <c r="J135" t="s">
        <v>10526</v>
      </c>
      <c r="L135" t="s">
        <v>275</v>
      </c>
      <c r="M135" t="s">
        <v>7477</v>
      </c>
      <c r="O135" t="str">
        <f t="shared" si="2"/>
        <v>O000000009</v>
      </c>
    </row>
    <row r="136" spans="1:15">
      <c r="A136" t="s">
        <v>10519</v>
      </c>
      <c r="B136" t="s">
        <v>10288</v>
      </c>
      <c r="C136" t="s">
        <v>4938</v>
      </c>
      <c r="D136" t="s">
        <v>4938</v>
      </c>
      <c r="E136" t="s">
        <v>4938</v>
      </c>
      <c r="F136" t="s">
        <v>4938</v>
      </c>
      <c r="G136" t="s">
        <v>4938</v>
      </c>
      <c r="I136" t="s">
        <v>11483</v>
      </c>
      <c r="J136" t="s">
        <v>10527</v>
      </c>
      <c r="L136" t="s">
        <v>275</v>
      </c>
      <c r="M136" t="s">
        <v>7478</v>
      </c>
      <c r="O136" t="str">
        <f t="shared" si="2"/>
        <v>O000000009</v>
      </c>
    </row>
    <row r="137" spans="1:15">
      <c r="A137" t="s">
        <v>10520</v>
      </c>
      <c r="B137" t="s">
        <v>10289</v>
      </c>
      <c r="C137" t="s">
        <v>4938</v>
      </c>
      <c r="D137" t="s">
        <v>4938</v>
      </c>
      <c r="E137" t="s">
        <v>4938</v>
      </c>
      <c r="F137" t="s">
        <v>4938</v>
      </c>
      <c r="G137" t="s">
        <v>4938</v>
      </c>
      <c r="I137" t="s">
        <v>11483</v>
      </c>
      <c r="J137" t="s">
        <v>10528</v>
      </c>
      <c r="L137" t="s">
        <v>275</v>
      </c>
      <c r="M137" t="s">
        <v>7479</v>
      </c>
      <c r="O137" t="str">
        <f t="shared" si="2"/>
        <v>O000000009</v>
      </c>
    </row>
    <row r="138" spans="1:15">
      <c r="A138" t="s">
        <v>10521</v>
      </c>
      <c r="B138" t="s">
        <v>10290</v>
      </c>
      <c r="C138" t="s">
        <v>4938</v>
      </c>
      <c r="D138" t="s">
        <v>4938</v>
      </c>
      <c r="E138" t="s">
        <v>4938</v>
      </c>
      <c r="F138" t="s">
        <v>4938</v>
      </c>
      <c r="G138" t="s">
        <v>4938</v>
      </c>
      <c r="I138" t="s">
        <v>11483</v>
      </c>
      <c r="J138" t="s">
        <v>10529</v>
      </c>
      <c r="L138" t="s">
        <v>275</v>
      </c>
      <c r="M138" t="s">
        <v>11332</v>
      </c>
      <c r="O138" t="str">
        <f t="shared" si="2"/>
        <v>O000000009</v>
      </c>
    </row>
    <row r="139" spans="1:15">
      <c r="A139" t="s">
        <v>10522</v>
      </c>
      <c r="B139" t="s">
        <v>10291</v>
      </c>
      <c r="C139" t="s">
        <v>4938</v>
      </c>
      <c r="D139" t="s">
        <v>4938</v>
      </c>
      <c r="E139" t="s">
        <v>4938</v>
      </c>
      <c r="F139" t="s">
        <v>4938</v>
      </c>
      <c r="G139" t="s">
        <v>4938</v>
      </c>
      <c r="I139" t="s">
        <v>11483</v>
      </c>
      <c r="J139" t="s">
        <v>10530</v>
      </c>
      <c r="L139" t="s">
        <v>275</v>
      </c>
      <c r="M139" t="s">
        <v>11333</v>
      </c>
      <c r="O139" t="str">
        <f t="shared" si="2"/>
        <v>O000000009</v>
      </c>
    </row>
    <row r="140" spans="1:15">
      <c r="A140" t="s">
        <v>10523</v>
      </c>
      <c r="B140" t="s">
        <v>10292</v>
      </c>
      <c r="C140" t="s">
        <v>4938</v>
      </c>
      <c r="D140" t="s">
        <v>4938</v>
      </c>
      <c r="E140" t="s">
        <v>4938</v>
      </c>
      <c r="F140" t="s">
        <v>4938</v>
      </c>
      <c r="G140" t="s">
        <v>4938</v>
      </c>
      <c r="I140" t="s">
        <v>11483</v>
      </c>
      <c r="J140" t="s">
        <v>10531</v>
      </c>
      <c r="L140" t="s">
        <v>275</v>
      </c>
      <c r="M140" t="s">
        <v>11334</v>
      </c>
      <c r="O140" t="str">
        <f t="shared" si="2"/>
        <v>O000000009</v>
      </c>
    </row>
    <row r="141" spans="1:15">
      <c r="A141" t="s">
        <v>10524</v>
      </c>
      <c r="B141" t="s">
        <v>10293</v>
      </c>
      <c r="C141" t="s">
        <v>4938</v>
      </c>
      <c r="D141" t="s">
        <v>4938</v>
      </c>
      <c r="E141" t="s">
        <v>4938</v>
      </c>
      <c r="F141" t="s">
        <v>4938</v>
      </c>
      <c r="G141" t="s">
        <v>4938</v>
      </c>
      <c r="I141" t="s">
        <v>11483</v>
      </c>
      <c r="J141" t="s">
        <v>10532</v>
      </c>
      <c r="L141" t="s">
        <v>275</v>
      </c>
      <c r="M141" t="s">
        <v>11335</v>
      </c>
      <c r="O141" t="str">
        <f t="shared" si="2"/>
        <v>O000000009</v>
      </c>
    </row>
    <row r="142" spans="1:15">
      <c r="A142" t="s">
        <v>10525</v>
      </c>
      <c r="B142" t="s">
        <v>10294</v>
      </c>
      <c r="C142" t="s">
        <v>4938</v>
      </c>
      <c r="D142" t="s">
        <v>4938</v>
      </c>
      <c r="E142" t="s">
        <v>4938</v>
      </c>
      <c r="F142" t="s">
        <v>4938</v>
      </c>
      <c r="G142" t="s">
        <v>4938</v>
      </c>
      <c r="I142" t="s">
        <v>11483</v>
      </c>
      <c r="J142" t="s">
        <v>10533</v>
      </c>
      <c r="L142" t="s">
        <v>275</v>
      </c>
      <c r="M142" t="s">
        <v>11336</v>
      </c>
      <c r="O142" t="str">
        <f t="shared" si="2"/>
        <v>O000000009</v>
      </c>
    </row>
    <row r="143" spans="1:15">
      <c r="A143" t="s">
        <v>10526</v>
      </c>
      <c r="B143" t="s">
        <v>10295</v>
      </c>
      <c r="C143" t="s">
        <v>4938</v>
      </c>
      <c r="D143" t="s">
        <v>4938</v>
      </c>
      <c r="E143" t="s">
        <v>4938</v>
      </c>
      <c r="F143" t="s">
        <v>4938</v>
      </c>
      <c r="G143" t="s">
        <v>4938</v>
      </c>
      <c r="I143" t="s">
        <v>11483</v>
      </c>
      <c r="J143" t="s">
        <v>10534</v>
      </c>
      <c r="L143" t="s">
        <v>275</v>
      </c>
      <c r="M143" t="s">
        <v>11337</v>
      </c>
      <c r="O143" t="str">
        <f t="shared" si="2"/>
        <v>O000000009</v>
      </c>
    </row>
    <row r="144" spans="1:15">
      <c r="A144" t="s">
        <v>10527</v>
      </c>
      <c r="B144" t="s">
        <v>10296</v>
      </c>
      <c r="C144" t="s">
        <v>4938</v>
      </c>
      <c r="D144" t="s">
        <v>4938</v>
      </c>
      <c r="E144" t="s">
        <v>4938</v>
      </c>
      <c r="F144" t="s">
        <v>4938</v>
      </c>
      <c r="G144" t="s">
        <v>4938</v>
      </c>
      <c r="I144" t="s">
        <v>11483</v>
      </c>
      <c r="J144" t="s">
        <v>10535</v>
      </c>
      <c r="L144" t="s">
        <v>275</v>
      </c>
      <c r="M144" t="s">
        <v>11338</v>
      </c>
      <c r="O144" t="str">
        <f t="shared" si="2"/>
        <v>O000000009</v>
      </c>
    </row>
    <row r="145" spans="1:15">
      <c r="A145" t="s">
        <v>10528</v>
      </c>
      <c r="B145" t="s">
        <v>10297</v>
      </c>
      <c r="C145" t="s">
        <v>4938</v>
      </c>
      <c r="D145" t="s">
        <v>4938</v>
      </c>
      <c r="E145" t="s">
        <v>4938</v>
      </c>
      <c r="F145" t="s">
        <v>4938</v>
      </c>
      <c r="G145" t="s">
        <v>4938</v>
      </c>
      <c r="I145" t="s">
        <v>11483</v>
      </c>
      <c r="J145" t="s">
        <v>10536</v>
      </c>
      <c r="L145" t="s">
        <v>275</v>
      </c>
      <c r="M145" t="s">
        <v>11339</v>
      </c>
      <c r="O145" t="str">
        <f t="shared" si="2"/>
        <v>O000000009</v>
      </c>
    </row>
    <row r="146" spans="1:15">
      <c r="A146" t="s">
        <v>10529</v>
      </c>
      <c r="B146" t="s">
        <v>10298</v>
      </c>
      <c r="C146" t="s">
        <v>4938</v>
      </c>
      <c r="D146" t="s">
        <v>4938</v>
      </c>
      <c r="E146" t="s">
        <v>4938</v>
      </c>
      <c r="F146" t="s">
        <v>4938</v>
      </c>
      <c r="G146" t="s">
        <v>4938</v>
      </c>
      <c r="I146" t="s">
        <v>11483</v>
      </c>
      <c r="J146" t="s">
        <v>10537</v>
      </c>
      <c r="L146" t="s">
        <v>275</v>
      </c>
      <c r="M146" t="s">
        <v>11340</v>
      </c>
      <c r="O146" t="str">
        <f t="shared" si="2"/>
        <v>O000000009</v>
      </c>
    </row>
    <row r="147" spans="1:15">
      <c r="A147" t="s">
        <v>10530</v>
      </c>
      <c r="B147" t="s">
        <v>10299</v>
      </c>
      <c r="C147" t="s">
        <v>4938</v>
      </c>
      <c r="D147" t="s">
        <v>4938</v>
      </c>
      <c r="E147" t="s">
        <v>4938</v>
      </c>
      <c r="F147" t="s">
        <v>4938</v>
      </c>
      <c r="G147" t="s">
        <v>4938</v>
      </c>
      <c r="I147" t="s">
        <v>11483</v>
      </c>
      <c r="J147" t="s">
        <v>10538</v>
      </c>
      <c r="L147" t="s">
        <v>275</v>
      </c>
      <c r="M147" t="s">
        <v>11341</v>
      </c>
      <c r="O147" t="str">
        <f t="shared" si="2"/>
        <v>O000000009</v>
      </c>
    </row>
    <row r="148" spans="1:15">
      <c r="A148" t="s">
        <v>10531</v>
      </c>
      <c r="B148" t="s">
        <v>10300</v>
      </c>
      <c r="C148" t="s">
        <v>4938</v>
      </c>
      <c r="D148" t="s">
        <v>4938</v>
      </c>
      <c r="E148" t="s">
        <v>4938</v>
      </c>
      <c r="F148" t="s">
        <v>4938</v>
      </c>
      <c r="G148" t="s">
        <v>4938</v>
      </c>
      <c r="I148" t="s">
        <v>11483</v>
      </c>
      <c r="J148" t="s">
        <v>10539</v>
      </c>
      <c r="L148" t="s">
        <v>275</v>
      </c>
      <c r="M148" t="s">
        <v>11342</v>
      </c>
      <c r="O148" t="str">
        <f t="shared" si="2"/>
        <v>O000000009</v>
      </c>
    </row>
    <row r="149" spans="1:15">
      <c r="A149" t="s">
        <v>10532</v>
      </c>
      <c r="B149" t="s">
        <v>10301</v>
      </c>
      <c r="C149" t="s">
        <v>4938</v>
      </c>
      <c r="D149" t="s">
        <v>4938</v>
      </c>
      <c r="E149" t="s">
        <v>4938</v>
      </c>
      <c r="F149" t="s">
        <v>4938</v>
      </c>
      <c r="G149" t="s">
        <v>4938</v>
      </c>
      <c r="I149" t="s">
        <v>11483</v>
      </c>
      <c r="J149" t="s">
        <v>10540</v>
      </c>
      <c r="L149" t="s">
        <v>275</v>
      </c>
      <c r="M149" t="s">
        <v>11343</v>
      </c>
      <c r="O149" t="str">
        <f t="shared" si="2"/>
        <v>O000000009</v>
      </c>
    </row>
    <row r="150" spans="1:15">
      <c r="A150" t="s">
        <v>10533</v>
      </c>
      <c r="B150" t="s">
        <v>10302</v>
      </c>
      <c r="C150" t="s">
        <v>4938</v>
      </c>
      <c r="D150" t="s">
        <v>4938</v>
      </c>
      <c r="E150" t="s">
        <v>4938</v>
      </c>
      <c r="F150" t="s">
        <v>4938</v>
      </c>
      <c r="G150" t="s">
        <v>4938</v>
      </c>
      <c r="I150" t="s">
        <v>11483</v>
      </c>
      <c r="J150" t="s">
        <v>10541</v>
      </c>
      <c r="L150" t="s">
        <v>275</v>
      </c>
      <c r="M150" t="s">
        <v>11344</v>
      </c>
      <c r="O150" t="str">
        <f t="shared" si="2"/>
        <v>O000000009</v>
      </c>
    </row>
    <row r="151" spans="1:15">
      <c r="A151" t="s">
        <v>10534</v>
      </c>
      <c r="B151" t="s">
        <v>10303</v>
      </c>
      <c r="C151" t="s">
        <v>4938</v>
      </c>
      <c r="D151" t="s">
        <v>4938</v>
      </c>
      <c r="E151" t="s">
        <v>4938</v>
      </c>
      <c r="F151" t="s">
        <v>4938</v>
      </c>
      <c r="G151" t="s">
        <v>4938</v>
      </c>
      <c r="I151" t="s">
        <v>11483</v>
      </c>
      <c r="J151" t="s">
        <v>10542</v>
      </c>
      <c r="L151" t="s">
        <v>275</v>
      </c>
      <c r="M151" t="s">
        <v>11345</v>
      </c>
      <c r="O151" t="str">
        <f t="shared" si="2"/>
        <v>O000000009</v>
      </c>
    </row>
    <row r="152" spans="1:15">
      <c r="A152" t="s">
        <v>10535</v>
      </c>
      <c r="B152" t="s">
        <v>10304</v>
      </c>
      <c r="C152" t="s">
        <v>4938</v>
      </c>
      <c r="D152" t="s">
        <v>4938</v>
      </c>
      <c r="E152" t="s">
        <v>4938</v>
      </c>
      <c r="F152" t="s">
        <v>4938</v>
      </c>
      <c r="G152" t="s">
        <v>4938</v>
      </c>
      <c r="I152" t="s">
        <v>11483</v>
      </c>
      <c r="J152" t="s">
        <v>10543</v>
      </c>
      <c r="L152" t="s">
        <v>275</v>
      </c>
      <c r="M152" t="s">
        <v>11346</v>
      </c>
      <c r="O152" t="str">
        <f t="shared" si="2"/>
        <v>O000000009</v>
      </c>
    </row>
    <row r="153" spans="1:15">
      <c r="A153" t="s">
        <v>10536</v>
      </c>
      <c r="B153" t="s">
        <v>10305</v>
      </c>
      <c r="C153" t="s">
        <v>4938</v>
      </c>
      <c r="D153" t="s">
        <v>4938</v>
      </c>
      <c r="E153" t="s">
        <v>4938</v>
      </c>
      <c r="F153" t="s">
        <v>4938</v>
      </c>
      <c r="G153" t="s">
        <v>4938</v>
      </c>
      <c r="I153" t="s">
        <v>11483</v>
      </c>
      <c r="J153" t="s">
        <v>10544</v>
      </c>
      <c r="L153" t="s">
        <v>275</v>
      </c>
      <c r="M153" t="s">
        <v>11347</v>
      </c>
      <c r="O153" t="str">
        <f t="shared" si="2"/>
        <v>O000000009</v>
      </c>
    </row>
    <row r="154" spans="1:15">
      <c r="A154" t="s">
        <v>10537</v>
      </c>
      <c r="B154" t="s">
        <v>10306</v>
      </c>
      <c r="C154" t="s">
        <v>4938</v>
      </c>
      <c r="D154" t="s">
        <v>4938</v>
      </c>
      <c r="E154" t="s">
        <v>4938</v>
      </c>
      <c r="F154" t="s">
        <v>4938</v>
      </c>
      <c r="G154" t="s">
        <v>4938</v>
      </c>
      <c r="I154" t="s">
        <v>11483</v>
      </c>
      <c r="J154" t="s">
        <v>10545</v>
      </c>
      <c r="L154" t="s">
        <v>275</v>
      </c>
      <c r="M154" t="s">
        <v>7423</v>
      </c>
      <c r="O154" t="str">
        <f t="shared" si="2"/>
        <v>O000000009</v>
      </c>
    </row>
    <row r="155" spans="1:15">
      <c r="A155" t="s">
        <v>10538</v>
      </c>
      <c r="B155" t="s">
        <v>10307</v>
      </c>
      <c r="C155" t="s">
        <v>4938</v>
      </c>
      <c r="D155" t="s">
        <v>4938</v>
      </c>
      <c r="E155" t="s">
        <v>4938</v>
      </c>
      <c r="F155" t="s">
        <v>4938</v>
      </c>
      <c r="G155" t="s">
        <v>4938</v>
      </c>
      <c r="I155" t="s">
        <v>11483</v>
      </c>
      <c r="J155" t="s">
        <v>10546</v>
      </c>
      <c r="L155" t="s">
        <v>275</v>
      </c>
      <c r="M155" t="s">
        <v>7424</v>
      </c>
      <c r="O155" t="str">
        <f t="shared" si="2"/>
        <v>O000000009</v>
      </c>
    </row>
    <row r="156" spans="1:15">
      <c r="A156" t="s">
        <v>10539</v>
      </c>
      <c r="B156" t="s">
        <v>10308</v>
      </c>
      <c r="C156" t="s">
        <v>4938</v>
      </c>
      <c r="D156" t="s">
        <v>4938</v>
      </c>
      <c r="E156" t="s">
        <v>4938</v>
      </c>
      <c r="F156" t="s">
        <v>4938</v>
      </c>
      <c r="G156" t="s">
        <v>4938</v>
      </c>
      <c r="I156" t="s">
        <v>11483</v>
      </c>
      <c r="J156" t="s">
        <v>10547</v>
      </c>
      <c r="L156" t="s">
        <v>275</v>
      </c>
      <c r="M156" t="s">
        <v>7425</v>
      </c>
      <c r="O156" t="str">
        <f t="shared" si="2"/>
        <v>O000000009</v>
      </c>
    </row>
    <row r="157" spans="1:15">
      <c r="A157" t="s">
        <v>10540</v>
      </c>
      <c r="B157" t="s">
        <v>10309</v>
      </c>
      <c r="C157" t="s">
        <v>4938</v>
      </c>
      <c r="D157" t="s">
        <v>4938</v>
      </c>
      <c r="E157" t="s">
        <v>4938</v>
      </c>
      <c r="F157" t="s">
        <v>4938</v>
      </c>
      <c r="G157" t="s">
        <v>4938</v>
      </c>
      <c r="I157" t="s">
        <v>11483</v>
      </c>
      <c r="J157" t="s">
        <v>10548</v>
      </c>
      <c r="L157" t="s">
        <v>275</v>
      </c>
      <c r="M157" t="s">
        <v>11348</v>
      </c>
      <c r="O157" t="str">
        <f t="shared" si="2"/>
        <v>O000000009</v>
      </c>
    </row>
    <row r="158" spans="1:15">
      <c r="A158" t="s">
        <v>10541</v>
      </c>
      <c r="B158" t="s">
        <v>10310</v>
      </c>
      <c r="C158" t="s">
        <v>4938</v>
      </c>
      <c r="D158" t="s">
        <v>4938</v>
      </c>
      <c r="E158" t="s">
        <v>4938</v>
      </c>
      <c r="F158" t="s">
        <v>4938</v>
      </c>
      <c r="G158" t="s">
        <v>4938</v>
      </c>
      <c r="I158" t="s">
        <v>11483</v>
      </c>
      <c r="J158" t="s">
        <v>10549</v>
      </c>
      <c r="L158" t="s">
        <v>275</v>
      </c>
      <c r="M158" t="s">
        <v>11349</v>
      </c>
      <c r="O158" t="str">
        <f t="shared" si="2"/>
        <v>O000000009</v>
      </c>
    </row>
    <row r="159" spans="1:15">
      <c r="A159" t="s">
        <v>10542</v>
      </c>
      <c r="B159" t="s">
        <v>10311</v>
      </c>
      <c r="C159" t="s">
        <v>4938</v>
      </c>
      <c r="D159" t="s">
        <v>4938</v>
      </c>
      <c r="E159" t="s">
        <v>4938</v>
      </c>
      <c r="F159" t="s">
        <v>4938</v>
      </c>
      <c r="G159" t="s">
        <v>4938</v>
      </c>
      <c r="I159" t="s">
        <v>11483</v>
      </c>
      <c r="J159" t="s">
        <v>10550</v>
      </c>
      <c r="L159" t="s">
        <v>275</v>
      </c>
      <c r="M159" t="s">
        <v>11350</v>
      </c>
      <c r="O159" t="str">
        <f t="shared" si="2"/>
        <v>O000000009</v>
      </c>
    </row>
    <row r="160" spans="1:15">
      <c r="A160" t="s">
        <v>10543</v>
      </c>
      <c r="B160" t="s">
        <v>10312</v>
      </c>
      <c r="C160" t="s">
        <v>4938</v>
      </c>
      <c r="D160" t="s">
        <v>4938</v>
      </c>
      <c r="E160" t="s">
        <v>4938</v>
      </c>
      <c r="F160" t="s">
        <v>4938</v>
      </c>
      <c r="G160" t="s">
        <v>4938</v>
      </c>
      <c r="I160" t="s">
        <v>11483</v>
      </c>
      <c r="J160" t="s">
        <v>10551</v>
      </c>
      <c r="L160" t="s">
        <v>275</v>
      </c>
      <c r="M160" t="s">
        <v>11351</v>
      </c>
      <c r="O160" t="str">
        <f t="shared" si="2"/>
        <v>O000000009</v>
      </c>
    </row>
    <row r="161" spans="1:15">
      <c r="A161" t="s">
        <v>10544</v>
      </c>
      <c r="B161" t="s">
        <v>10313</v>
      </c>
      <c r="C161" t="s">
        <v>4938</v>
      </c>
      <c r="D161" t="s">
        <v>4938</v>
      </c>
      <c r="E161" t="s">
        <v>4938</v>
      </c>
      <c r="F161" t="s">
        <v>4938</v>
      </c>
      <c r="G161" t="s">
        <v>4938</v>
      </c>
      <c r="I161" t="s">
        <v>11483</v>
      </c>
      <c r="J161" t="s">
        <v>10552</v>
      </c>
      <c r="L161" t="s">
        <v>275</v>
      </c>
      <c r="M161" t="s">
        <v>11352</v>
      </c>
      <c r="O161" t="str">
        <f t="shared" si="2"/>
        <v>O000000009</v>
      </c>
    </row>
    <row r="162" spans="1:15">
      <c r="A162" t="s">
        <v>10545</v>
      </c>
      <c r="B162" t="s">
        <v>10314</v>
      </c>
      <c r="C162" t="s">
        <v>4938</v>
      </c>
      <c r="D162" t="s">
        <v>4938</v>
      </c>
      <c r="E162" t="s">
        <v>4938</v>
      </c>
      <c r="F162" t="s">
        <v>4938</v>
      </c>
      <c r="G162" t="s">
        <v>4938</v>
      </c>
      <c r="I162" t="s">
        <v>11483</v>
      </c>
      <c r="J162" t="s">
        <v>10553</v>
      </c>
      <c r="L162" t="s">
        <v>275</v>
      </c>
      <c r="M162" t="s">
        <v>7432</v>
      </c>
      <c r="O162" t="str">
        <f t="shared" si="2"/>
        <v>O000000009</v>
      </c>
    </row>
    <row r="163" spans="1:15">
      <c r="A163" t="s">
        <v>10546</v>
      </c>
      <c r="B163" t="s">
        <v>10315</v>
      </c>
      <c r="C163" t="s">
        <v>4938</v>
      </c>
      <c r="D163" t="s">
        <v>4938</v>
      </c>
      <c r="E163" t="s">
        <v>4938</v>
      </c>
      <c r="F163" t="s">
        <v>4938</v>
      </c>
      <c r="G163" t="s">
        <v>4938</v>
      </c>
      <c r="I163" t="s">
        <v>11483</v>
      </c>
      <c r="J163" t="s">
        <v>10554</v>
      </c>
      <c r="L163" t="s">
        <v>275</v>
      </c>
      <c r="M163" t="s">
        <v>7434</v>
      </c>
      <c r="O163" t="str">
        <f t="shared" si="2"/>
        <v>O000000009</v>
      </c>
    </row>
    <row r="164" spans="1:15">
      <c r="A164" t="s">
        <v>10547</v>
      </c>
      <c r="B164" t="s">
        <v>10316</v>
      </c>
      <c r="C164" t="s">
        <v>4938</v>
      </c>
      <c r="D164" t="s">
        <v>4938</v>
      </c>
      <c r="E164" t="s">
        <v>4938</v>
      </c>
      <c r="F164" t="s">
        <v>4938</v>
      </c>
      <c r="G164" t="s">
        <v>4938</v>
      </c>
      <c r="I164" t="s">
        <v>11483</v>
      </c>
      <c r="J164" t="s">
        <v>10555</v>
      </c>
      <c r="L164" t="s">
        <v>275</v>
      </c>
      <c r="M164" t="s">
        <v>7435</v>
      </c>
      <c r="O164" t="str">
        <f t="shared" si="2"/>
        <v>O000000009</v>
      </c>
    </row>
    <row r="165" spans="1:15">
      <c r="A165" t="s">
        <v>10548</v>
      </c>
      <c r="B165" t="s">
        <v>10317</v>
      </c>
      <c r="C165" t="s">
        <v>4938</v>
      </c>
      <c r="D165" t="s">
        <v>4938</v>
      </c>
      <c r="E165" t="s">
        <v>4938</v>
      </c>
      <c r="F165" t="s">
        <v>4938</v>
      </c>
      <c r="G165" t="s">
        <v>4938</v>
      </c>
      <c r="I165" t="s">
        <v>11483</v>
      </c>
      <c r="J165" t="s">
        <v>10556</v>
      </c>
      <c r="L165" t="s">
        <v>275</v>
      </c>
      <c r="M165" t="s">
        <v>7436</v>
      </c>
      <c r="O165" t="str">
        <f t="shared" si="2"/>
        <v>O000000009</v>
      </c>
    </row>
    <row r="166" spans="1:15">
      <c r="A166" t="s">
        <v>10549</v>
      </c>
      <c r="B166" t="s">
        <v>10318</v>
      </c>
      <c r="C166" t="s">
        <v>4938</v>
      </c>
      <c r="D166" t="s">
        <v>4938</v>
      </c>
      <c r="E166" t="s">
        <v>4938</v>
      </c>
      <c r="F166" t="s">
        <v>4938</v>
      </c>
      <c r="G166" t="s">
        <v>4938</v>
      </c>
      <c r="I166" t="s">
        <v>11483</v>
      </c>
      <c r="J166" t="s">
        <v>10557</v>
      </c>
      <c r="L166" t="s">
        <v>275</v>
      </c>
      <c r="M166" t="s">
        <v>7437</v>
      </c>
      <c r="O166" t="str">
        <f t="shared" si="2"/>
        <v>O000000009</v>
      </c>
    </row>
    <row r="167" spans="1:15">
      <c r="A167" t="s">
        <v>10550</v>
      </c>
      <c r="B167" t="s">
        <v>10319</v>
      </c>
      <c r="C167" t="s">
        <v>4938</v>
      </c>
      <c r="D167" t="s">
        <v>4938</v>
      </c>
      <c r="E167" t="s">
        <v>4938</v>
      </c>
      <c r="F167" t="s">
        <v>4938</v>
      </c>
      <c r="G167" t="s">
        <v>4938</v>
      </c>
      <c r="I167" t="s">
        <v>11483</v>
      </c>
      <c r="J167" t="s">
        <v>10558</v>
      </c>
      <c r="L167" t="s">
        <v>275</v>
      </c>
      <c r="M167" t="s">
        <v>7438</v>
      </c>
      <c r="O167" t="str">
        <f t="shared" si="2"/>
        <v>O000000009</v>
      </c>
    </row>
    <row r="168" spans="1:15">
      <c r="A168" t="s">
        <v>10551</v>
      </c>
      <c r="B168" t="s">
        <v>10320</v>
      </c>
      <c r="C168" t="s">
        <v>4938</v>
      </c>
      <c r="D168" t="s">
        <v>4938</v>
      </c>
      <c r="E168" t="s">
        <v>4938</v>
      </c>
      <c r="F168" t="s">
        <v>4938</v>
      </c>
      <c r="G168" t="s">
        <v>4938</v>
      </c>
      <c r="I168" t="s">
        <v>11483</v>
      </c>
      <c r="J168" t="s">
        <v>10559</v>
      </c>
      <c r="L168" t="s">
        <v>275</v>
      </c>
      <c r="M168" t="s">
        <v>7439</v>
      </c>
      <c r="O168" t="str">
        <f t="shared" si="2"/>
        <v>O000000009</v>
      </c>
    </row>
    <row r="169" spans="1:15">
      <c r="A169" t="s">
        <v>10552</v>
      </c>
      <c r="B169" t="s">
        <v>10321</v>
      </c>
      <c r="C169" t="s">
        <v>4938</v>
      </c>
      <c r="D169" t="s">
        <v>4938</v>
      </c>
      <c r="E169" t="s">
        <v>4938</v>
      </c>
      <c r="F169" t="s">
        <v>4938</v>
      </c>
      <c r="G169" t="s">
        <v>4938</v>
      </c>
      <c r="I169" t="s">
        <v>11483</v>
      </c>
      <c r="J169" t="s">
        <v>10560</v>
      </c>
      <c r="L169" t="s">
        <v>275</v>
      </c>
      <c r="M169" t="s">
        <v>11353</v>
      </c>
      <c r="O169" t="str">
        <f t="shared" si="2"/>
        <v>O000000009</v>
      </c>
    </row>
    <row r="170" spans="1:15">
      <c r="A170" t="s">
        <v>10553</v>
      </c>
      <c r="B170" t="s">
        <v>10322</v>
      </c>
      <c r="C170" t="s">
        <v>4938</v>
      </c>
      <c r="D170" t="s">
        <v>4938</v>
      </c>
      <c r="E170" t="s">
        <v>4938</v>
      </c>
      <c r="F170" t="s">
        <v>4938</v>
      </c>
      <c r="G170" t="s">
        <v>4938</v>
      </c>
      <c r="I170" t="s">
        <v>11484</v>
      </c>
      <c r="J170" t="s">
        <v>10561</v>
      </c>
      <c r="L170" t="s">
        <v>275</v>
      </c>
      <c r="M170" t="s">
        <v>11354</v>
      </c>
      <c r="O170" t="str">
        <f t="shared" si="2"/>
        <v>O000000009</v>
      </c>
    </row>
    <row r="171" spans="1:15">
      <c r="A171" t="s">
        <v>10554</v>
      </c>
      <c r="B171" t="s">
        <v>10323</v>
      </c>
      <c r="C171" t="s">
        <v>4938</v>
      </c>
      <c r="D171" t="s">
        <v>4938</v>
      </c>
      <c r="E171" t="s">
        <v>4938</v>
      </c>
      <c r="F171" t="s">
        <v>4938</v>
      </c>
      <c r="G171" t="s">
        <v>4938</v>
      </c>
      <c r="I171" t="s">
        <v>11484</v>
      </c>
      <c r="J171" t="s">
        <v>10562</v>
      </c>
      <c r="L171" t="s">
        <v>275</v>
      </c>
      <c r="M171" t="s">
        <v>11355</v>
      </c>
      <c r="O171" t="str">
        <f t="shared" si="2"/>
        <v>O000000009</v>
      </c>
    </row>
    <row r="172" spans="1:15">
      <c r="A172" t="s">
        <v>10555</v>
      </c>
      <c r="B172" t="s">
        <v>10324</v>
      </c>
      <c r="C172" t="s">
        <v>4938</v>
      </c>
      <c r="D172" t="s">
        <v>4938</v>
      </c>
      <c r="E172" t="s">
        <v>4938</v>
      </c>
      <c r="F172" t="s">
        <v>4938</v>
      </c>
      <c r="G172" t="s">
        <v>4938</v>
      </c>
      <c r="I172" t="s">
        <v>11484</v>
      </c>
      <c r="J172" t="s">
        <v>10563</v>
      </c>
      <c r="L172" t="s">
        <v>275</v>
      </c>
      <c r="M172" t="s">
        <v>11356</v>
      </c>
      <c r="O172" t="str">
        <f t="shared" si="2"/>
        <v>O000000009</v>
      </c>
    </row>
    <row r="173" spans="1:15">
      <c r="A173" t="s">
        <v>10556</v>
      </c>
      <c r="B173" t="s">
        <v>10325</v>
      </c>
      <c r="C173" t="s">
        <v>4938</v>
      </c>
      <c r="D173" t="s">
        <v>4938</v>
      </c>
      <c r="E173" t="s">
        <v>4938</v>
      </c>
      <c r="F173" t="s">
        <v>4938</v>
      </c>
      <c r="G173" t="s">
        <v>4938</v>
      </c>
      <c r="I173" t="s">
        <v>11484</v>
      </c>
      <c r="J173" t="s">
        <v>10564</v>
      </c>
      <c r="L173" t="s">
        <v>275</v>
      </c>
      <c r="M173" t="s">
        <v>11357</v>
      </c>
      <c r="O173" t="str">
        <f t="shared" si="2"/>
        <v>O000000009</v>
      </c>
    </row>
    <row r="174" spans="1:15">
      <c r="A174" t="s">
        <v>10557</v>
      </c>
      <c r="B174" t="s">
        <v>10326</v>
      </c>
      <c r="C174" t="s">
        <v>4938</v>
      </c>
      <c r="D174" t="s">
        <v>4938</v>
      </c>
      <c r="E174" t="s">
        <v>4938</v>
      </c>
      <c r="F174" t="s">
        <v>4938</v>
      </c>
      <c r="G174" t="s">
        <v>4938</v>
      </c>
      <c r="I174" t="s">
        <v>11484</v>
      </c>
      <c r="J174" t="s">
        <v>10565</v>
      </c>
      <c r="L174" t="s">
        <v>275</v>
      </c>
      <c r="M174" t="s">
        <v>11358</v>
      </c>
      <c r="O174" t="str">
        <f t="shared" si="2"/>
        <v>O000000009</v>
      </c>
    </row>
    <row r="175" spans="1:15">
      <c r="A175" t="s">
        <v>10558</v>
      </c>
      <c r="B175" t="s">
        <v>10327</v>
      </c>
      <c r="C175" t="s">
        <v>4938</v>
      </c>
      <c r="D175" t="s">
        <v>4938</v>
      </c>
      <c r="E175" t="s">
        <v>4938</v>
      </c>
      <c r="F175" t="s">
        <v>4938</v>
      </c>
      <c r="G175" t="s">
        <v>4938</v>
      </c>
      <c r="I175" t="s">
        <v>11484</v>
      </c>
      <c r="J175" t="s">
        <v>10566</v>
      </c>
      <c r="L175" t="s">
        <v>275</v>
      </c>
      <c r="M175" t="s">
        <v>11359</v>
      </c>
      <c r="O175" t="str">
        <f t="shared" si="2"/>
        <v>O000000009</v>
      </c>
    </row>
    <row r="176" spans="1:15">
      <c r="A176" t="s">
        <v>10559</v>
      </c>
      <c r="B176" t="s">
        <v>10328</v>
      </c>
      <c r="C176" t="s">
        <v>4938</v>
      </c>
      <c r="D176" t="s">
        <v>4938</v>
      </c>
      <c r="E176" t="s">
        <v>4938</v>
      </c>
      <c r="F176" t="s">
        <v>4938</v>
      </c>
      <c r="G176" t="s">
        <v>4938</v>
      </c>
      <c r="I176" t="s">
        <v>11484</v>
      </c>
      <c r="J176" t="s">
        <v>10567</v>
      </c>
      <c r="L176" t="s">
        <v>275</v>
      </c>
      <c r="M176" t="s">
        <v>11360</v>
      </c>
      <c r="O176" t="str">
        <f t="shared" si="2"/>
        <v>O000000009</v>
      </c>
    </row>
    <row r="177" spans="1:15">
      <c r="A177" t="s">
        <v>10560</v>
      </c>
      <c r="B177" t="s">
        <v>10329</v>
      </c>
      <c r="C177" t="s">
        <v>4938</v>
      </c>
      <c r="D177" t="s">
        <v>4938</v>
      </c>
      <c r="E177" t="s">
        <v>4938</v>
      </c>
      <c r="F177" t="s">
        <v>4938</v>
      </c>
      <c r="G177" t="s">
        <v>4938</v>
      </c>
      <c r="I177" t="s">
        <v>11484</v>
      </c>
      <c r="J177" t="s">
        <v>10568</v>
      </c>
      <c r="L177" t="s">
        <v>275</v>
      </c>
      <c r="M177" t="s">
        <v>11361</v>
      </c>
      <c r="O177" t="str">
        <f t="shared" si="2"/>
        <v>O000000009</v>
      </c>
    </row>
    <row r="178" spans="1:15">
      <c r="A178" t="s">
        <v>10561</v>
      </c>
      <c r="B178" t="s">
        <v>10330</v>
      </c>
      <c r="C178" t="s">
        <v>4938</v>
      </c>
      <c r="D178" t="s">
        <v>4938</v>
      </c>
      <c r="E178" t="s">
        <v>4938</v>
      </c>
      <c r="F178" t="s">
        <v>4938</v>
      </c>
      <c r="G178" t="s">
        <v>4938</v>
      </c>
      <c r="I178" t="s">
        <v>11484</v>
      </c>
      <c r="J178" t="s">
        <v>10569</v>
      </c>
      <c r="L178" t="s">
        <v>275</v>
      </c>
      <c r="M178" t="s">
        <v>11362</v>
      </c>
      <c r="O178" t="str">
        <f t="shared" si="2"/>
        <v>O000000009</v>
      </c>
    </row>
    <row r="179" spans="1:15">
      <c r="A179" t="s">
        <v>10562</v>
      </c>
      <c r="B179" t="s">
        <v>10332</v>
      </c>
      <c r="C179" t="s">
        <v>4938</v>
      </c>
      <c r="D179" t="s">
        <v>4938</v>
      </c>
      <c r="E179" t="s">
        <v>4938</v>
      </c>
      <c r="F179" t="s">
        <v>4938</v>
      </c>
      <c r="G179" t="s">
        <v>4938</v>
      </c>
      <c r="I179" t="s">
        <v>11484</v>
      </c>
      <c r="J179" t="s">
        <v>10570</v>
      </c>
      <c r="L179" t="s">
        <v>275</v>
      </c>
      <c r="M179" t="s">
        <v>11363</v>
      </c>
      <c r="O179" t="str">
        <f t="shared" si="2"/>
        <v>O000000009</v>
      </c>
    </row>
    <row r="180" spans="1:15">
      <c r="A180" t="s">
        <v>10563</v>
      </c>
      <c r="B180" t="s">
        <v>10333</v>
      </c>
      <c r="C180" t="s">
        <v>4938</v>
      </c>
      <c r="D180" t="s">
        <v>4938</v>
      </c>
      <c r="E180" t="s">
        <v>4938</v>
      </c>
      <c r="F180" t="s">
        <v>4938</v>
      </c>
      <c r="G180" t="s">
        <v>4938</v>
      </c>
      <c r="I180" t="s">
        <v>11484</v>
      </c>
      <c r="J180" t="s">
        <v>10571</v>
      </c>
      <c r="L180" t="s">
        <v>275</v>
      </c>
      <c r="M180" t="s">
        <v>11364</v>
      </c>
      <c r="O180" t="str">
        <f t="shared" si="2"/>
        <v>O000000009</v>
      </c>
    </row>
    <row r="181" spans="1:15">
      <c r="A181" t="s">
        <v>10564</v>
      </c>
      <c r="B181" t="s">
        <v>10334</v>
      </c>
      <c r="C181" t="s">
        <v>4938</v>
      </c>
      <c r="D181" t="s">
        <v>4938</v>
      </c>
      <c r="E181" t="s">
        <v>4938</v>
      </c>
      <c r="F181" t="s">
        <v>4938</v>
      </c>
      <c r="G181" t="s">
        <v>4938</v>
      </c>
      <c r="I181" t="s">
        <v>11484</v>
      </c>
      <c r="J181" t="s">
        <v>10572</v>
      </c>
      <c r="L181" t="s">
        <v>275</v>
      </c>
      <c r="M181" t="s">
        <v>11365</v>
      </c>
      <c r="O181" t="str">
        <f t="shared" si="2"/>
        <v>O000000009</v>
      </c>
    </row>
    <row r="182" spans="1:15">
      <c r="A182" t="s">
        <v>10565</v>
      </c>
      <c r="B182" t="s">
        <v>10335</v>
      </c>
      <c r="C182" t="s">
        <v>4938</v>
      </c>
      <c r="D182" t="s">
        <v>4938</v>
      </c>
      <c r="E182" t="s">
        <v>4938</v>
      </c>
      <c r="F182" t="s">
        <v>4938</v>
      </c>
      <c r="G182" t="s">
        <v>4938</v>
      </c>
      <c r="I182" t="s">
        <v>11484</v>
      </c>
      <c r="J182" t="s">
        <v>10573</v>
      </c>
      <c r="L182" t="s">
        <v>275</v>
      </c>
      <c r="M182" t="s">
        <v>11366</v>
      </c>
      <c r="O182" t="str">
        <f t="shared" si="2"/>
        <v>O000000009</v>
      </c>
    </row>
    <row r="183" spans="1:15">
      <c r="A183" t="s">
        <v>10566</v>
      </c>
      <c r="B183" t="s">
        <v>10336</v>
      </c>
      <c r="C183" t="s">
        <v>4938</v>
      </c>
      <c r="D183" t="s">
        <v>4938</v>
      </c>
      <c r="E183" t="s">
        <v>4938</v>
      </c>
      <c r="F183" t="s">
        <v>4938</v>
      </c>
      <c r="G183" t="s">
        <v>4938</v>
      </c>
      <c r="I183" t="s">
        <v>11484</v>
      </c>
      <c r="J183" t="s">
        <v>10574</v>
      </c>
      <c r="L183" t="s">
        <v>275</v>
      </c>
      <c r="M183" t="s">
        <v>11367</v>
      </c>
      <c r="O183" t="str">
        <f t="shared" si="2"/>
        <v>O000000009</v>
      </c>
    </row>
    <row r="184" spans="1:15">
      <c r="A184" t="s">
        <v>10567</v>
      </c>
      <c r="B184" t="s">
        <v>10337</v>
      </c>
      <c r="C184" t="s">
        <v>4938</v>
      </c>
      <c r="D184" t="s">
        <v>4938</v>
      </c>
      <c r="E184" t="s">
        <v>4938</v>
      </c>
      <c r="F184" t="s">
        <v>4938</v>
      </c>
      <c r="G184" t="s">
        <v>4938</v>
      </c>
      <c r="I184" t="s">
        <v>11484</v>
      </c>
      <c r="J184" t="s">
        <v>10575</v>
      </c>
      <c r="L184" t="s">
        <v>275</v>
      </c>
      <c r="M184" t="s">
        <v>11368</v>
      </c>
      <c r="O184" t="str">
        <f t="shared" si="2"/>
        <v>O000000009</v>
      </c>
    </row>
    <row r="185" spans="1:15">
      <c r="A185" t="s">
        <v>10568</v>
      </c>
      <c r="B185" t="s">
        <v>10338</v>
      </c>
      <c r="C185" t="s">
        <v>4938</v>
      </c>
      <c r="D185" t="s">
        <v>4938</v>
      </c>
      <c r="E185" t="s">
        <v>4938</v>
      </c>
      <c r="F185" t="s">
        <v>4938</v>
      </c>
      <c r="G185" t="s">
        <v>4938</v>
      </c>
      <c r="I185" t="s">
        <v>11484</v>
      </c>
      <c r="J185" t="s">
        <v>10576</v>
      </c>
      <c r="L185" t="s">
        <v>275</v>
      </c>
      <c r="M185" t="s">
        <v>11369</v>
      </c>
      <c r="O185" t="str">
        <f t="shared" si="2"/>
        <v>O000000009</v>
      </c>
    </row>
    <row r="186" spans="1:15">
      <c r="A186" t="s">
        <v>10569</v>
      </c>
      <c r="B186" t="s">
        <v>10339</v>
      </c>
      <c r="C186" t="s">
        <v>4938</v>
      </c>
      <c r="D186" t="s">
        <v>4938</v>
      </c>
      <c r="E186" t="s">
        <v>4938</v>
      </c>
      <c r="F186" t="s">
        <v>4938</v>
      </c>
      <c r="G186" t="s">
        <v>4938</v>
      </c>
      <c r="I186" t="s">
        <v>11484</v>
      </c>
      <c r="J186" t="s">
        <v>10577</v>
      </c>
      <c r="L186" t="s">
        <v>275</v>
      </c>
      <c r="M186" t="s">
        <v>11370</v>
      </c>
      <c r="O186" t="str">
        <f t="shared" si="2"/>
        <v>O000000009</v>
      </c>
    </row>
    <row r="187" spans="1:15">
      <c r="A187" t="s">
        <v>10570</v>
      </c>
      <c r="B187" t="s">
        <v>10340</v>
      </c>
      <c r="C187" t="s">
        <v>4938</v>
      </c>
      <c r="D187" t="s">
        <v>4938</v>
      </c>
      <c r="E187" t="s">
        <v>4938</v>
      </c>
      <c r="F187" t="s">
        <v>4938</v>
      </c>
      <c r="G187" t="s">
        <v>4938</v>
      </c>
      <c r="I187" t="s">
        <v>11484</v>
      </c>
      <c r="J187" t="s">
        <v>10578</v>
      </c>
      <c r="L187" t="s">
        <v>275</v>
      </c>
      <c r="M187" t="s">
        <v>11371</v>
      </c>
      <c r="O187" t="str">
        <f t="shared" si="2"/>
        <v>O000000009</v>
      </c>
    </row>
    <row r="188" spans="1:15">
      <c r="A188" t="s">
        <v>10571</v>
      </c>
      <c r="B188" t="s">
        <v>10341</v>
      </c>
      <c r="C188" t="s">
        <v>4938</v>
      </c>
      <c r="D188" t="s">
        <v>4938</v>
      </c>
      <c r="E188" t="s">
        <v>4938</v>
      </c>
      <c r="F188" t="s">
        <v>4938</v>
      </c>
      <c r="G188" t="s">
        <v>4938</v>
      </c>
      <c r="I188" t="s">
        <v>11484</v>
      </c>
      <c r="J188" t="s">
        <v>10579</v>
      </c>
      <c r="L188" t="s">
        <v>275</v>
      </c>
      <c r="M188" t="s">
        <v>11372</v>
      </c>
      <c r="O188" t="str">
        <f t="shared" si="2"/>
        <v>O000000009</v>
      </c>
    </row>
    <row r="189" spans="1:15">
      <c r="A189" t="s">
        <v>10572</v>
      </c>
      <c r="B189" t="s">
        <v>10342</v>
      </c>
      <c r="C189" t="s">
        <v>4938</v>
      </c>
      <c r="D189" t="s">
        <v>4938</v>
      </c>
      <c r="E189" t="s">
        <v>4938</v>
      </c>
      <c r="F189" t="s">
        <v>4938</v>
      </c>
      <c r="G189" t="s">
        <v>4938</v>
      </c>
      <c r="I189" t="s">
        <v>11484</v>
      </c>
      <c r="J189" t="s">
        <v>10580</v>
      </c>
      <c r="L189" t="s">
        <v>275</v>
      </c>
      <c r="M189" t="s">
        <v>11373</v>
      </c>
      <c r="O189" t="str">
        <f t="shared" si="2"/>
        <v>O000000009</v>
      </c>
    </row>
    <row r="190" spans="1:15">
      <c r="A190" t="s">
        <v>10573</v>
      </c>
      <c r="B190" t="s">
        <v>10343</v>
      </c>
      <c r="C190" t="s">
        <v>4938</v>
      </c>
      <c r="D190" t="s">
        <v>4938</v>
      </c>
      <c r="E190" t="s">
        <v>4938</v>
      </c>
      <c r="F190" t="s">
        <v>4938</v>
      </c>
      <c r="G190" t="s">
        <v>4938</v>
      </c>
      <c r="I190" t="s">
        <v>11484</v>
      </c>
      <c r="J190" t="s">
        <v>10581</v>
      </c>
      <c r="L190" t="s">
        <v>275</v>
      </c>
      <c r="M190" t="s">
        <v>11374</v>
      </c>
      <c r="O190" t="str">
        <f t="shared" si="2"/>
        <v>O000000009</v>
      </c>
    </row>
    <row r="191" spans="1:15">
      <c r="A191" t="s">
        <v>10574</v>
      </c>
      <c r="B191" t="s">
        <v>10344</v>
      </c>
      <c r="C191" t="s">
        <v>4938</v>
      </c>
      <c r="D191" t="s">
        <v>4938</v>
      </c>
      <c r="E191" t="s">
        <v>4938</v>
      </c>
      <c r="F191" t="s">
        <v>4938</v>
      </c>
      <c r="G191" t="s">
        <v>4938</v>
      </c>
      <c r="I191" t="s">
        <v>11484</v>
      </c>
      <c r="J191" t="s">
        <v>10582</v>
      </c>
      <c r="L191" t="s">
        <v>275</v>
      </c>
      <c r="M191" t="s">
        <v>11375</v>
      </c>
      <c r="O191" t="str">
        <f t="shared" si="2"/>
        <v>O000000009</v>
      </c>
    </row>
    <row r="192" spans="1:15">
      <c r="A192" t="s">
        <v>10575</v>
      </c>
      <c r="B192" t="s">
        <v>10345</v>
      </c>
      <c r="C192" t="s">
        <v>4938</v>
      </c>
      <c r="D192" t="s">
        <v>4938</v>
      </c>
      <c r="E192" t="s">
        <v>4938</v>
      </c>
      <c r="F192" t="s">
        <v>4938</v>
      </c>
      <c r="G192" t="s">
        <v>4938</v>
      </c>
      <c r="I192" t="s">
        <v>11484</v>
      </c>
      <c r="J192" t="s">
        <v>10583</v>
      </c>
      <c r="L192" t="s">
        <v>275</v>
      </c>
      <c r="M192" t="s">
        <v>11376</v>
      </c>
      <c r="O192" t="str">
        <f t="shared" si="2"/>
        <v>O000000009</v>
      </c>
    </row>
    <row r="193" spans="1:15">
      <c r="A193" t="s">
        <v>10576</v>
      </c>
      <c r="B193" t="s">
        <v>10346</v>
      </c>
      <c r="C193" t="s">
        <v>4938</v>
      </c>
      <c r="D193" t="s">
        <v>4938</v>
      </c>
      <c r="E193" t="s">
        <v>4938</v>
      </c>
      <c r="F193" t="s">
        <v>4938</v>
      </c>
      <c r="G193" t="s">
        <v>4938</v>
      </c>
      <c r="I193" t="s">
        <v>11484</v>
      </c>
      <c r="J193" t="s">
        <v>10584</v>
      </c>
      <c r="L193" t="s">
        <v>275</v>
      </c>
      <c r="M193" t="s">
        <v>11377</v>
      </c>
      <c r="O193" t="str">
        <f t="shared" si="2"/>
        <v>O000000009</v>
      </c>
    </row>
    <row r="194" spans="1:15">
      <c r="A194" t="s">
        <v>10577</v>
      </c>
      <c r="B194" t="s">
        <v>10347</v>
      </c>
      <c r="C194" t="s">
        <v>4938</v>
      </c>
      <c r="D194" t="s">
        <v>4938</v>
      </c>
      <c r="E194" t="s">
        <v>4938</v>
      </c>
      <c r="F194" t="s">
        <v>4938</v>
      </c>
      <c r="G194" t="s">
        <v>4938</v>
      </c>
      <c r="I194" t="s">
        <v>11484</v>
      </c>
      <c r="J194" t="s">
        <v>10585</v>
      </c>
      <c r="L194" t="s">
        <v>275</v>
      </c>
      <c r="M194" t="s">
        <v>11378</v>
      </c>
      <c r="O194" t="str">
        <f t="shared" si="2"/>
        <v>O000000009</v>
      </c>
    </row>
    <row r="195" spans="1:15">
      <c r="A195" t="s">
        <v>10578</v>
      </c>
      <c r="B195" t="s">
        <v>10348</v>
      </c>
      <c r="C195" t="s">
        <v>4938</v>
      </c>
      <c r="D195" t="s">
        <v>4938</v>
      </c>
      <c r="E195" t="s">
        <v>4938</v>
      </c>
      <c r="F195" t="s">
        <v>4938</v>
      </c>
      <c r="G195" t="s">
        <v>4938</v>
      </c>
      <c r="I195" t="s">
        <v>11484</v>
      </c>
      <c r="J195" t="s">
        <v>10586</v>
      </c>
      <c r="L195" t="s">
        <v>275</v>
      </c>
      <c r="M195" t="s">
        <v>11379</v>
      </c>
      <c r="O195" t="str">
        <f t="shared" ref="O195:O258" si="3">LEFT(L195,10)</f>
        <v>O000000009</v>
      </c>
    </row>
    <row r="196" spans="1:15">
      <c r="A196" t="s">
        <v>10579</v>
      </c>
      <c r="B196" t="s">
        <v>10349</v>
      </c>
      <c r="C196" t="s">
        <v>4938</v>
      </c>
      <c r="D196" t="s">
        <v>4938</v>
      </c>
      <c r="E196" t="s">
        <v>4938</v>
      </c>
      <c r="F196" t="s">
        <v>4938</v>
      </c>
      <c r="G196" t="s">
        <v>4938</v>
      </c>
      <c r="I196" t="s">
        <v>11484</v>
      </c>
      <c r="J196" t="s">
        <v>10587</v>
      </c>
      <c r="L196" t="s">
        <v>275</v>
      </c>
      <c r="M196" t="s">
        <v>11380</v>
      </c>
      <c r="O196" t="str">
        <f t="shared" si="3"/>
        <v>O000000009</v>
      </c>
    </row>
    <row r="197" spans="1:15">
      <c r="A197" t="s">
        <v>10580</v>
      </c>
      <c r="B197" t="s">
        <v>10350</v>
      </c>
      <c r="C197" t="s">
        <v>4938</v>
      </c>
      <c r="D197" t="s">
        <v>4938</v>
      </c>
      <c r="E197" t="s">
        <v>4938</v>
      </c>
      <c r="F197" t="s">
        <v>4938</v>
      </c>
      <c r="G197" t="s">
        <v>4938</v>
      </c>
      <c r="I197" t="s">
        <v>11484</v>
      </c>
      <c r="J197" t="s">
        <v>10588</v>
      </c>
      <c r="L197" t="s">
        <v>275</v>
      </c>
      <c r="M197" t="s">
        <v>11381</v>
      </c>
      <c r="O197" t="str">
        <f t="shared" si="3"/>
        <v>O000000009</v>
      </c>
    </row>
    <row r="198" spans="1:15">
      <c r="A198" t="s">
        <v>10581</v>
      </c>
      <c r="B198" t="s">
        <v>10351</v>
      </c>
      <c r="C198" t="s">
        <v>4938</v>
      </c>
      <c r="D198" t="s">
        <v>4938</v>
      </c>
      <c r="E198" t="s">
        <v>4938</v>
      </c>
      <c r="F198" t="s">
        <v>4938</v>
      </c>
      <c r="G198" t="s">
        <v>4938</v>
      </c>
      <c r="I198" t="s">
        <v>11484</v>
      </c>
      <c r="J198" t="s">
        <v>10589</v>
      </c>
      <c r="L198" t="s">
        <v>275</v>
      </c>
      <c r="M198" t="s">
        <v>11382</v>
      </c>
      <c r="O198" t="str">
        <f t="shared" si="3"/>
        <v>O000000009</v>
      </c>
    </row>
    <row r="199" spans="1:15">
      <c r="A199" t="s">
        <v>10582</v>
      </c>
      <c r="B199" t="s">
        <v>10352</v>
      </c>
      <c r="C199" t="s">
        <v>4938</v>
      </c>
      <c r="D199" t="s">
        <v>4938</v>
      </c>
      <c r="E199" t="s">
        <v>4938</v>
      </c>
      <c r="F199" t="s">
        <v>4938</v>
      </c>
      <c r="G199" t="s">
        <v>4938</v>
      </c>
      <c r="I199" t="s">
        <v>11484</v>
      </c>
      <c r="J199" t="s">
        <v>10590</v>
      </c>
      <c r="L199" t="s">
        <v>275</v>
      </c>
      <c r="M199" t="s">
        <v>11383</v>
      </c>
      <c r="O199" t="str">
        <f t="shared" si="3"/>
        <v>O000000009</v>
      </c>
    </row>
    <row r="200" spans="1:15">
      <c r="A200" t="s">
        <v>10583</v>
      </c>
      <c r="B200" t="s">
        <v>10353</v>
      </c>
      <c r="C200" t="s">
        <v>4938</v>
      </c>
      <c r="D200" t="s">
        <v>4938</v>
      </c>
      <c r="E200" t="s">
        <v>4938</v>
      </c>
      <c r="F200" t="s">
        <v>4938</v>
      </c>
      <c r="G200" t="s">
        <v>4938</v>
      </c>
      <c r="I200" t="s">
        <v>11484</v>
      </c>
      <c r="J200" t="s">
        <v>10591</v>
      </c>
      <c r="L200" t="s">
        <v>275</v>
      </c>
      <c r="M200" t="s">
        <v>11384</v>
      </c>
      <c r="O200" t="str">
        <f t="shared" si="3"/>
        <v>O000000009</v>
      </c>
    </row>
    <row r="201" spans="1:15">
      <c r="A201" t="s">
        <v>10584</v>
      </c>
      <c r="B201" t="s">
        <v>10354</v>
      </c>
      <c r="C201" t="s">
        <v>4938</v>
      </c>
      <c r="D201" t="s">
        <v>4938</v>
      </c>
      <c r="E201" t="s">
        <v>4938</v>
      </c>
      <c r="F201" t="s">
        <v>4938</v>
      </c>
      <c r="G201" t="s">
        <v>4938</v>
      </c>
      <c r="I201" t="s">
        <v>11484</v>
      </c>
      <c r="J201" t="s">
        <v>10592</v>
      </c>
      <c r="L201" t="s">
        <v>275</v>
      </c>
      <c r="M201" t="s">
        <v>11385</v>
      </c>
      <c r="O201" t="str">
        <f t="shared" si="3"/>
        <v>O000000009</v>
      </c>
    </row>
    <row r="202" spans="1:15">
      <c r="A202" t="s">
        <v>10585</v>
      </c>
      <c r="B202" t="s">
        <v>10355</v>
      </c>
      <c r="C202" t="s">
        <v>4938</v>
      </c>
      <c r="D202" t="s">
        <v>4938</v>
      </c>
      <c r="E202" t="s">
        <v>4938</v>
      </c>
      <c r="F202" t="s">
        <v>4938</v>
      </c>
      <c r="G202" t="s">
        <v>4938</v>
      </c>
      <c r="I202" t="s">
        <v>11484</v>
      </c>
      <c r="J202" t="s">
        <v>10593</v>
      </c>
      <c r="L202" t="s">
        <v>275</v>
      </c>
      <c r="M202" t="s">
        <v>11386</v>
      </c>
      <c r="O202" t="str">
        <f t="shared" si="3"/>
        <v>O000000009</v>
      </c>
    </row>
    <row r="203" spans="1:15">
      <c r="A203" t="s">
        <v>10586</v>
      </c>
      <c r="B203" t="s">
        <v>10356</v>
      </c>
      <c r="C203" t="s">
        <v>4938</v>
      </c>
      <c r="D203" t="s">
        <v>4938</v>
      </c>
      <c r="E203" t="s">
        <v>4938</v>
      </c>
      <c r="F203" t="s">
        <v>4938</v>
      </c>
      <c r="G203" t="s">
        <v>4938</v>
      </c>
      <c r="I203" t="s">
        <v>11484</v>
      </c>
      <c r="J203" t="s">
        <v>10594</v>
      </c>
      <c r="L203" t="s">
        <v>275</v>
      </c>
      <c r="M203" t="s">
        <v>11387</v>
      </c>
      <c r="O203" t="str">
        <f t="shared" si="3"/>
        <v>O000000009</v>
      </c>
    </row>
    <row r="204" spans="1:15">
      <c r="A204" t="s">
        <v>10587</v>
      </c>
      <c r="B204" t="s">
        <v>10357</v>
      </c>
      <c r="C204" t="s">
        <v>4938</v>
      </c>
      <c r="D204" t="s">
        <v>4938</v>
      </c>
      <c r="E204" t="s">
        <v>4938</v>
      </c>
      <c r="F204" t="s">
        <v>4938</v>
      </c>
      <c r="G204" t="s">
        <v>4938</v>
      </c>
      <c r="I204" t="s">
        <v>11484</v>
      </c>
      <c r="J204" t="s">
        <v>10595</v>
      </c>
      <c r="L204" t="s">
        <v>275</v>
      </c>
      <c r="M204" t="s">
        <v>11388</v>
      </c>
      <c r="O204" t="str">
        <f t="shared" si="3"/>
        <v>O000000009</v>
      </c>
    </row>
    <row r="205" spans="1:15">
      <c r="A205" t="s">
        <v>10588</v>
      </c>
      <c r="B205" t="s">
        <v>10358</v>
      </c>
      <c r="C205" t="s">
        <v>4938</v>
      </c>
      <c r="D205" t="s">
        <v>4938</v>
      </c>
      <c r="E205" t="s">
        <v>4938</v>
      </c>
      <c r="F205" t="s">
        <v>4938</v>
      </c>
      <c r="G205" t="s">
        <v>4938</v>
      </c>
      <c r="I205" t="s">
        <v>11484</v>
      </c>
      <c r="J205" t="s">
        <v>10596</v>
      </c>
      <c r="L205" t="s">
        <v>275</v>
      </c>
      <c r="M205" t="s">
        <v>11389</v>
      </c>
      <c r="O205" t="str">
        <f t="shared" si="3"/>
        <v>O000000009</v>
      </c>
    </row>
    <row r="206" spans="1:15">
      <c r="A206" t="s">
        <v>10589</v>
      </c>
      <c r="B206" t="s">
        <v>10359</v>
      </c>
      <c r="C206" t="s">
        <v>4938</v>
      </c>
      <c r="D206" t="s">
        <v>4938</v>
      </c>
      <c r="E206" t="s">
        <v>4938</v>
      </c>
      <c r="F206" t="s">
        <v>4938</v>
      </c>
      <c r="G206" t="s">
        <v>4938</v>
      </c>
      <c r="I206" t="s">
        <v>11484</v>
      </c>
      <c r="J206" t="s">
        <v>10597</v>
      </c>
      <c r="L206" t="s">
        <v>275</v>
      </c>
      <c r="M206" t="s">
        <v>11390</v>
      </c>
      <c r="O206" t="str">
        <f t="shared" si="3"/>
        <v>O000000009</v>
      </c>
    </row>
    <row r="207" spans="1:15">
      <c r="A207" t="s">
        <v>10590</v>
      </c>
      <c r="B207" t="s">
        <v>10360</v>
      </c>
      <c r="C207" t="s">
        <v>4938</v>
      </c>
      <c r="D207" t="s">
        <v>4938</v>
      </c>
      <c r="E207" t="s">
        <v>4938</v>
      </c>
      <c r="F207" t="s">
        <v>4938</v>
      </c>
      <c r="G207" t="s">
        <v>4938</v>
      </c>
      <c r="I207" t="s">
        <v>11484</v>
      </c>
      <c r="J207" t="s">
        <v>10598</v>
      </c>
      <c r="L207" t="s">
        <v>275</v>
      </c>
      <c r="M207" t="s">
        <v>11391</v>
      </c>
      <c r="O207" t="str">
        <f t="shared" si="3"/>
        <v>O000000009</v>
      </c>
    </row>
    <row r="208" spans="1:15">
      <c r="A208" t="s">
        <v>10591</v>
      </c>
      <c r="B208" t="s">
        <v>10361</v>
      </c>
      <c r="C208" t="s">
        <v>4938</v>
      </c>
      <c r="D208" t="s">
        <v>4938</v>
      </c>
      <c r="E208" t="s">
        <v>4938</v>
      </c>
      <c r="F208" t="s">
        <v>4938</v>
      </c>
      <c r="G208" t="s">
        <v>4938</v>
      </c>
      <c r="I208" t="s">
        <v>11484</v>
      </c>
      <c r="J208" t="s">
        <v>10599</v>
      </c>
      <c r="L208" t="s">
        <v>275</v>
      </c>
      <c r="M208" t="s">
        <v>11392</v>
      </c>
      <c r="O208" t="str">
        <f t="shared" si="3"/>
        <v>O000000009</v>
      </c>
    </row>
    <row r="209" spans="1:15">
      <c r="A209" t="s">
        <v>10592</v>
      </c>
      <c r="B209" t="s">
        <v>10362</v>
      </c>
      <c r="C209" t="s">
        <v>4938</v>
      </c>
      <c r="D209" t="s">
        <v>4938</v>
      </c>
      <c r="E209" t="s">
        <v>4938</v>
      </c>
      <c r="F209" t="s">
        <v>4938</v>
      </c>
      <c r="G209" t="s">
        <v>4938</v>
      </c>
      <c r="I209" t="s">
        <v>11484</v>
      </c>
      <c r="J209" t="s">
        <v>10600</v>
      </c>
      <c r="L209" t="s">
        <v>275</v>
      </c>
      <c r="M209" t="s">
        <v>11393</v>
      </c>
      <c r="O209" t="str">
        <f t="shared" si="3"/>
        <v>O000000009</v>
      </c>
    </row>
    <row r="210" spans="1:15">
      <c r="A210" t="s">
        <v>10593</v>
      </c>
      <c r="B210" t="s">
        <v>10363</v>
      </c>
      <c r="C210" t="s">
        <v>4938</v>
      </c>
      <c r="D210" t="s">
        <v>4938</v>
      </c>
      <c r="E210" t="s">
        <v>4938</v>
      </c>
      <c r="F210" t="s">
        <v>4938</v>
      </c>
      <c r="G210" t="s">
        <v>4938</v>
      </c>
      <c r="I210" t="s">
        <v>11484</v>
      </c>
      <c r="J210" t="s">
        <v>10601</v>
      </c>
      <c r="L210" t="s">
        <v>275</v>
      </c>
      <c r="M210" t="s">
        <v>11394</v>
      </c>
      <c r="O210" t="str">
        <f t="shared" si="3"/>
        <v>O000000009</v>
      </c>
    </row>
    <row r="211" spans="1:15">
      <c r="A211" t="s">
        <v>10594</v>
      </c>
      <c r="B211" t="s">
        <v>10364</v>
      </c>
      <c r="C211" t="s">
        <v>4938</v>
      </c>
      <c r="D211" t="s">
        <v>4938</v>
      </c>
      <c r="E211" t="s">
        <v>4938</v>
      </c>
      <c r="F211" t="s">
        <v>4938</v>
      </c>
      <c r="G211" t="s">
        <v>4938</v>
      </c>
      <c r="I211" t="s">
        <v>11484</v>
      </c>
      <c r="J211" t="s">
        <v>10602</v>
      </c>
      <c r="L211" t="s">
        <v>275</v>
      </c>
      <c r="M211" t="s">
        <v>11395</v>
      </c>
      <c r="O211" t="str">
        <f t="shared" si="3"/>
        <v>O000000009</v>
      </c>
    </row>
    <row r="212" spans="1:15">
      <c r="A212" t="s">
        <v>10595</v>
      </c>
      <c r="B212" t="s">
        <v>10365</v>
      </c>
      <c r="C212" t="s">
        <v>4938</v>
      </c>
      <c r="D212" t="s">
        <v>4938</v>
      </c>
      <c r="E212" t="s">
        <v>4938</v>
      </c>
      <c r="F212" t="s">
        <v>4938</v>
      </c>
      <c r="G212" t="s">
        <v>4938</v>
      </c>
      <c r="I212" t="s">
        <v>11484</v>
      </c>
      <c r="J212" t="s">
        <v>10603</v>
      </c>
      <c r="L212" t="s">
        <v>275</v>
      </c>
      <c r="M212" t="s">
        <v>11396</v>
      </c>
      <c r="O212" t="str">
        <f t="shared" si="3"/>
        <v>O000000009</v>
      </c>
    </row>
    <row r="213" spans="1:15">
      <c r="A213" t="s">
        <v>10596</v>
      </c>
      <c r="B213" t="s">
        <v>10366</v>
      </c>
      <c r="C213" t="s">
        <v>4938</v>
      </c>
      <c r="D213" t="s">
        <v>4938</v>
      </c>
      <c r="E213" t="s">
        <v>4938</v>
      </c>
      <c r="F213" t="s">
        <v>4938</v>
      </c>
      <c r="G213" t="s">
        <v>4938</v>
      </c>
      <c r="I213" t="s">
        <v>1174</v>
      </c>
      <c r="J213" t="s">
        <v>10604</v>
      </c>
      <c r="L213" t="s">
        <v>275</v>
      </c>
      <c r="M213" t="s">
        <v>11397</v>
      </c>
      <c r="O213" t="str">
        <f t="shared" si="3"/>
        <v>O000000009</v>
      </c>
    </row>
    <row r="214" spans="1:15">
      <c r="A214" t="s">
        <v>10597</v>
      </c>
      <c r="B214" t="s">
        <v>10367</v>
      </c>
      <c r="C214" t="s">
        <v>4938</v>
      </c>
      <c r="D214" t="s">
        <v>4938</v>
      </c>
      <c r="E214" t="s">
        <v>4938</v>
      </c>
      <c r="F214" t="s">
        <v>4938</v>
      </c>
      <c r="G214" t="s">
        <v>4938</v>
      </c>
      <c r="I214" t="s">
        <v>1174</v>
      </c>
      <c r="J214" t="s">
        <v>10605</v>
      </c>
      <c r="L214" t="s">
        <v>275</v>
      </c>
      <c r="M214" t="s">
        <v>11398</v>
      </c>
      <c r="O214" t="str">
        <f t="shared" si="3"/>
        <v>O000000009</v>
      </c>
    </row>
    <row r="215" spans="1:15">
      <c r="A215" t="s">
        <v>10598</v>
      </c>
      <c r="B215" t="s">
        <v>10368</v>
      </c>
      <c r="C215" t="s">
        <v>4938</v>
      </c>
      <c r="D215" t="s">
        <v>4938</v>
      </c>
      <c r="E215" t="s">
        <v>4938</v>
      </c>
      <c r="F215" t="s">
        <v>4938</v>
      </c>
      <c r="G215" t="s">
        <v>4938</v>
      </c>
      <c r="I215" t="s">
        <v>1174</v>
      </c>
      <c r="J215" t="s">
        <v>10606</v>
      </c>
      <c r="L215" t="s">
        <v>275</v>
      </c>
      <c r="M215" t="s">
        <v>11399</v>
      </c>
      <c r="O215" t="str">
        <f t="shared" si="3"/>
        <v>O000000009</v>
      </c>
    </row>
    <row r="216" spans="1:15">
      <c r="A216" t="s">
        <v>10599</v>
      </c>
      <c r="B216" t="s">
        <v>10369</v>
      </c>
      <c r="C216" t="s">
        <v>4938</v>
      </c>
      <c r="D216" t="s">
        <v>4938</v>
      </c>
      <c r="E216" t="s">
        <v>4938</v>
      </c>
      <c r="F216" t="s">
        <v>4938</v>
      </c>
      <c r="G216" t="s">
        <v>4938</v>
      </c>
      <c r="I216" t="s">
        <v>1174</v>
      </c>
      <c r="J216" t="s">
        <v>10607</v>
      </c>
      <c r="L216" t="s">
        <v>275</v>
      </c>
      <c r="M216" t="s">
        <v>11400</v>
      </c>
      <c r="O216" t="str">
        <f t="shared" si="3"/>
        <v>O000000009</v>
      </c>
    </row>
    <row r="217" spans="1:15">
      <c r="A217" t="s">
        <v>10600</v>
      </c>
      <c r="B217" t="s">
        <v>10370</v>
      </c>
      <c r="C217" t="s">
        <v>4938</v>
      </c>
      <c r="D217" t="s">
        <v>4938</v>
      </c>
      <c r="E217" t="s">
        <v>4938</v>
      </c>
      <c r="F217" t="s">
        <v>4938</v>
      </c>
      <c r="G217" t="s">
        <v>4938</v>
      </c>
      <c r="I217" t="s">
        <v>11485</v>
      </c>
      <c r="J217" t="s">
        <v>10608</v>
      </c>
      <c r="L217" t="s">
        <v>275</v>
      </c>
      <c r="M217" t="s">
        <v>11401</v>
      </c>
      <c r="O217" t="str">
        <f t="shared" si="3"/>
        <v>O000000009</v>
      </c>
    </row>
    <row r="218" spans="1:15">
      <c r="A218" t="s">
        <v>10601</v>
      </c>
      <c r="B218" t="s">
        <v>10371</v>
      </c>
      <c r="C218" t="s">
        <v>4938</v>
      </c>
      <c r="D218" t="s">
        <v>4938</v>
      </c>
      <c r="E218" t="s">
        <v>4938</v>
      </c>
      <c r="F218" t="s">
        <v>4938</v>
      </c>
      <c r="G218" t="s">
        <v>4938</v>
      </c>
      <c r="I218" t="s">
        <v>11485</v>
      </c>
      <c r="J218" t="s">
        <v>10609</v>
      </c>
      <c r="L218" t="s">
        <v>275</v>
      </c>
      <c r="M218" t="s">
        <v>11402</v>
      </c>
      <c r="O218" t="str">
        <f t="shared" si="3"/>
        <v>O000000009</v>
      </c>
    </row>
    <row r="219" spans="1:15">
      <c r="A219" t="s">
        <v>10602</v>
      </c>
      <c r="B219" t="s">
        <v>10372</v>
      </c>
      <c r="C219" t="s">
        <v>4938</v>
      </c>
      <c r="D219" t="s">
        <v>4938</v>
      </c>
      <c r="E219" t="s">
        <v>4938</v>
      </c>
      <c r="F219" t="s">
        <v>4938</v>
      </c>
      <c r="G219" t="s">
        <v>4938</v>
      </c>
      <c r="I219" t="s">
        <v>11485</v>
      </c>
      <c r="J219" t="s">
        <v>10610</v>
      </c>
      <c r="L219" t="s">
        <v>275</v>
      </c>
      <c r="M219" t="s">
        <v>11403</v>
      </c>
      <c r="O219" t="str">
        <f t="shared" si="3"/>
        <v>O000000009</v>
      </c>
    </row>
    <row r="220" spans="1:15">
      <c r="A220" t="s">
        <v>10603</v>
      </c>
      <c r="B220" t="s">
        <v>10373</v>
      </c>
      <c r="C220" t="s">
        <v>4938</v>
      </c>
      <c r="D220" t="s">
        <v>4938</v>
      </c>
      <c r="E220" t="s">
        <v>4938</v>
      </c>
      <c r="F220" t="s">
        <v>4938</v>
      </c>
      <c r="G220" t="s">
        <v>4938</v>
      </c>
      <c r="I220" t="s">
        <v>11485</v>
      </c>
      <c r="J220" t="s">
        <v>10611</v>
      </c>
      <c r="L220" t="s">
        <v>275</v>
      </c>
      <c r="M220" t="s">
        <v>11404</v>
      </c>
      <c r="O220" t="str">
        <f t="shared" si="3"/>
        <v>O000000009</v>
      </c>
    </row>
    <row r="221" spans="1:15">
      <c r="A221" t="s">
        <v>10604</v>
      </c>
      <c r="B221" t="s">
        <v>10374</v>
      </c>
      <c r="C221" t="s">
        <v>4938</v>
      </c>
      <c r="D221" t="s">
        <v>4938</v>
      </c>
      <c r="E221" t="s">
        <v>4938</v>
      </c>
      <c r="F221" t="s">
        <v>4938</v>
      </c>
      <c r="G221" t="s">
        <v>4938</v>
      </c>
      <c r="I221" t="s">
        <v>11485</v>
      </c>
      <c r="J221" t="s">
        <v>10612</v>
      </c>
      <c r="L221" t="s">
        <v>275</v>
      </c>
      <c r="M221" t="s">
        <v>11405</v>
      </c>
      <c r="O221" t="str">
        <f t="shared" si="3"/>
        <v>O000000009</v>
      </c>
    </row>
    <row r="222" spans="1:15">
      <c r="A222" t="s">
        <v>10605</v>
      </c>
      <c r="B222" t="s">
        <v>10376</v>
      </c>
      <c r="C222" t="s">
        <v>4938</v>
      </c>
      <c r="D222" t="s">
        <v>4938</v>
      </c>
      <c r="E222" t="s">
        <v>4938</v>
      </c>
      <c r="F222" t="s">
        <v>4938</v>
      </c>
      <c r="G222" t="s">
        <v>4938</v>
      </c>
      <c r="I222" t="s">
        <v>11485</v>
      </c>
      <c r="J222" t="s">
        <v>10613</v>
      </c>
      <c r="L222" t="s">
        <v>275</v>
      </c>
      <c r="M222" t="s">
        <v>11406</v>
      </c>
      <c r="O222" t="str">
        <f t="shared" si="3"/>
        <v>O000000009</v>
      </c>
    </row>
    <row r="223" spans="1:15">
      <c r="A223" t="s">
        <v>10606</v>
      </c>
      <c r="B223" t="s">
        <v>10377</v>
      </c>
      <c r="C223" t="s">
        <v>4938</v>
      </c>
      <c r="D223" t="s">
        <v>4938</v>
      </c>
      <c r="E223" t="s">
        <v>4938</v>
      </c>
      <c r="F223" t="s">
        <v>4938</v>
      </c>
      <c r="G223" t="s">
        <v>4938</v>
      </c>
      <c r="I223" t="s">
        <v>11485</v>
      </c>
      <c r="J223" t="s">
        <v>10614</v>
      </c>
      <c r="L223" t="s">
        <v>275</v>
      </c>
      <c r="M223" t="s">
        <v>11407</v>
      </c>
      <c r="O223" t="str">
        <f t="shared" si="3"/>
        <v>O000000009</v>
      </c>
    </row>
    <row r="224" spans="1:15">
      <c r="A224" t="s">
        <v>10607</v>
      </c>
      <c r="B224" t="s">
        <v>10378</v>
      </c>
      <c r="C224" t="s">
        <v>4938</v>
      </c>
      <c r="D224" t="s">
        <v>4938</v>
      </c>
      <c r="E224" t="s">
        <v>4938</v>
      </c>
      <c r="F224" t="s">
        <v>4938</v>
      </c>
      <c r="G224" t="s">
        <v>4938</v>
      </c>
      <c r="I224" t="s">
        <v>11485</v>
      </c>
      <c r="J224" t="s">
        <v>10615</v>
      </c>
      <c r="L224" t="s">
        <v>275</v>
      </c>
      <c r="M224" t="s">
        <v>11408</v>
      </c>
      <c r="O224" t="str">
        <f t="shared" si="3"/>
        <v>O000000009</v>
      </c>
    </row>
    <row r="225" spans="1:15">
      <c r="A225" t="s">
        <v>10608</v>
      </c>
      <c r="B225" t="s">
        <v>10379</v>
      </c>
      <c r="C225" t="s">
        <v>4938</v>
      </c>
      <c r="D225" t="s">
        <v>4938</v>
      </c>
      <c r="E225" t="s">
        <v>4938</v>
      </c>
      <c r="F225" t="s">
        <v>4938</v>
      </c>
      <c r="G225" t="s">
        <v>4938</v>
      </c>
      <c r="I225" t="s">
        <v>11485</v>
      </c>
      <c r="J225" t="s">
        <v>10616</v>
      </c>
      <c r="L225" t="s">
        <v>275</v>
      </c>
      <c r="M225" t="s">
        <v>11409</v>
      </c>
      <c r="O225" t="str">
        <f t="shared" si="3"/>
        <v>O000000009</v>
      </c>
    </row>
    <row r="226" spans="1:15">
      <c r="A226" t="s">
        <v>10609</v>
      </c>
      <c r="B226" t="s">
        <v>10381</v>
      </c>
      <c r="C226" t="s">
        <v>4938</v>
      </c>
      <c r="D226" t="s">
        <v>4938</v>
      </c>
      <c r="E226" t="s">
        <v>4938</v>
      </c>
      <c r="F226" t="s">
        <v>4938</v>
      </c>
      <c r="G226" t="s">
        <v>4938</v>
      </c>
      <c r="I226" t="s">
        <v>11485</v>
      </c>
      <c r="J226" t="s">
        <v>10617</v>
      </c>
      <c r="L226" t="s">
        <v>275</v>
      </c>
      <c r="M226" t="s">
        <v>11410</v>
      </c>
      <c r="O226" t="str">
        <f t="shared" si="3"/>
        <v>O000000009</v>
      </c>
    </row>
    <row r="227" spans="1:15">
      <c r="A227" t="s">
        <v>10610</v>
      </c>
      <c r="B227" t="s">
        <v>10382</v>
      </c>
      <c r="C227" t="s">
        <v>4938</v>
      </c>
      <c r="D227" t="s">
        <v>4938</v>
      </c>
      <c r="E227" t="s">
        <v>4938</v>
      </c>
      <c r="F227" t="s">
        <v>4938</v>
      </c>
      <c r="G227" t="s">
        <v>4938</v>
      </c>
      <c r="I227" t="s">
        <v>11485</v>
      </c>
      <c r="J227" t="s">
        <v>10618</v>
      </c>
      <c r="L227" t="s">
        <v>275</v>
      </c>
      <c r="M227" t="s">
        <v>11411</v>
      </c>
      <c r="O227" t="str">
        <f t="shared" si="3"/>
        <v>O000000009</v>
      </c>
    </row>
    <row r="228" spans="1:15">
      <c r="A228" t="s">
        <v>10611</v>
      </c>
      <c r="B228" t="s">
        <v>10383</v>
      </c>
      <c r="C228" t="s">
        <v>4938</v>
      </c>
      <c r="D228" t="s">
        <v>4938</v>
      </c>
      <c r="E228" t="s">
        <v>4938</v>
      </c>
      <c r="F228" t="s">
        <v>4938</v>
      </c>
      <c r="G228" t="s">
        <v>4938</v>
      </c>
      <c r="I228" t="s">
        <v>11485</v>
      </c>
      <c r="J228" t="s">
        <v>10619</v>
      </c>
      <c r="L228" t="s">
        <v>275</v>
      </c>
      <c r="M228" t="s">
        <v>11412</v>
      </c>
      <c r="O228" t="str">
        <f t="shared" si="3"/>
        <v>O000000009</v>
      </c>
    </row>
    <row r="229" spans="1:15">
      <c r="A229" t="s">
        <v>10612</v>
      </c>
      <c r="B229" t="s">
        <v>10384</v>
      </c>
      <c r="C229" t="s">
        <v>4938</v>
      </c>
      <c r="D229" t="s">
        <v>4938</v>
      </c>
      <c r="E229" t="s">
        <v>4938</v>
      </c>
      <c r="F229" t="s">
        <v>4938</v>
      </c>
      <c r="G229" t="s">
        <v>4938</v>
      </c>
      <c r="I229" t="s">
        <v>11485</v>
      </c>
      <c r="J229" t="s">
        <v>10620</v>
      </c>
      <c r="L229" t="s">
        <v>275</v>
      </c>
      <c r="M229" t="s">
        <v>11413</v>
      </c>
      <c r="O229" t="str">
        <f t="shared" si="3"/>
        <v>O000000009</v>
      </c>
    </row>
    <row r="230" spans="1:15">
      <c r="A230" t="s">
        <v>10613</v>
      </c>
      <c r="B230" t="s">
        <v>10385</v>
      </c>
      <c r="C230" t="s">
        <v>4938</v>
      </c>
      <c r="D230" t="s">
        <v>4938</v>
      </c>
      <c r="E230" t="s">
        <v>4938</v>
      </c>
      <c r="F230" t="s">
        <v>4938</v>
      </c>
      <c r="G230" t="s">
        <v>4938</v>
      </c>
      <c r="I230" t="s">
        <v>11485</v>
      </c>
      <c r="J230" t="s">
        <v>10621</v>
      </c>
      <c r="L230" t="s">
        <v>275</v>
      </c>
      <c r="M230" t="s">
        <v>11414</v>
      </c>
      <c r="O230" t="str">
        <f t="shared" si="3"/>
        <v>O000000009</v>
      </c>
    </row>
    <row r="231" spans="1:15">
      <c r="A231" t="s">
        <v>10614</v>
      </c>
      <c r="B231" t="s">
        <v>10386</v>
      </c>
      <c r="C231" t="s">
        <v>4938</v>
      </c>
      <c r="D231" t="s">
        <v>4938</v>
      </c>
      <c r="E231" t="s">
        <v>4938</v>
      </c>
      <c r="F231" t="s">
        <v>4938</v>
      </c>
      <c r="G231" t="s">
        <v>4938</v>
      </c>
      <c r="I231" t="s">
        <v>11485</v>
      </c>
      <c r="J231" t="s">
        <v>10622</v>
      </c>
      <c r="L231" t="s">
        <v>275</v>
      </c>
      <c r="M231" t="s">
        <v>11415</v>
      </c>
      <c r="O231" t="str">
        <f t="shared" si="3"/>
        <v>O000000009</v>
      </c>
    </row>
    <row r="232" spans="1:15">
      <c r="A232" t="s">
        <v>10615</v>
      </c>
      <c r="B232" t="s">
        <v>10387</v>
      </c>
      <c r="C232" t="s">
        <v>4938</v>
      </c>
      <c r="D232" t="s">
        <v>4938</v>
      </c>
      <c r="E232" t="s">
        <v>4938</v>
      </c>
      <c r="F232" t="s">
        <v>4938</v>
      </c>
      <c r="G232" t="s">
        <v>4938</v>
      </c>
      <c r="I232" t="s">
        <v>11485</v>
      </c>
      <c r="J232" t="s">
        <v>10623</v>
      </c>
      <c r="L232" t="s">
        <v>275</v>
      </c>
      <c r="M232" t="s">
        <v>11416</v>
      </c>
      <c r="O232" t="str">
        <f t="shared" si="3"/>
        <v>O000000009</v>
      </c>
    </row>
    <row r="233" spans="1:15">
      <c r="A233" t="s">
        <v>10616</v>
      </c>
      <c r="B233" t="s">
        <v>10388</v>
      </c>
      <c r="C233" t="s">
        <v>4938</v>
      </c>
      <c r="D233" t="s">
        <v>4938</v>
      </c>
      <c r="E233" t="s">
        <v>4938</v>
      </c>
      <c r="F233" t="s">
        <v>4938</v>
      </c>
      <c r="G233" t="s">
        <v>4938</v>
      </c>
      <c r="I233" t="s">
        <v>11485</v>
      </c>
      <c r="J233" t="s">
        <v>10624</v>
      </c>
      <c r="L233" t="s">
        <v>275</v>
      </c>
      <c r="M233" t="s">
        <v>11417</v>
      </c>
      <c r="O233" t="str">
        <f t="shared" si="3"/>
        <v>O000000009</v>
      </c>
    </row>
    <row r="234" spans="1:15">
      <c r="A234" t="s">
        <v>10617</v>
      </c>
      <c r="B234" t="s">
        <v>10389</v>
      </c>
      <c r="C234" t="s">
        <v>4938</v>
      </c>
      <c r="D234" t="s">
        <v>4938</v>
      </c>
      <c r="E234" t="s">
        <v>4938</v>
      </c>
      <c r="F234" t="s">
        <v>4938</v>
      </c>
      <c r="G234" t="s">
        <v>4938</v>
      </c>
      <c r="I234" t="s">
        <v>11485</v>
      </c>
      <c r="J234" t="s">
        <v>10625</v>
      </c>
      <c r="L234" t="s">
        <v>275</v>
      </c>
      <c r="M234" t="s">
        <v>11418</v>
      </c>
      <c r="O234" t="str">
        <f t="shared" si="3"/>
        <v>O000000009</v>
      </c>
    </row>
    <row r="235" spans="1:15">
      <c r="A235" t="s">
        <v>10618</v>
      </c>
      <c r="B235" t="s">
        <v>10390</v>
      </c>
      <c r="C235" t="s">
        <v>4938</v>
      </c>
      <c r="D235" t="s">
        <v>4938</v>
      </c>
      <c r="E235" t="s">
        <v>4938</v>
      </c>
      <c r="F235" t="s">
        <v>4938</v>
      </c>
      <c r="G235" t="s">
        <v>4938</v>
      </c>
      <c r="I235" t="s">
        <v>11485</v>
      </c>
      <c r="J235" t="s">
        <v>10626</v>
      </c>
      <c r="L235" t="s">
        <v>275</v>
      </c>
      <c r="M235" t="s">
        <v>11419</v>
      </c>
      <c r="O235" t="str">
        <f t="shared" si="3"/>
        <v>O000000009</v>
      </c>
    </row>
    <row r="236" spans="1:15">
      <c r="A236" t="s">
        <v>10619</v>
      </c>
      <c r="B236" t="s">
        <v>10391</v>
      </c>
      <c r="C236" t="s">
        <v>4938</v>
      </c>
      <c r="D236" t="s">
        <v>4938</v>
      </c>
      <c r="E236" t="s">
        <v>4938</v>
      </c>
      <c r="F236" t="s">
        <v>4938</v>
      </c>
      <c r="G236" t="s">
        <v>4938</v>
      </c>
      <c r="I236" t="s">
        <v>11485</v>
      </c>
      <c r="J236" t="s">
        <v>10627</v>
      </c>
      <c r="L236" t="s">
        <v>275</v>
      </c>
      <c r="M236" t="s">
        <v>11420</v>
      </c>
      <c r="O236" t="str">
        <f t="shared" si="3"/>
        <v>O000000009</v>
      </c>
    </row>
    <row r="237" spans="1:15">
      <c r="A237" t="s">
        <v>10620</v>
      </c>
      <c r="B237" t="s">
        <v>10392</v>
      </c>
      <c r="C237" t="s">
        <v>4938</v>
      </c>
      <c r="D237" t="s">
        <v>4938</v>
      </c>
      <c r="E237" t="s">
        <v>4938</v>
      </c>
      <c r="F237" t="s">
        <v>4938</v>
      </c>
      <c r="G237" t="s">
        <v>4938</v>
      </c>
      <c r="I237" t="s">
        <v>11485</v>
      </c>
      <c r="J237" t="s">
        <v>10628</v>
      </c>
      <c r="L237" t="s">
        <v>275</v>
      </c>
      <c r="M237" t="s">
        <v>11421</v>
      </c>
      <c r="O237" t="str">
        <f t="shared" si="3"/>
        <v>O000000009</v>
      </c>
    </row>
    <row r="238" spans="1:15">
      <c r="A238" t="s">
        <v>10621</v>
      </c>
      <c r="B238" t="s">
        <v>10393</v>
      </c>
      <c r="C238" t="s">
        <v>4938</v>
      </c>
      <c r="D238" t="s">
        <v>4938</v>
      </c>
      <c r="E238" t="s">
        <v>4938</v>
      </c>
      <c r="F238" t="s">
        <v>4938</v>
      </c>
      <c r="G238" t="s">
        <v>4938</v>
      </c>
      <c r="I238" t="s">
        <v>11485</v>
      </c>
      <c r="J238" t="s">
        <v>10629</v>
      </c>
      <c r="L238" t="s">
        <v>275</v>
      </c>
      <c r="M238" t="s">
        <v>11422</v>
      </c>
      <c r="O238" t="str">
        <f t="shared" si="3"/>
        <v>O000000009</v>
      </c>
    </row>
    <row r="239" spans="1:15">
      <c r="A239" t="s">
        <v>10622</v>
      </c>
      <c r="B239" t="s">
        <v>10394</v>
      </c>
      <c r="C239" t="s">
        <v>4938</v>
      </c>
      <c r="D239" t="s">
        <v>4938</v>
      </c>
      <c r="E239" t="s">
        <v>4938</v>
      </c>
      <c r="F239" t="s">
        <v>4938</v>
      </c>
      <c r="G239" t="s">
        <v>4938</v>
      </c>
      <c r="I239" t="s">
        <v>11485</v>
      </c>
      <c r="J239" t="s">
        <v>10630</v>
      </c>
      <c r="L239" t="s">
        <v>275</v>
      </c>
      <c r="M239" t="s">
        <v>11423</v>
      </c>
      <c r="O239" t="str">
        <f t="shared" si="3"/>
        <v>O000000009</v>
      </c>
    </row>
    <row r="240" spans="1:15">
      <c r="A240" t="s">
        <v>10623</v>
      </c>
      <c r="B240" t="s">
        <v>10395</v>
      </c>
      <c r="C240" t="s">
        <v>4938</v>
      </c>
      <c r="D240" t="s">
        <v>4938</v>
      </c>
      <c r="E240" t="s">
        <v>4938</v>
      </c>
      <c r="F240" t="s">
        <v>4938</v>
      </c>
      <c r="G240" t="s">
        <v>4938</v>
      </c>
      <c r="I240" t="s">
        <v>11485</v>
      </c>
      <c r="J240" t="s">
        <v>10631</v>
      </c>
      <c r="L240" t="s">
        <v>275</v>
      </c>
      <c r="M240" t="s">
        <v>11424</v>
      </c>
      <c r="O240" t="str">
        <f t="shared" si="3"/>
        <v>O000000009</v>
      </c>
    </row>
    <row r="241" spans="1:15">
      <c r="A241" t="s">
        <v>10624</v>
      </c>
      <c r="B241" t="s">
        <v>10396</v>
      </c>
      <c r="C241" t="s">
        <v>4938</v>
      </c>
      <c r="D241" t="s">
        <v>4938</v>
      </c>
      <c r="E241" t="s">
        <v>4938</v>
      </c>
      <c r="F241" t="s">
        <v>4938</v>
      </c>
      <c r="G241" t="s">
        <v>4938</v>
      </c>
      <c r="I241" t="s">
        <v>11485</v>
      </c>
      <c r="J241" t="s">
        <v>10632</v>
      </c>
      <c r="L241" t="s">
        <v>275</v>
      </c>
      <c r="M241" t="s">
        <v>11425</v>
      </c>
      <c r="O241" t="str">
        <f t="shared" si="3"/>
        <v>O000000009</v>
      </c>
    </row>
    <row r="242" spans="1:15">
      <c r="A242" t="s">
        <v>10625</v>
      </c>
      <c r="B242" t="s">
        <v>10397</v>
      </c>
      <c r="C242" t="s">
        <v>4938</v>
      </c>
      <c r="D242" t="s">
        <v>4938</v>
      </c>
      <c r="E242" t="s">
        <v>4938</v>
      </c>
      <c r="F242" t="s">
        <v>4938</v>
      </c>
      <c r="G242" t="s">
        <v>4938</v>
      </c>
      <c r="I242" t="s">
        <v>11485</v>
      </c>
      <c r="J242" t="s">
        <v>10633</v>
      </c>
      <c r="L242" t="s">
        <v>275</v>
      </c>
      <c r="M242" t="s">
        <v>11426</v>
      </c>
      <c r="O242" t="str">
        <f t="shared" si="3"/>
        <v>O000000009</v>
      </c>
    </row>
    <row r="243" spans="1:15">
      <c r="A243" t="s">
        <v>10626</v>
      </c>
      <c r="B243" t="s">
        <v>10398</v>
      </c>
      <c r="C243" t="s">
        <v>4938</v>
      </c>
      <c r="D243" t="s">
        <v>4938</v>
      </c>
      <c r="E243" t="s">
        <v>4938</v>
      </c>
      <c r="F243" t="s">
        <v>4938</v>
      </c>
      <c r="G243" t="s">
        <v>4938</v>
      </c>
      <c r="I243" t="s">
        <v>11485</v>
      </c>
      <c r="J243" t="s">
        <v>10634</v>
      </c>
      <c r="L243" t="s">
        <v>275</v>
      </c>
      <c r="M243" t="s">
        <v>11427</v>
      </c>
      <c r="O243" t="str">
        <f t="shared" si="3"/>
        <v>O000000009</v>
      </c>
    </row>
    <row r="244" spans="1:15">
      <c r="A244" t="s">
        <v>10627</v>
      </c>
      <c r="B244" t="s">
        <v>10399</v>
      </c>
      <c r="C244" t="s">
        <v>4938</v>
      </c>
      <c r="D244" t="s">
        <v>4938</v>
      </c>
      <c r="E244" t="s">
        <v>4938</v>
      </c>
      <c r="F244" t="s">
        <v>4938</v>
      </c>
      <c r="G244" t="s">
        <v>4938</v>
      </c>
      <c r="I244" t="s">
        <v>11485</v>
      </c>
      <c r="J244" t="s">
        <v>10635</v>
      </c>
      <c r="L244" t="s">
        <v>275</v>
      </c>
      <c r="M244" t="s">
        <v>11428</v>
      </c>
      <c r="O244" t="str">
        <f t="shared" si="3"/>
        <v>O000000009</v>
      </c>
    </row>
    <row r="245" spans="1:15">
      <c r="A245" t="s">
        <v>10628</v>
      </c>
      <c r="B245" t="s">
        <v>10400</v>
      </c>
      <c r="C245" t="s">
        <v>4938</v>
      </c>
      <c r="D245" t="s">
        <v>4938</v>
      </c>
      <c r="E245" t="s">
        <v>4938</v>
      </c>
      <c r="F245" t="s">
        <v>4938</v>
      </c>
      <c r="G245" t="s">
        <v>4938</v>
      </c>
      <c r="I245" t="s">
        <v>11485</v>
      </c>
      <c r="J245" t="s">
        <v>10636</v>
      </c>
      <c r="L245" t="s">
        <v>275</v>
      </c>
      <c r="M245" t="s">
        <v>11429</v>
      </c>
      <c r="O245" t="str">
        <f t="shared" si="3"/>
        <v>O000000009</v>
      </c>
    </row>
    <row r="246" spans="1:15">
      <c r="A246" t="s">
        <v>10629</v>
      </c>
      <c r="B246" t="s">
        <v>10401</v>
      </c>
      <c r="C246" t="s">
        <v>4938</v>
      </c>
      <c r="D246" t="s">
        <v>4938</v>
      </c>
      <c r="E246" t="s">
        <v>4938</v>
      </c>
      <c r="F246" t="s">
        <v>4938</v>
      </c>
      <c r="G246" t="s">
        <v>4938</v>
      </c>
      <c r="I246" t="s">
        <v>11485</v>
      </c>
      <c r="J246" t="s">
        <v>10637</v>
      </c>
      <c r="L246" t="s">
        <v>275</v>
      </c>
      <c r="M246" t="s">
        <v>11430</v>
      </c>
      <c r="O246" t="str">
        <f t="shared" si="3"/>
        <v>O000000009</v>
      </c>
    </row>
    <row r="247" spans="1:15">
      <c r="A247" t="s">
        <v>10630</v>
      </c>
      <c r="B247" t="s">
        <v>10402</v>
      </c>
      <c r="C247" t="s">
        <v>4938</v>
      </c>
      <c r="D247" t="s">
        <v>4938</v>
      </c>
      <c r="E247" t="s">
        <v>4938</v>
      </c>
      <c r="F247" t="s">
        <v>4938</v>
      </c>
      <c r="G247" t="s">
        <v>4938</v>
      </c>
      <c r="I247" t="s">
        <v>11485</v>
      </c>
      <c r="J247" t="s">
        <v>10638</v>
      </c>
      <c r="L247" t="s">
        <v>275</v>
      </c>
      <c r="M247" t="s">
        <v>11431</v>
      </c>
      <c r="O247" t="str">
        <f t="shared" si="3"/>
        <v>O000000009</v>
      </c>
    </row>
    <row r="248" spans="1:15">
      <c r="A248" t="s">
        <v>10631</v>
      </c>
      <c r="B248" t="s">
        <v>10403</v>
      </c>
      <c r="C248" t="s">
        <v>4938</v>
      </c>
      <c r="D248" t="s">
        <v>4938</v>
      </c>
      <c r="E248" t="s">
        <v>4938</v>
      </c>
      <c r="F248" t="s">
        <v>4938</v>
      </c>
      <c r="G248" t="s">
        <v>4938</v>
      </c>
      <c r="I248" t="s">
        <v>11485</v>
      </c>
      <c r="J248" t="s">
        <v>10639</v>
      </c>
      <c r="L248" t="s">
        <v>275</v>
      </c>
      <c r="M248" t="s">
        <v>11432</v>
      </c>
      <c r="O248" t="str">
        <f t="shared" si="3"/>
        <v>O000000009</v>
      </c>
    </row>
    <row r="249" spans="1:15">
      <c r="A249" t="s">
        <v>10632</v>
      </c>
      <c r="B249" t="s">
        <v>10404</v>
      </c>
      <c r="C249" t="s">
        <v>4938</v>
      </c>
      <c r="D249" t="s">
        <v>4938</v>
      </c>
      <c r="E249" t="s">
        <v>4938</v>
      </c>
      <c r="F249" t="s">
        <v>4938</v>
      </c>
      <c r="G249" t="s">
        <v>4938</v>
      </c>
      <c r="I249" t="s">
        <v>11486</v>
      </c>
      <c r="J249" t="s">
        <v>10640</v>
      </c>
      <c r="L249" t="s">
        <v>275</v>
      </c>
      <c r="M249" t="s">
        <v>11433</v>
      </c>
      <c r="O249" t="str">
        <f t="shared" si="3"/>
        <v>O000000009</v>
      </c>
    </row>
    <row r="250" spans="1:15">
      <c r="A250" t="s">
        <v>10633</v>
      </c>
      <c r="B250" t="s">
        <v>10405</v>
      </c>
      <c r="C250" t="s">
        <v>4938</v>
      </c>
      <c r="D250" t="s">
        <v>4938</v>
      </c>
      <c r="E250" t="s">
        <v>4938</v>
      </c>
      <c r="F250" t="s">
        <v>4938</v>
      </c>
      <c r="G250" t="s">
        <v>4938</v>
      </c>
      <c r="I250" t="s">
        <v>11486</v>
      </c>
      <c r="J250" t="s">
        <v>10641</v>
      </c>
      <c r="L250" t="s">
        <v>275</v>
      </c>
      <c r="M250" t="s">
        <v>11434</v>
      </c>
      <c r="O250" t="str">
        <f t="shared" si="3"/>
        <v>O000000009</v>
      </c>
    </row>
    <row r="251" spans="1:15">
      <c r="A251" t="s">
        <v>10634</v>
      </c>
      <c r="B251" t="s">
        <v>10406</v>
      </c>
      <c r="C251" t="s">
        <v>4938</v>
      </c>
      <c r="D251" t="s">
        <v>4938</v>
      </c>
      <c r="E251" t="s">
        <v>4938</v>
      </c>
      <c r="F251" t="s">
        <v>4938</v>
      </c>
      <c r="G251" t="s">
        <v>4938</v>
      </c>
      <c r="I251" t="s">
        <v>11486</v>
      </c>
      <c r="J251" t="s">
        <v>10642</v>
      </c>
      <c r="L251" t="s">
        <v>275</v>
      </c>
      <c r="M251" t="s">
        <v>11435</v>
      </c>
      <c r="O251" t="str">
        <f t="shared" si="3"/>
        <v>O000000009</v>
      </c>
    </row>
    <row r="252" spans="1:15">
      <c r="A252" t="s">
        <v>10635</v>
      </c>
      <c r="B252" t="s">
        <v>10407</v>
      </c>
      <c r="C252" t="s">
        <v>4938</v>
      </c>
      <c r="D252" t="s">
        <v>4938</v>
      </c>
      <c r="E252" t="s">
        <v>4938</v>
      </c>
      <c r="F252" t="s">
        <v>4938</v>
      </c>
      <c r="G252" t="s">
        <v>4938</v>
      </c>
      <c r="I252" t="s">
        <v>11486</v>
      </c>
      <c r="J252" t="s">
        <v>10643</v>
      </c>
      <c r="L252" t="s">
        <v>275</v>
      </c>
      <c r="M252" t="s">
        <v>11436</v>
      </c>
      <c r="O252" t="str">
        <f t="shared" si="3"/>
        <v>O000000009</v>
      </c>
    </row>
    <row r="253" spans="1:15">
      <c r="A253" t="s">
        <v>10636</v>
      </c>
      <c r="B253" t="s">
        <v>10408</v>
      </c>
      <c r="C253" t="s">
        <v>4938</v>
      </c>
      <c r="D253" t="s">
        <v>4938</v>
      </c>
      <c r="E253" t="s">
        <v>4938</v>
      </c>
      <c r="F253" t="s">
        <v>4938</v>
      </c>
      <c r="G253" t="s">
        <v>4938</v>
      </c>
      <c r="I253" t="s">
        <v>11486</v>
      </c>
      <c r="J253" t="s">
        <v>10644</v>
      </c>
      <c r="L253" t="s">
        <v>275</v>
      </c>
      <c r="M253" t="s">
        <v>11437</v>
      </c>
      <c r="O253" t="str">
        <f t="shared" si="3"/>
        <v>O000000009</v>
      </c>
    </row>
    <row r="254" spans="1:15">
      <c r="A254" t="s">
        <v>10637</v>
      </c>
      <c r="B254" t="s">
        <v>10409</v>
      </c>
      <c r="C254" t="s">
        <v>4938</v>
      </c>
      <c r="D254" t="s">
        <v>4938</v>
      </c>
      <c r="E254" t="s">
        <v>4938</v>
      </c>
      <c r="F254" t="s">
        <v>4938</v>
      </c>
      <c r="G254" t="s">
        <v>4938</v>
      </c>
      <c r="I254" t="s">
        <v>11486</v>
      </c>
      <c r="J254" t="s">
        <v>10645</v>
      </c>
      <c r="L254" t="s">
        <v>275</v>
      </c>
      <c r="M254" t="s">
        <v>11438</v>
      </c>
      <c r="O254" t="str">
        <f t="shared" si="3"/>
        <v>O000000009</v>
      </c>
    </row>
    <row r="255" spans="1:15">
      <c r="A255" t="s">
        <v>10638</v>
      </c>
      <c r="B255" t="s">
        <v>10410</v>
      </c>
      <c r="C255" t="s">
        <v>4938</v>
      </c>
      <c r="D255" t="s">
        <v>4938</v>
      </c>
      <c r="E255" t="s">
        <v>4938</v>
      </c>
      <c r="F255" t="s">
        <v>4938</v>
      </c>
      <c r="G255" t="s">
        <v>4938</v>
      </c>
      <c r="I255" t="s">
        <v>11486</v>
      </c>
      <c r="J255" t="s">
        <v>10646</v>
      </c>
      <c r="L255" t="s">
        <v>275</v>
      </c>
      <c r="M255" t="s">
        <v>11439</v>
      </c>
      <c r="O255" t="str">
        <f t="shared" si="3"/>
        <v>O000000009</v>
      </c>
    </row>
    <row r="256" spans="1:15">
      <c r="A256" t="s">
        <v>10639</v>
      </c>
      <c r="B256" t="s">
        <v>10411</v>
      </c>
      <c r="C256" t="s">
        <v>4938</v>
      </c>
      <c r="D256" t="s">
        <v>4938</v>
      </c>
      <c r="E256" t="s">
        <v>4938</v>
      </c>
      <c r="F256" t="s">
        <v>4938</v>
      </c>
      <c r="G256" t="s">
        <v>4938</v>
      </c>
      <c r="I256" t="s">
        <v>11486</v>
      </c>
      <c r="J256" t="s">
        <v>10647</v>
      </c>
      <c r="L256" t="s">
        <v>275</v>
      </c>
      <c r="M256" t="s">
        <v>11440</v>
      </c>
      <c r="O256" t="str">
        <f t="shared" si="3"/>
        <v>O000000009</v>
      </c>
    </row>
    <row r="257" spans="1:15">
      <c r="A257" t="s">
        <v>10640</v>
      </c>
      <c r="B257" t="s">
        <v>10412</v>
      </c>
      <c r="C257" t="s">
        <v>4938</v>
      </c>
      <c r="D257" t="s">
        <v>4938</v>
      </c>
      <c r="E257" t="s">
        <v>4938</v>
      </c>
      <c r="F257" t="s">
        <v>4938</v>
      </c>
      <c r="G257" t="s">
        <v>4938</v>
      </c>
      <c r="I257" t="s">
        <v>11486</v>
      </c>
      <c r="J257" t="s">
        <v>10648</v>
      </c>
      <c r="L257" t="s">
        <v>275</v>
      </c>
      <c r="M257" t="s">
        <v>11441</v>
      </c>
      <c r="O257" t="str">
        <f t="shared" si="3"/>
        <v>O000000009</v>
      </c>
    </row>
    <row r="258" spans="1:15">
      <c r="A258" t="s">
        <v>10641</v>
      </c>
      <c r="B258" t="s">
        <v>10414</v>
      </c>
      <c r="C258" t="s">
        <v>4938</v>
      </c>
      <c r="D258" t="s">
        <v>4938</v>
      </c>
      <c r="E258" t="s">
        <v>4938</v>
      </c>
      <c r="F258" t="s">
        <v>4938</v>
      </c>
      <c r="G258" t="s">
        <v>4938</v>
      </c>
      <c r="I258" t="s">
        <v>11486</v>
      </c>
      <c r="J258" t="s">
        <v>10649</v>
      </c>
      <c r="L258" t="s">
        <v>275</v>
      </c>
      <c r="M258" t="s">
        <v>11442</v>
      </c>
      <c r="O258" t="str">
        <f t="shared" si="3"/>
        <v>O000000009</v>
      </c>
    </row>
    <row r="259" spans="1:15">
      <c r="A259" t="s">
        <v>10642</v>
      </c>
      <c r="B259" t="s">
        <v>10415</v>
      </c>
      <c r="C259" t="s">
        <v>4938</v>
      </c>
      <c r="D259" t="s">
        <v>4938</v>
      </c>
      <c r="E259" t="s">
        <v>4938</v>
      </c>
      <c r="F259" t="s">
        <v>4938</v>
      </c>
      <c r="G259" t="s">
        <v>4938</v>
      </c>
      <c r="I259" t="s">
        <v>11486</v>
      </c>
      <c r="J259" t="s">
        <v>10650</v>
      </c>
      <c r="L259" t="s">
        <v>275</v>
      </c>
      <c r="M259" t="s">
        <v>11443</v>
      </c>
      <c r="O259" t="str">
        <f t="shared" ref="O259:O303" si="4">LEFT(L259,10)</f>
        <v>O000000009</v>
      </c>
    </row>
    <row r="260" spans="1:15">
      <c r="A260" t="s">
        <v>10643</v>
      </c>
      <c r="B260" t="s">
        <v>10416</v>
      </c>
      <c r="C260" t="s">
        <v>4938</v>
      </c>
      <c r="D260" t="s">
        <v>4938</v>
      </c>
      <c r="E260" t="s">
        <v>4938</v>
      </c>
      <c r="F260" t="s">
        <v>4938</v>
      </c>
      <c r="G260" t="s">
        <v>4938</v>
      </c>
      <c r="I260" t="s">
        <v>11486</v>
      </c>
      <c r="J260" t="s">
        <v>10651</v>
      </c>
      <c r="L260" t="s">
        <v>275</v>
      </c>
      <c r="M260" t="s">
        <v>11444</v>
      </c>
      <c r="O260" t="str">
        <f t="shared" si="4"/>
        <v>O000000009</v>
      </c>
    </row>
    <row r="261" spans="1:15">
      <c r="A261" t="s">
        <v>10644</v>
      </c>
      <c r="B261" t="s">
        <v>10417</v>
      </c>
      <c r="C261" t="s">
        <v>4938</v>
      </c>
      <c r="D261" t="s">
        <v>4938</v>
      </c>
      <c r="E261" t="s">
        <v>4938</v>
      </c>
      <c r="F261" t="s">
        <v>4938</v>
      </c>
      <c r="G261" t="s">
        <v>4938</v>
      </c>
      <c r="I261" t="s">
        <v>11486</v>
      </c>
      <c r="J261" t="s">
        <v>10652</v>
      </c>
      <c r="L261" t="s">
        <v>275</v>
      </c>
      <c r="M261" t="s">
        <v>11445</v>
      </c>
      <c r="O261" t="str">
        <f t="shared" si="4"/>
        <v>O000000009</v>
      </c>
    </row>
    <row r="262" spans="1:15">
      <c r="A262" t="s">
        <v>10645</v>
      </c>
      <c r="B262" t="s">
        <v>10418</v>
      </c>
      <c r="C262" t="s">
        <v>4938</v>
      </c>
      <c r="D262" t="s">
        <v>4938</v>
      </c>
      <c r="E262" t="s">
        <v>4938</v>
      </c>
      <c r="F262" t="s">
        <v>4938</v>
      </c>
      <c r="G262" t="s">
        <v>4938</v>
      </c>
      <c r="I262" t="s">
        <v>11486</v>
      </c>
      <c r="J262" t="s">
        <v>10653</v>
      </c>
      <c r="L262" t="s">
        <v>275</v>
      </c>
      <c r="M262" t="s">
        <v>11446</v>
      </c>
      <c r="O262" t="str">
        <f t="shared" si="4"/>
        <v>O000000009</v>
      </c>
    </row>
    <row r="263" spans="1:15">
      <c r="A263" t="s">
        <v>10646</v>
      </c>
      <c r="B263" t="s">
        <v>10419</v>
      </c>
      <c r="C263" t="s">
        <v>4938</v>
      </c>
      <c r="D263" t="s">
        <v>4938</v>
      </c>
      <c r="E263" t="s">
        <v>4938</v>
      </c>
      <c r="F263" t="s">
        <v>4938</v>
      </c>
      <c r="G263" t="s">
        <v>4938</v>
      </c>
      <c r="I263" t="s">
        <v>11486</v>
      </c>
      <c r="J263" t="s">
        <v>10654</v>
      </c>
      <c r="L263" t="s">
        <v>275</v>
      </c>
      <c r="M263" t="s">
        <v>11447</v>
      </c>
      <c r="O263" t="str">
        <f t="shared" si="4"/>
        <v>O000000009</v>
      </c>
    </row>
    <row r="264" spans="1:15">
      <c r="A264" t="s">
        <v>10647</v>
      </c>
      <c r="B264" t="s">
        <v>10420</v>
      </c>
      <c r="C264" t="s">
        <v>4938</v>
      </c>
      <c r="D264" t="s">
        <v>4938</v>
      </c>
      <c r="E264" t="s">
        <v>4938</v>
      </c>
      <c r="F264" t="s">
        <v>4938</v>
      </c>
      <c r="G264" t="s">
        <v>4938</v>
      </c>
      <c r="I264" t="s">
        <v>11486</v>
      </c>
      <c r="J264" t="s">
        <v>10655</v>
      </c>
      <c r="L264" t="s">
        <v>275</v>
      </c>
      <c r="M264" t="s">
        <v>11448</v>
      </c>
      <c r="O264" t="str">
        <f t="shared" si="4"/>
        <v>O000000009</v>
      </c>
    </row>
    <row r="265" spans="1:15">
      <c r="A265" t="s">
        <v>10648</v>
      </c>
      <c r="B265" t="s">
        <v>10421</v>
      </c>
      <c r="C265" t="s">
        <v>4938</v>
      </c>
      <c r="D265" t="s">
        <v>4938</v>
      </c>
      <c r="E265" t="s">
        <v>4938</v>
      </c>
      <c r="F265" t="s">
        <v>4938</v>
      </c>
      <c r="G265" t="s">
        <v>4938</v>
      </c>
      <c r="I265" t="s">
        <v>11486</v>
      </c>
      <c r="J265" t="s">
        <v>10656</v>
      </c>
      <c r="L265" t="s">
        <v>275</v>
      </c>
      <c r="M265" t="s">
        <v>11449</v>
      </c>
      <c r="O265" t="str">
        <f t="shared" si="4"/>
        <v>O000000009</v>
      </c>
    </row>
    <row r="266" spans="1:15">
      <c r="A266" t="s">
        <v>10649</v>
      </c>
      <c r="B266" t="s">
        <v>10422</v>
      </c>
      <c r="C266" t="s">
        <v>4938</v>
      </c>
      <c r="D266" t="s">
        <v>4938</v>
      </c>
      <c r="E266" t="s">
        <v>4938</v>
      </c>
      <c r="F266" t="s">
        <v>4938</v>
      </c>
      <c r="G266" t="s">
        <v>4938</v>
      </c>
      <c r="I266" t="s">
        <v>11486</v>
      </c>
      <c r="J266" t="s">
        <v>10657</v>
      </c>
      <c r="L266" t="s">
        <v>275</v>
      </c>
      <c r="M266" t="s">
        <v>11450</v>
      </c>
      <c r="O266" t="str">
        <f t="shared" si="4"/>
        <v>O000000009</v>
      </c>
    </row>
    <row r="267" spans="1:15">
      <c r="A267" t="s">
        <v>10650</v>
      </c>
      <c r="B267" t="s">
        <v>10423</v>
      </c>
      <c r="C267" t="s">
        <v>4938</v>
      </c>
      <c r="D267" t="s">
        <v>4938</v>
      </c>
      <c r="E267" t="s">
        <v>4938</v>
      </c>
      <c r="F267" t="s">
        <v>4938</v>
      </c>
      <c r="G267" t="s">
        <v>4938</v>
      </c>
      <c r="I267" t="s">
        <v>11486</v>
      </c>
      <c r="J267" t="s">
        <v>10658</v>
      </c>
      <c r="L267" t="s">
        <v>275</v>
      </c>
      <c r="M267" t="s">
        <v>11451</v>
      </c>
      <c r="O267" t="str">
        <f t="shared" si="4"/>
        <v>O000000009</v>
      </c>
    </row>
    <row r="268" spans="1:15">
      <c r="A268" t="s">
        <v>10651</v>
      </c>
      <c r="B268" t="s">
        <v>10424</v>
      </c>
      <c r="C268" t="s">
        <v>4938</v>
      </c>
      <c r="D268" t="s">
        <v>4938</v>
      </c>
      <c r="E268" t="s">
        <v>4938</v>
      </c>
      <c r="F268" t="s">
        <v>4938</v>
      </c>
      <c r="G268" t="s">
        <v>4938</v>
      </c>
      <c r="I268" t="s">
        <v>11486</v>
      </c>
      <c r="J268" t="s">
        <v>10659</v>
      </c>
      <c r="L268" t="s">
        <v>275</v>
      </c>
      <c r="M268" t="s">
        <v>11452</v>
      </c>
      <c r="O268" t="str">
        <f t="shared" si="4"/>
        <v>O000000009</v>
      </c>
    </row>
    <row r="269" spans="1:15">
      <c r="A269" t="s">
        <v>10652</v>
      </c>
      <c r="B269" t="s">
        <v>10425</v>
      </c>
      <c r="C269" t="s">
        <v>4938</v>
      </c>
      <c r="D269" t="s">
        <v>4938</v>
      </c>
      <c r="E269" t="s">
        <v>4938</v>
      </c>
      <c r="F269" t="s">
        <v>4938</v>
      </c>
      <c r="G269" t="s">
        <v>4938</v>
      </c>
      <c r="I269" t="s">
        <v>1161</v>
      </c>
      <c r="J269" t="s">
        <v>10660</v>
      </c>
      <c r="L269" t="s">
        <v>275</v>
      </c>
      <c r="M269" t="s">
        <v>11453</v>
      </c>
      <c r="O269" t="str">
        <f t="shared" si="4"/>
        <v>O000000009</v>
      </c>
    </row>
    <row r="270" spans="1:15">
      <c r="A270" t="s">
        <v>10653</v>
      </c>
      <c r="B270" t="s">
        <v>10426</v>
      </c>
      <c r="C270" t="s">
        <v>4938</v>
      </c>
      <c r="D270" t="s">
        <v>4938</v>
      </c>
      <c r="E270" t="s">
        <v>4938</v>
      </c>
      <c r="F270" t="s">
        <v>4938</v>
      </c>
      <c r="G270" t="s">
        <v>4938</v>
      </c>
      <c r="I270" t="s">
        <v>1161</v>
      </c>
      <c r="J270" t="s">
        <v>10661</v>
      </c>
      <c r="L270" t="s">
        <v>275</v>
      </c>
      <c r="M270" t="s">
        <v>11454</v>
      </c>
      <c r="O270" t="str">
        <f t="shared" si="4"/>
        <v>O000000009</v>
      </c>
    </row>
    <row r="271" spans="1:15">
      <c r="A271" t="s">
        <v>10654</v>
      </c>
      <c r="B271" t="s">
        <v>10427</v>
      </c>
      <c r="C271" t="s">
        <v>4938</v>
      </c>
      <c r="D271" t="s">
        <v>4938</v>
      </c>
      <c r="E271" t="s">
        <v>4938</v>
      </c>
      <c r="F271" t="s">
        <v>4938</v>
      </c>
      <c r="G271" t="s">
        <v>4938</v>
      </c>
      <c r="I271" t="s">
        <v>1161</v>
      </c>
      <c r="J271" t="s">
        <v>10662</v>
      </c>
      <c r="L271" t="s">
        <v>275</v>
      </c>
      <c r="M271" t="s">
        <v>11455</v>
      </c>
      <c r="O271" t="str">
        <f t="shared" si="4"/>
        <v>O000000009</v>
      </c>
    </row>
    <row r="272" spans="1:15">
      <c r="A272" t="s">
        <v>10655</v>
      </c>
      <c r="B272" t="s">
        <v>10428</v>
      </c>
      <c r="C272" t="s">
        <v>4938</v>
      </c>
      <c r="D272" t="s">
        <v>4938</v>
      </c>
      <c r="E272" t="s">
        <v>4938</v>
      </c>
      <c r="F272" t="s">
        <v>4938</v>
      </c>
      <c r="G272" t="s">
        <v>4938</v>
      </c>
      <c r="I272" t="s">
        <v>1166</v>
      </c>
      <c r="J272" t="s">
        <v>10663</v>
      </c>
      <c r="L272" t="s">
        <v>275</v>
      </c>
      <c r="M272" t="s">
        <v>11456</v>
      </c>
      <c r="O272" t="str">
        <f t="shared" si="4"/>
        <v>O000000009</v>
      </c>
    </row>
    <row r="273" spans="1:15">
      <c r="A273" t="s">
        <v>10656</v>
      </c>
      <c r="B273" t="s">
        <v>10429</v>
      </c>
      <c r="C273" t="s">
        <v>4938</v>
      </c>
      <c r="D273" t="s">
        <v>4938</v>
      </c>
      <c r="E273" t="s">
        <v>4938</v>
      </c>
      <c r="F273" t="s">
        <v>4938</v>
      </c>
      <c r="G273" t="s">
        <v>4938</v>
      </c>
      <c r="I273" t="s">
        <v>1166</v>
      </c>
      <c r="J273" t="s">
        <v>10664</v>
      </c>
      <c r="L273" t="s">
        <v>275</v>
      </c>
      <c r="M273" t="s">
        <v>11457</v>
      </c>
      <c r="O273" t="str">
        <f t="shared" si="4"/>
        <v>O000000009</v>
      </c>
    </row>
    <row r="274" spans="1:15">
      <c r="A274" t="s">
        <v>10657</v>
      </c>
      <c r="B274" t="s">
        <v>10430</v>
      </c>
      <c r="C274" t="s">
        <v>4938</v>
      </c>
      <c r="D274" t="s">
        <v>4938</v>
      </c>
      <c r="E274" t="s">
        <v>4938</v>
      </c>
      <c r="F274" t="s">
        <v>4938</v>
      </c>
      <c r="G274" t="s">
        <v>4938</v>
      </c>
      <c r="I274" t="s">
        <v>1166</v>
      </c>
      <c r="J274" t="s">
        <v>10665</v>
      </c>
      <c r="L274" t="s">
        <v>275</v>
      </c>
      <c r="M274" t="s">
        <v>11458</v>
      </c>
      <c r="O274" t="str">
        <f t="shared" si="4"/>
        <v>O000000009</v>
      </c>
    </row>
    <row r="275" spans="1:15">
      <c r="A275" t="s">
        <v>10658</v>
      </c>
      <c r="B275" t="s">
        <v>10431</v>
      </c>
      <c r="C275" t="s">
        <v>4938</v>
      </c>
      <c r="D275" t="s">
        <v>4938</v>
      </c>
      <c r="E275" t="s">
        <v>4938</v>
      </c>
      <c r="F275" t="s">
        <v>4938</v>
      </c>
      <c r="G275" t="s">
        <v>4938</v>
      </c>
      <c r="I275" t="s">
        <v>1166</v>
      </c>
      <c r="J275" t="s">
        <v>10666</v>
      </c>
      <c r="L275" t="s">
        <v>275</v>
      </c>
      <c r="M275" t="s">
        <v>11459</v>
      </c>
      <c r="O275" t="str">
        <f t="shared" si="4"/>
        <v>O000000009</v>
      </c>
    </row>
    <row r="276" spans="1:15">
      <c r="A276" t="s">
        <v>10659</v>
      </c>
      <c r="B276" t="s">
        <v>10432</v>
      </c>
      <c r="C276" t="s">
        <v>4938</v>
      </c>
      <c r="D276" t="s">
        <v>4938</v>
      </c>
      <c r="E276" t="s">
        <v>4938</v>
      </c>
      <c r="F276" t="s">
        <v>4938</v>
      </c>
      <c r="G276" t="s">
        <v>4938</v>
      </c>
      <c r="I276" t="s">
        <v>1166</v>
      </c>
      <c r="J276" t="s">
        <v>10667</v>
      </c>
      <c r="L276" t="s">
        <v>275</v>
      </c>
      <c r="M276" t="s">
        <v>11460</v>
      </c>
      <c r="O276" t="str">
        <f t="shared" si="4"/>
        <v>O000000009</v>
      </c>
    </row>
    <row r="277" spans="1:15">
      <c r="A277" t="s">
        <v>10660</v>
      </c>
      <c r="B277" t="s">
        <v>10433</v>
      </c>
      <c r="C277" t="s">
        <v>4938</v>
      </c>
      <c r="D277" t="s">
        <v>4938</v>
      </c>
      <c r="E277" t="s">
        <v>4938</v>
      </c>
      <c r="F277" t="s">
        <v>4938</v>
      </c>
      <c r="G277" t="s">
        <v>4938</v>
      </c>
      <c r="I277" t="s">
        <v>1175</v>
      </c>
      <c r="J277" t="s">
        <v>10668</v>
      </c>
      <c r="L277" t="s">
        <v>275</v>
      </c>
      <c r="M277" t="s">
        <v>11461</v>
      </c>
      <c r="O277" t="str">
        <f t="shared" si="4"/>
        <v>O000000009</v>
      </c>
    </row>
    <row r="278" spans="1:15">
      <c r="A278" t="s">
        <v>10661</v>
      </c>
      <c r="B278" t="s">
        <v>10435</v>
      </c>
      <c r="C278" t="s">
        <v>4938</v>
      </c>
      <c r="D278" t="s">
        <v>4938</v>
      </c>
      <c r="E278" t="s">
        <v>4938</v>
      </c>
      <c r="F278" t="s">
        <v>4938</v>
      </c>
      <c r="G278" t="s">
        <v>4938</v>
      </c>
      <c r="I278" t="s">
        <v>1175</v>
      </c>
      <c r="J278" t="s">
        <v>10669</v>
      </c>
      <c r="L278" t="s">
        <v>275</v>
      </c>
      <c r="M278" t="s">
        <v>11462</v>
      </c>
      <c r="O278" t="str">
        <f t="shared" si="4"/>
        <v>O000000009</v>
      </c>
    </row>
    <row r="279" spans="1:15">
      <c r="A279" t="s">
        <v>10662</v>
      </c>
      <c r="B279" t="s">
        <v>10436</v>
      </c>
      <c r="C279" t="s">
        <v>4938</v>
      </c>
      <c r="D279" t="s">
        <v>4938</v>
      </c>
      <c r="E279" t="s">
        <v>4938</v>
      </c>
      <c r="F279" t="s">
        <v>4938</v>
      </c>
      <c r="G279" t="s">
        <v>4938</v>
      </c>
      <c r="I279" t="s">
        <v>1175</v>
      </c>
      <c r="J279" t="s">
        <v>10670</v>
      </c>
      <c r="L279" t="s">
        <v>275</v>
      </c>
      <c r="M279" t="s">
        <v>11463</v>
      </c>
      <c r="O279" t="str">
        <f t="shared" si="4"/>
        <v>O000000009</v>
      </c>
    </row>
    <row r="280" spans="1:15">
      <c r="A280" t="s">
        <v>10663</v>
      </c>
      <c r="B280" t="s">
        <v>10437</v>
      </c>
      <c r="C280" t="s">
        <v>4938</v>
      </c>
      <c r="D280" t="s">
        <v>4938</v>
      </c>
      <c r="E280" t="s">
        <v>4938</v>
      </c>
      <c r="F280" t="s">
        <v>4938</v>
      </c>
      <c r="G280" t="s">
        <v>4938</v>
      </c>
      <c r="I280" t="s">
        <v>1175</v>
      </c>
      <c r="J280" t="s">
        <v>10671</v>
      </c>
      <c r="L280" t="s">
        <v>275</v>
      </c>
      <c r="M280" t="s">
        <v>11464</v>
      </c>
      <c r="O280" t="str">
        <f t="shared" si="4"/>
        <v>O000000009</v>
      </c>
    </row>
    <row r="281" spans="1:15">
      <c r="A281" t="s">
        <v>10664</v>
      </c>
      <c r="B281" t="s">
        <v>10439</v>
      </c>
      <c r="C281" t="s">
        <v>4938</v>
      </c>
      <c r="D281" t="s">
        <v>4938</v>
      </c>
      <c r="E281" t="s">
        <v>4938</v>
      </c>
      <c r="F281" t="s">
        <v>4938</v>
      </c>
      <c r="G281" t="s">
        <v>4938</v>
      </c>
      <c r="I281" t="s">
        <v>1175</v>
      </c>
      <c r="J281" t="s">
        <v>10672</v>
      </c>
      <c r="L281" t="s">
        <v>275</v>
      </c>
      <c r="M281" t="s">
        <v>11465</v>
      </c>
      <c r="O281" t="str">
        <f t="shared" si="4"/>
        <v>O000000009</v>
      </c>
    </row>
    <row r="282" spans="1:15">
      <c r="A282" t="s">
        <v>10665</v>
      </c>
      <c r="B282" t="s">
        <v>10440</v>
      </c>
      <c r="C282" t="s">
        <v>4938</v>
      </c>
      <c r="D282" t="s">
        <v>4938</v>
      </c>
      <c r="E282" t="s">
        <v>4938</v>
      </c>
      <c r="F282" t="s">
        <v>4938</v>
      </c>
      <c r="G282" t="s">
        <v>4938</v>
      </c>
      <c r="I282" t="s">
        <v>1175</v>
      </c>
      <c r="J282" t="s">
        <v>10673</v>
      </c>
      <c r="L282" t="s">
        <v>275</v>
      </c>
      <c r="M282" t="s">
        <v>11466</v>
      </c>
      <c r="O282" t="str">
        <f t="shared" si="4"/>
        <v>O000000009</v>
      </c>
    </row>
    <row r="283" spans="1:15">
      <c r="A283" t="s">
        <v>10666</v>
      </c>
      <c r="B283" t="s">
        <v>10441</v>
      </c>
      <c r="C283" t="s">
        <v>4938</v>
      </c>
      <c r="D283" t="s">
        <v>4938</v>
      </c>
      <c r="E283" t="s">
        <v>4938</v>
      </c>
      <c r="F283" t="s">
        <v>4938</v>
      </c>
      <c r="G283" t="s">
        <v>4938</v>
      </c>
      <c r="I283" t="s">
        <v>1175</v>
      </c>
      <c r="J283" t="s">
        <v>10674</v>
      </c>
      <c r="L283" t="s">
        <v>275</v>
      </c>
      <c r="M283" t="s">
        <v>11467</v>
      </c>
      <c r="O283" t="str">
        <f t="shared" si="4"/>
        <v>O000000009</v>
      </c>
    </row>
    <row r="284" spans="1:15">
      <c r="A284" t="s">
        <v>10667</v>
      </c>
      <c r="B284" t="s">
        <v>10442</v>
      </c>
      <c r="C284" t="s">
        <v>4938</v>
      </c>
      <c r="D284" t="s">
        <v>4938</v>
      </c>
      <c r="E284" t="s">
        <v>4938</v>
      </c>
      <c r="F284" t="s">
        <v>4938</v>
      </c>
      <c r="G284" t="s">
        <v>4938</v>
      </c>
      <c r="I284" t="s">
        <v>10983</v>
      </c>
      <c r="J284" t="s">
        <v>10829</v>
      </c>
      <c r="L284" t="s">
        <v>275</v>
      </c>
      <c r="M284" t="s">
        <v>11468</v>
      </c>
      <c r="O284" t="str">
        <f t="shared" si="4"/>
        <v>O000000009</v>
      </c>
    </row>
    <row r="285" spans="1:15">
      <c r="A285" t="s">
        <v>10668</v>
      </c>
      <c r="B285" t="s">
        <v>10443</v>
      </c>
      <c r="C285" t="s">
        <v>4938</v>
      </c>
      <c r="D285" t="s">
        <v>4938</v>
      </c>
      <c r="E285" t="s">
        <v>4938</v>
      </c>
      <c r="F285" t="s">
        <v>4938</v>
      </c>
      <c r="G285" t="s">
        <v>4938</v>
      </c>
      <c r="I285" t="s">
        <v>10829</v>
      </c>
      <c r="J285" t="s">
        <v>10830</v>
      </c>
      <c r="L285" t="s">
        <v>275</v>
      </c>
      <c r="M285" t="s">
        <v>11469</v>
      </c>
      <c r="O285" t="str">
        <f t="shared" si="4"/>
        <v>O000000009</v>
      </c>
    </row>
    <row r="286" spans="1:15">
      <c r="A286" t="s">
        <v>10669</v>
      </c>
      <c r="B286" t="s">
        <v>10445</v>
      </c>
      <c r="C286" t="s">
        <v>4938</v>
      </c>
      <c r="D286" t="s">
        <v>4938</v>
      </c>
      <c r="E286" t="s">
        <v>4938</v>
      </c>
      <c r="F286" t="s">
        <v>4938</v>
      </c>
      <c r="G286" t="s">
        <v>4938</v>
      </c>
      <c r="I286" t="s">
        <v>10829</v>
      </c>
      <c r="J286" t="s">
        <v>10831</v>
      </c>
      <c r="L286" t="s">
        <v>275</v>
      </c>
      <c r="M286" t="s">
        <v>11470</v>
      </c>
      <c r="O286" t="str">
        <f t="shared" si="4"/>
        <v>O000000009</v>
      </c>
    </row>
    <row r="287" spans="1:15">
      <c r="A287" t="s">
        <v>10670</v>
      </c>
      <c r="B287" t="s">
        <v>10446</v>
      </c>
      <c r="C287" t="s">
        <v>4938</v>
      </c>
      <c r="D287" t="s">
        <v>4938</v>
      </c>
      <c r="E287" t="s">
        <v>4938</v>
      </c>
      <c r="F287" t="s">
        <v>4938</v>
      </c>
      <c r="G287" t="s">
        <v>4938</v>
      </c>
      <c r="I287" t="s">
        <v>10829</v>
      </c>
      <c r="J287" t="s">
        <v>10832</v>
      </c>
      <c r="L287" t="s">
        <v>275</v>
      </c>
      <c r="M287" t="s">
        <v>11471</v>
      </c>
      <c r="O287" t="str">
        <f t="shared" si="4"/>
        <v>O000000009</v>
      </c>
    </row>
    <row r="288" spans="1:15">
      <c r="A288" t="s">
        <v>10671</v>
      </c>
      <c r="B288" t="s">
        <v>10447</v>
      </c>
      <c r="C288" t="s">
        <v>4938</v>
      </c>
      <c r="D288" t="s">
        <v>4938</v>
      </c>
      <c r="E288" t="s">
        <v>4938</v>
      </c>
      <c r="F288" t="s">
        <v>4938</v>
      </c>
      <c r="G288" t="s">
        <v>4938</v>
      </c>
      <c r="I288" t="s">
        <v>10984</v>
      </c>
      <c r="J288" t="s">
        <v>10833</v>
      </c>
      <c r="L288" t="s">
        <v>275</v>
      </c>
      <c r="M288" t="s">
        <v>11472</v>
      </c>
      <c r="O288" t="str">
        <f t="shared" si="4"/>
        <v>O000000009</v>
      </c>
    </row>
    <row r="289" spans="1:15">
      <c r="A289" t="s">
        <v>10672</v>
      </c>
      <c r="B289" t="s">
        <v>10448</v>
      </c>
      <c r="C289" t="s">
        <v>4938</v>
      </c>
      <c r="D289" t="s">
        <v>4938</v>
      </c>
      <c r="E289" t="s">
        <v>4938</v>
      </c>
      <c r="F289" t="s">
        <v>4938</v>
      </c>
      <c r="G289" t="s">
        <v>4938</v>
      </c>
      <c r="I289" t="s">
        <v>10833</v>
      </c>
      <c r="J289" t="s">
        <v>10834</v>
      </c>
      <c r="L289" t="s">
        <v>275</v>
      </c>
      <c r="M289" t="s">
        <v>11473</v>
      </c>
      <c r="O289" t="str">
        <f t="shared" si="4"/>
        <v>O000000009</v>
      </c>
    </row>
    <row r="290" spans="1:15">
      <c r="A290" t="s">
        <v>10673</v>
      </c>
      <c r="B290" t="s">
        <v>10449</v>
      </c>
      <c r="C290" t="s">
        <v>4938</v>
      </c>
      <c r="D290" t="s">
        <v>4938</v>
      </c>
      <c r="E290" t="s">
        <v>4938</v>
      </c>
      <c r="F290" t="s">
        <v>4938</v>
      </c>
      <c r="G290" t="s">
        <v>4938</v>
      </c>
      <c r="I290" t="s">
        <v>10833</v>
      </c>
      <c r="J290" t="s">
        <v>10835</v>
      </c>
      <c r="L290" t="s">
        <v>275</v>
      </c>
      <c r="M290" t="s">
        <v>11474</v>
      </c>
      <c r="O290" t="str">
        <f t="shared" si="4"/>
        <v>O000000009</v>
      </c>
    </row>
    <row r="291" spans="1:15">
      <c r="A291" t="s">
        <v>10674</v>
      </c>
      <c r="B291" t="s">
        <v>10450</v>
      </c>
      <c r="C291" t="s">
        <v>4938</v>
      </c>
      <c r="D291" t="s">
        <v>4938</v>
      </c>
      <c r="E291" t="s">
        <v>4938</v>
      </c>
      <c r="F291" t="s">
        <v>4938</v>
      </c>
      <c r="G291" t="s">
        <v>4938</v>
      </c>
      <c r="I291" t="s">
        <v>10985</v>
      </c>
      <c r="J291" t="s">
        <v>10836</v>
      </c>
      <c r="L291" t="s">
        <v>275</v>
      </c>
      <c r="M291" t="s">
        <v>11475</v>
      </c>
      <c r="O291" t="str">
        <f t="shared" si="4"/>
        <v>O000000009</v>
      </c>
    </row>
    <row r="292" spans="1:15">
      <c r="A292" t="s">
        <v>10829</v>
      </c>
      <c r="B292" t="s">
        <v>10675</v>
      </c>
      <c r="C292" t="s">
        <v>4938</v>
      </c>
      <c r="D292" t="s">
        <v>4938</v>
      </c>
      <c r="E292" t="s">
        <v>4938</v>
      </c>
      <c r="F292" t="s">
        <v>4938</v>
      </c>
      <c r="G292" t="s">
        <v>4938</v>
      </c>
      <c r="I292" t="s">
        <v>10836</v>
      </c>
      <c r="J292" t="s">
        <v>10837</v>
      </c>
      <c r="L292" t="s">
        <v>275</v>
      </c>
      <c r="M292" t="s">
        <v>11476</v>
      </c>
      <c r="O292" t="str">
        <f t="shared" si="4"/>
        <v>O000000009</v>
      </c>
    </row>
    <row r="293" spans="1:15">
      <c r="A293" t="s">
        <v>10830</v>
      </c>
      <c r="B293" t="s">
        <v>10676</v>
      </c>
      <c r="C293" t="s">
        <v>4938</v>
      </c>
      <c r="D293" t="s">
        <v>4938</v>
      </c>
      <c r="E293" t="s">
        <v>4938</v>
      </c>
      <c r="F293" t="s">
        <v>4938</v>
      </c>
      <c r="G293" t="s">
        <v>4938</v>
      </c>
      <c r="I293" t="s">
        <v>10836</v>
      </c>
      <c r="J293" t="s">
        <v>10838</v>
      </c>
      <c r="L293" t="s">
        <v>275</v>
      </c>
      <c r="M293" t="s">
        <v>11477</v>
      </c>
      <c r="O293" t="str">
        <f t="shared" si="4"/>
        <v>O000000009</v>
      </c>
    </row>
    <row r="294" spans="1:15">
      <c r="A294" t="s">
        <v>10831</v>
      </c>
      <c r="B294" t="s">
        <v>10677</v>
      </c>
      <c r="C294" t="s">
        <v>4938</v>
      </c>
      <c r="D294" t="s">
        <v>4938</v>
      </c>
      <c r="E294" t="s">
        <v>4938</v>
      </c>
      <c r="F294" t="s">
        <v>4938</v>
      </c>
      <c r="G294" t="s">
        <v>4938</v>
      </c>
      <c r="I294" t="s">
        <v>10836</v>
      </c>
      <c r="J294" t="s">
        <v>10839</v>
      </c>
      <c r="L294" t="s">
        <v>275</v>
      </c>
      <c r="M294" t="s">
        <v>11478</v>
      </c>
      <c r="O294" t="str">
        <f t="shared" si="4"/>
        <v>O000000009</v>
      </c>
    </row>
    <row r="295" spans="1:15">
      <c r="A295" t="s">
        <v>10832</v>
      </c>
      <c r="B295" t="s">
        <v>10678</v>
      </c>
      <c r="C295" t="s">
        <v>4938</v>
      </c>
      <c r="D295" t="s">
        <v>4938</v>
      </c>
      <c r="E295" t="s">
        <v>4938</v>
      </c>
      <c r="F295" t="s">
        <v>4938</v>
      </c>
      <c r="G295" t="s">
        <v>4938</v>
      </c>
      <c r="I295" t="s">
        <v>10986</v>
      </c>
      <c r="J295" t="s">
        <v>10840</v>
      </c>
      <c r="L295" t="s">
        <v>275</v>
      </c>
      <c r="M295" t="s">
        <v>11479</v>
      </c>
      <c r="O295" t="str">
        <f t="shared" si="4"/>
        <v>O000000009</v>
      </c>
    </row>
    <row r="296" spans="1:15">
      <c r="A296" t="s">
        <v>10833</v>
      </c>
      <c r="B296" t="s">
        <v>10679</v>
      </c>
      <c r="C296" t="s">
        <v>4938</v>
      </c>
      <c r="D296" t="s">
        <v>4938</v>
      </c>
      <c r="E296" t="s">
        <v>4938</v>
      </c>
      <c r="F296" t="s">
        <v>4938</v>
      </c>
      <c r="G296" t="s">
        <v>4938</v>
      </c>
      <c r="I296" t="s">
        <v>10840</v>
      </c>
      <c r="J296" t="s">
        <v>10841</v>
      </c>
      <c r="L296" t="s">
        <v>275</v>
      </c>
      <c r="M296" t="s">
        <v>11480</v>
      </c>
      <c r="O296" t="str">
        <f t="shared" si="4"/>
        <v>O000000009</v>
      </c>
    </row>
    <row r="297" spans="1:15">
      <c r="A297" t="s">
        <v>10834</v>
      </c>
      <c r="B297" t="s">
        <v>10680</v>
      </c>
      <c r="C297" t="s">
        <v>4938</v>
      </c>
      <c r="D297" t="s">
        <v>4938</v>
      </c>
      <c r="E297" t="s">
        <v>4938</v>
      </c>
      <c r="F297" t="s">
        <v>4938</v>
      </c>
      <c r="G297" t="s">
        <v>4938</v>
      </c>
      <c r="I297" t="s">
        <v>10840</v>
      </c>
      <c r="J297" t="s">
        <v>10842</v>
      </c>
      <c r="L297" t="s">
        <v>275</v>
      </c>
      <c r="M297" t="s">
        <v>11481</v>
      </c>
      <c r="O297" t="str">
        <f t="shared" si="4"/>
        <v>O000000009</v>
      </c>
    </row>
    <row r="298" spans="1:15">
      <c r="A298" t="s">
        <v>10835</v>
      </c>
      <c r="B298" t="s">
        <v>10681</v>
      </c>
      <c r="C298" t="s">
        <v>4938</v>
      </c>
      <c r="D298" t="s">
        <v>4938</v>
      </c>
      <c r="E298" t="s">
        <v>4938</v>
      </c>
      <c r="F298" t="s">
        <v>4938</v>
      </c>
      <c r="G298" t="s">
        <v>4938</v>
      </c>
      <c r="I298" t="s">
        <v>10987</v>
      </c>
      <c r="J298" t="s">
        <v>10843</v>
      </c>
      <c r="L298" t="s">
        <v>275</v>
      </c>
      <c r="M298" t="s">
        <v>11482</v>
      </c>
      <c r="O298" t="str">
        <f t="shared" si="4"/>
        <v>O000000009</v>
      </c>
    </row>
    <row r="299" spans="1:15">
      <c r="A299" t="s">
        <v>10836</v>
      </c>
      <c r="B299" t="s">
        <v>10682</v>
      </c>
      <c r="C299" t="s">
        <v>4938</v>
      </c>
      <c r="D299" t="s">
        <v>4938</v>
      </c>
      <c r="E299" t="s">
        <v>4938</v>
      </c>
      <c r="F299" t="s">
        <v>4938</v>
      </c>
      <c r="G299" t="s">
        <v>4938</v>
      </c>
      <c r="I299" t="s">
        <v>10843</v>
      </c>
      <c r="J299" t="s">
        <v>10844</v>
      </c>
      <c r="L299" t="s">
        <v>275</v>
      </c>
      <c r="M299" t="s">
        <v>7214</v>
      </c>
      <c r="O299" t="str">
        <f t="shared" si="4"/>
        <v>O000000009</v>
      </c>
    </row>
    <row r="300" spans="1:15">
      <c r="A300" t="s">
        <v>10837</v>
      </c>
      <c r="B300" t="s">
        <v>10683</v>
      </c>
      <c r="C300" t="s">
        <v>4938</v>
      </c>
      <c r="D300" t="s">
        <v>4938</v>
      </c>
      <c r="E300" t="s">
        <v>4938</v>
      </c>
      <c r="F300" t="s">
        <v>4938</v>
      </c>
      <c r="G300" t="s">
        <v>4938</v>
      </c>
      <c r="I300" t="s">
        <v>10843</v>
      </c>
      <c r="J300" t="s">
        <v>10845</v>
      </c>
      <c r="L300" t="s">
        <v>275</v>
      </c>
      <c r="M300" t="s">
        <v>7215</v>
      </c>
      <c r="O300" t="str">
        <f t="shared" si="4"/>
        <v>O000000009</v>
      </c>
    </row>
    <row r="301" spans="1:15">
      <c r="A301" t="s">
        <v>10838</v>
      </c>
      <c r="B301" t="s">
        <v>10684</v>
      </c>
      <c r="C301" t="s">
        <v>4938</v>
      </c>
      <c r="D301" t="s">
        <v>4938</v>
      </c>
      <c r="E301" t="s">
        <v>4938</v>
      </c>
      <c r="F301" t="s">
        <v>4938</v>
      </c>
      <c r="G301" t="s">
        <v>4938</v>
      </c>
      <c r="I301" t="s">
        <v>10843</v>
      </c>
      <c r="J301" t="s">
        <v>10846</v>
      </c>
      <c r="L301" t="s">
        <v>275</v>
      </c>
      <c r="M301" t="s">
        <v>7216</v>
      </c>
      <c r="O301" t="str">
        <f t="shared" si="4"/>
        <v>O000000009</v>
      </c>
    </row>
    <row r="302" spans="1:15">
      <c r="A302" t="s">
        <v>10839</v>
      </c>
      <c r="B302" t="s">
        <v>10685</v>
      </c>
      <c r="C302" t="s">
        <v>4938</v>
      </c>
      <c r="D302" t="s">
        <v>4938</v>
      </c>
      <c r="E302" t="s">
        <v>4938</v>
      </c>
      <c r="F302" t="s">
        <v>4938</v>
      </c>
      <c r="G302" t="s">
        <v>4938</v>
      </c>
      <c r="I302" t="s">
        <v>10988</v>
      </c>
      <c r="J302" t="s">
        <v>10847</v>
      </c>
      <c r="L302" t="s">
        <v>275</v>
      </c>
      <c r="M302" t="s">
        <v>7217</v>
      </c>
      <c r="O302" t="str">
        <f t="shared" si="4"/>
        <v>O000000009</v>
      </c>
    </row>
    <row r="303" spans="1:15">
      <c r="A303" t="s">
        <v>10840</v>
      </c>
      <c r="B303" t="s">
        <v>10686</v>
      </c>
      <c r="C303" t="s">
        <v>4938</v>
      </c>
      <c r="D303" t="s">
        <v>4938</v>
      </c>
      <c r="E303" t="s">
        <v>4938</v>
      </c>
      <c r="F303" t="s">
        <v>4938</v>
      </c>
      <c r="G303" t="s">
        <v>4938</v>
      </c>
      <c r="I303" t="s">
        <v>10847</v>
      </c>
      <c r="J303" t="s">
        <v>10848</v>
      </c>
      <c r="L303" t="s">
        <v>275</v>
      </c>
      <c r="M303" t="s">
        <v>7218</v>
      </c>
      <c r="O303" t="str">
        <f t="shared" si="4"/>
        <v>O000000009</v>
      </c>
    </row>
    <row r="304" spans="1:15">
      <c r="A304" t="s">
        <v>10841</v>
      </c>
      <c r="B304" t="s">
        <v>10687</v>
      </c>
      <c r="C304" t="s">
        <v>4938</v>
      </c>
      <c r="D304" t="s">
        <v>4938</v>
      </c>
      <c r="E304" t="s">
        <v>4938</v>
      </c>
      <c r="F304" t="s">
        <v>4938</v>
      </c>
      <c r="G304" t="s">
        <v>4938</v>
      </c>
      <c r="I304" t="s">
        <v>10847</v>
      </c>
      <c r="J304" t="s">
        <v>10849</v>
      </c>
    </row>
    <row r="305" spans="1:10">
      <c r="A305" t="s">
        <v>10842</v>
      </c>
      <c r="B305" t="s">
        <v>10688</v>
      </c>
      <c r="C305" t="s">
        <v>4938</v>
      </c>
      <c r="D305" t="s">
        <v>4938</v>
      </c>
      <c r="E305" t="s">
        <v>4938</v>
      </c>
      <c r="F305" t="s">
        <v>4938</v>
      </c>
      <c r="G305" t="s">
        <v>4938</v>
      </c>
      <c r="I305" t="s">
        <v>10989</v>
      </c>
      <c r="J305" t="s">
        <v>10850</v>
      </c>
    </row>
    <row r="306" spans="1:10">
      <c r="A306" t="s">
        <v>10843</v>
      </c>
      <c r="B306" t="s">
        <v>10689</v>
      </c>
      <c r="C306" t="s">
        <v>4938</v>
      </c>
      <c r="D306" t="s">
        <v>4938</v>
      </c>
      <c r="E306" t="s">
        <v>4938</v>
      </c>
      <c r="F306" t="s">
        <v>4938</v>
      </c>
      <c r="G306" t="s">
        <v>4938</v>
      </c>
      <c r="I306" t="s">
        <v>10850</v>
      </c>
      <c r="J306" t="s">
        <v>10851</v>
      </c>
    </row>
    <row r="307" spans="1:10">
      <c r="A307" t="s">
        <v>10844</v>
      </c>
      <c r="B307" t="s">
        <v>10690</v>
      </c>
      <c r="C307" t="s">
        <v>4938</v>
      </c>
      <c r="D307" t="s">
        <v>4938</v>
      </c>
      <c r="E307" t="s">
        <v>4938</v>
      </c>
      <c r="F307" t="s">
        <v>4938</v>
      </c>
      <c r="G307" t="s">
        <v>4938</v>
      </c>
      <c r="I307" t="s">
        <v>10850</v>
      </c>
      <c r="J307" t="s">
        <v>10852</v>
      </c>
    </row>
    <row r="308" spans="1:10">
      <c r="A308" t="s">
        <v>10845</v>
      </c>
      <c r="B308" t="s">
        <v>10691</v>
      </c>
      <c r="C308" t="s">
        <v>4938</v>
      </c>
      <c r="D308" t="s">
        <v>4938</v>
      </c>
      <c r="E308" t="s">
        <v>4938</v>
      </c>
      <c r="F308" t="s">
        <v>4938</v>
      </c>
      <c r="G308" t="s">
        <v>4938</v>
      </c>
      <c r="I308" t="s">
        <v>10850</v>
      </c>
      <c r="J308" t="s">
        <v>10853</v>
      </c>
    </row>
    <row r="309" spans="1:10">
      <c r="A309" t="s">
        <v>10846</v>
      </c>
      <c r="B309" t="s">
        <v>10692</v>
      </c>
      <c r="C309" t="s">
        <v>4938</v>
      </c>
      <c r="D309" t="s">
        <v>4938</v>
      </c>
      <c r="E309" t="s">
        <v>4938</v>
      </c>
      <c r="F309" t="s">
        <v>4938</v>
      </c>
      <c r="G309" t="s">
        <v>4938</v>
      </c>
      <c r="I309" t="s">
        <v>10990</v>
      </c>
      <c r="J309" t="s">
        <v>10854</v>
      </c>
    </row>
    <row r="310" spans="1:10">
      <c r="A310" t="s">
        <v>10847</v>
      </c>
      <c r="B310" t="s">
        <v>10693</v>
      </c>
      <c r="C310" t="s">
        <v>4938</v>
      </c>
      <c r="D310" t="s">
        <v>4938</v>
      </c>
      <c r="E310" t="s">
        <v>4938</v>
      </c>
      <c r="F310" t="s">
        <v>4938</v>
      </c>
      <c r="G310" t="s">
        <v>4938</v>
      </c>
      <c r="I310" t="s">
        <v>10854</v>
      </c>
      <c r="J310" t="s">
        <v>10855</v>
      </c>
    </row>
    <row r="311" spans="1:10">
      <c r="A311" t="s">
        <v>10848</v>
      </c>
      <c r="B311" t="s">
        <v>10694</v>
      </c>
      <c r="C311" t="s">
        <v>4938</v>
      </c>
      <c r="D311" t="s">
        <v>4938</v>
      </c>
      <c r="E311" t="s">
        <v>4938</v>
      </c>
      <c r="F311" t="s">
        <v>4938</v>
      </c>
      <c r="G311" t="s">
        <v>4938</v>
      </c>
      <c r="I311" t="s">
        <v>10854</v>
      </c>
      <c r="J311" t="s">
        <v>10856</v>
      </c>
    </row>
    <row r="312" spans="1:10">
      <c r="A312" t="s">
        <v>10849</v>
      </c>
      <c r="B312" t="s">
        <v>10695</v>
      </c>
      <c r="C312" t="s">
        <v>4938</v>
      </c>
      <c r="D312" t="s">
        <v>4938</v>
      </c>
      <c r="E312" t="s">
        <v>4938</v>
      </c>
      <c r="F312" t="s">
        <v>4938</v>
      </c>
      <c r="G312" t="s">
        <v>4938</v>
      </c>
      <c r="I312" t="s">
        <v>10991</v>
      </c>
      <c r="J312" t="s">
        <v>10857</v>
      </c>
    </row>
    <row r="313" spans="1:10">
      <c r="A313" t="s">
        <v>10850</v>
      </c>
      <c r="B313" t="s">
        <v>10696</v>
      </c>
      <c r="C313" t="s">
        <v>4938</v>
      </c>
      <c r="D313" t="s">
        <v>4938</v>
      </c>
      <c r="E313" t="s">
        <v>4938</v>
      </c>
      <c r="F313" t="s">
        <v>4938</v>
      </c>
      <c r="G313" t="s">
        <v>4938</v>
      </c>
      <c r="I313" t="s">
        <v>10857</v>
      </c>
      <c r="J313" t="s">
        <v>10858</v>
      </c>
    </row>
    <row r="314" spans="1:10">
      <c r="A314" t="s">
        <v>10851</v>
      </c>
      <c r="B314" t="s">
        <v>10697</v>
      </c>
      <c r="C314" t="s">
        <v>4938</v>
      </c>
      <c r="D314" t="s">
        <v>4938</v>
      </c>
      <c r="E314" t="s">
        <v>4938</v>
      </c>
      <c r="F314" t="s">
        <v>4938</v>
      </c>
      <c r="G314" t="s">
        <v>4938</v>
      </c>
      <c r="I314" t="s">
        <v>10857</v>
      </c>
      <c r="J314" t="s">
        <v>10859</v>
      </c>
    </row>
    <row r="315" spans="1:10">
      <c r="A315" t="s">
        <v>10852</v>
      </c>
      <c r="B315" t="s">
        <v>10698</v>
      </c>
      <c r="C315" t="s">
        <v>4938</v>
      </c>
      <c r="D315" t="s">
        <v>4938</v>
      </c>
      <c r="E315" t="s">
        <v>4938</v>
      </c>
      <c r="F315" t="s">
        <v>4938</v>
      </c>
      <c r="G315" t="s">
        <v>4938</v>
      </c>
      <c r="I315" t="s">
        <v>10857</v>
      </c>
      <c r="J315" t="s">
        <v>10860</v>
      </c>
    </row>
    <row r="316" spans="1:10">
      <c r="A316" t="s">
        <v>10853</v>
      </c>
      <c r="B316" t="s">
        <v>10699</v>
      </c>
      <c r="C316" t="s">
        <v>4938</v>
      </c>
      <c r="D316" t="s">
        <v>4938</v>
      </c>
      <c r="E316" t="s">
        <v>4938</v>
      </c>
      <c r="F316" t="s">
        <v>4938</v>
      </c>
      <c r="G316" t="s">
        <v>4938</v>
      </c>
      <c r="I316" t="s">
        <v>10992</v>
      </c>
      <c r="J316" t="s">
        <v>10861</v>
      </c>
    </row>
    <row r="317" spans="1:10">
      <c r="A317" t="s">
        <v>10854</v>
      </c>
      <c r="B317" t="s">
        <v>10700</v>
      </c>
      <c r="C317" t="s">
        <v>4938</v>
      </c>
      <c r="D317" t="s">
        <v>4938</v>
      </c>
      <c r="E317" t="s">
        <v>4938</v>
      </c>
      <c r="F317" t="s">
        <v>4938</v>
      </c>
      <c r="G317" t="s">
        <v>4938</v>
      </c>
      <c r="I317" t="s">
        <v>10861</v>
      </c>
      <c r="J317" t="s">
        <v>10862</v>
      </c>
    </row>
    <row r="318" spans="1:10">
      <c r="A318" t="s">
        <v>10855</v>
      </c>
      <c r="B318" t="s">
        <v>10701</v>
      </c>
      <c r="C318" t="s">
        <v>4938</v>
      </c>
      <c r="D318" t="s">
        <v>4938</v>
      </c>
      <c r="E318" t="s">
        <v>4938</v>
      </c>
      <c r="F318" t="s">
        <v>4938</v>
      </c>
      <c r="G318" t="s">
        <v>4938</v>
      </c>
      <c r="I318" t="s">
        <v>10861</v>
      </c>
      <c r="J318" t="s">
        <v>10863</v>
      </c>
    </row>
    <row r="319" spans="1:10">
      <c r="A319" t="s">
        <v>10856</v>
      </c>
      <c r="B319" t="s">
        <v>10702</v>
      </c>
      <c r="C319" t="s">
        <v>4938</v>
      </c>
      <c r="D319" t="s">
        <v>4938</v>
      </c>
      <c r="E319" t="s">
        <v>4938</v>
      </c>
      <c r="F319" t="s">
        <v>4938</v>
      </c>
      <c r="G319" t="s">
        <v>4938</v>
      </c>
      <c r="I319" t="s">
        <v>10993</v>
      </c>
      <c r="J319" t="s">
        <v>10864</v>
      </c>
    </row>
    <row r="320" spans="1:10">
      <c r="A320" t="s">
        <v>10857</v>
      </c>
      <c r="B320" t="s">
        <v>10703</v>
      </c>
      <c r="C320" t="s">
        <v>4938</v>
      </c>
      <c r="D320" t="s">
        <v>4938</v>
      </c>
      <c r="E320" t="s">
        <v>4938</v>
      </c>
      <c r="F320" t="s">
        <v>4938</v>
      </c>
      <c r="G320" t="s">
        <v>4938</v>
      </c>
      <c r="I320" t="s">
        <v>10864</v>
      </c>
      <c r="J320" t="s">
        <v>10865</v>
      </c>
    </row>
    <row r="321" spans="1:10">
      <c r="A321" t="s">
        <v>10858</v>
      </c>
      <c r="B321" t="s">
        <v>10704</v>
      </c>
      <c r="C321" t="s">
        <v>4938</v>
      </c>
      <c r="D321" t="s">
        <v>4938</v>
      </c>
      <c r="E321" t="s">
        <v>4938</v>
      </c>
      <c r="F321" t="s">
        <v>4938</v>
      </c>
      <c r="G321" t="s">
        <v>4938</v>
      </c>
      <c r="I321" t="s">
        <v>10864</v>
      </c>
      <c r="J321" t="s">
        <v>10866</v>
      </c>
    </row>
    <row r="322" spans="1:10">
      <c r="A322" t="s">
        <v>10859</v>
      </c>
      <c r="B322" t="s">
        <v>10705</v>
      </c>
      <c r="C322" t="s">
        <v>4938</v>
      </c>
      <c r="D322" t="s">
        <v>4938</v>
      </c>
      <c r="E322" t="s">
        <v>4938</v>
      </c>
      <c r="F322" t="s">
        <v>4938</v>
      </c>
      <c r="G322" t="s">
        <v>4938</v>
      </c>
      <c r="I322" t="s">
        <v>10864</v>
      </c>
      <c r="J322" t="s">
        <v>10867</v>
      </c>
    </row>
    <row r="323" spans="1:10">
      <c r="A323" t="s">
        <v>10860</v>
      </c>
      <c r="B323" t="s">
        <v>10706</v>
      </c>
      <c r="C323" t="s">
        <v>4938</v>
      </c>
      <c r="D323" t="s">
        <v>4938</v>
      </c>
      <c r="E323" t="s">
        <v>4938</v>
      </c>
      <c r="F323" t="s">
        <v>4938</v>
      </c>
      <c r="G323" t="s">
        <v>4938</v>
      </c>
      <c r="I323" t="s">
        <v>10994</v>
      </c>
      <c r="J323" t="s">
        <v>10868</v>
      </c>
    </row>
    <row r="324" spans="1:10">
      <c r="A324" t="s">
        <v>10861</v>
      </c>
      <c r="B324" t="s">
        <v>10707</v>
      </c>
      <c r="C324" t="s">
        <v>4938</v>
      </c>
      <c r="D324" t="s">
        <v>4938</v>
      </c>
      <c r="E324" t="s">
        <v>4938</v>
      </c>
      <c r="F324" t="s">
        <v>4938</v>
      </c>
      <c r="G324" t="s">
        <v>4938</v>
      </c>
      <c r="I324" t="s">
        <v>10868</v>
      </c>
      <c r="J324" t="s">
        <v>10869</v>
      </c>
    </row>
    <row r="325" spans="1:10">
      <c r="A325" t="s">
        <v>10862</v>
      </c>
      <c r="B325" t="s">
        <v>10708</v>
      </c>
      <c r="C325" t="s">
        <v>4938</v>
      </c>
      <c r="D325" t="s">
        <v>4938</v>
      </c>
      <c r="E325" t="s">
        <v>4938</v>
      </c>
      <c r="F325" t="s">
        <v>4938</v>
      </c>
      <c r="G325" t="s">
        <v>4938</v>
      </c>
      <c r="I325" t="s">
        <v>10868</v>
      </c>
      <c r="J325" t="s">
        <v>10870</v>
      </c>
    </row>
    <row r="326" spans="1:10">
      <c r="A326" t="s">
        <v>10863</v>
      </c>
      <c r="B326" t="s">
        <v>10709</v>
      </c>
      <c r="C326" t="s">
        <v>4938</v>
      </c>
      <c r="D326" t="s">
        <v>4938</v>
      </c>
      <c r="E326" t="s">
        <v>4938</v>
      </c>
      <c r="F326" t="s">
        <v>4938</v>
      </c>
      <c r="G326" t="s">
        <v>4938</v>
      </c>
      <c r="I326" t="s">
        <v>10995</v>
      </c>
      <c r="J326" t="s">
        <v>10871</v>
      </c>
    </row>
    <row r="327" spans="1:10">
      <c r="A327" t="s">
        <v>10864</v>
      </c>
      <c r="B327" t="s">
        <v>10710</v>
      </c>
      <c r="C327" t="s">
        <v>4938</v>
      </c>
      <c r="D327" t="s">
        <v>4938</v>
      </c>
      <c r="E327" t="s">
        <v>4938</v>
      </c>
      <c r="F327" t="s">
        <v>4938</v>
      </c>
      <c r="G327" t="s">
        <v>4938</v>
      </c>
      <c r="I327" t="s">
        <v>10871</v>
      </c>
      <c r="J327" t="s">
        <v>10872</v>
      </c>
    </row>
    <row r="328" spans="1:10">
      <c r="A328" t="s">
        <v>10865</v>
      </c>
      <c r="B328" t="s">
        <v>10711</v>
      </c>
      <c r="C328" t="s">
        <v>4938</v>
      </c>
      <c r="D328" t="s">
        <v>4938</v>
      </c>
      <c r="E328" t="s">
        <v>4938</v>
      </c>
      <c r="F328" t="s">
        <v>4938</v>
      </c>
      <c r="G328" t="s">
        <v>4938</v>
      </c>
      <c r="I328" t="s">
        <v>10871</v>
      </c>
      <c r="J328" t="s">
        <v>10873</v>
      </c>
    </row>
    <row r="329" spans="1:10">
      <c r="A329" t="s">
        <v>10866</v>
      </c>
      <c r="B329" t="s">
        <v>10712</v>
      </c>
      <c r="C329" t="s">
        <v>4938</v>
      </c>
      <c r="D329" t="s">
        <v>4938</v>
      </c>
      <c r="E329" t="s">
        <v>4938</v>
      </c>
      <c r="F329" t="s">
        <v>4938</v>
      </c>
      <c r="G329" t="s">
        <v>4938</v>
      </c>
      <c r="I329" t="s">
        <v>10871</v>
      </c>
      <c r="J329" t="s">
        <v>10874</v>
      </c>
    </row>
    <row r="330" spans="1:10">
      <c r="A330" t="s">
        <v>10867</v>
      </c>
      <c r="B330" t="s">
        <v>10713</v>
      </c>
      <c r="C330" t="s">
        <v>4938</v>
      </c>
      <c r="D330" t="s">
        <v>4938</v>
      </c>
      <c r="E330" t="s">
        <v>4938</v>
      </c>
      <c r="F330" t="s">
        <v>4938</v>
      </c>
      <c r="G330" t="s">
        <v>4938</v>
      </c>
      <c r="I330" t="s">
        <v>10996</v>
      </c>
      <c r="J330" t="s">
        <v>10875</v>
      </c>
    </row>
    <row r="331" spans="1:10">
      <c r="A331" t="s">
        <v>10868</v>
      </c>
      <c r="B331" t="s">
        <v>10714</v>
      </c>
      <c r="C331" t="s">
        <v>4938</v>
      </c>
      <c r="D331" t="s">
        <v>4938</v>
      </c>
      <c r="E331" t="s">
        <v>4938</v>
      </c>
      <c r="F331" t="s">
        <v>4938</v>
      </c>
      <c r="G331" t="s">
        <v>4938</v>
      </c>
      <c r="I331" t="s">
        <v>10875</v>
      </c>
      <c r="J331" t="s">
        <v>10876</v>
      </c>
    </row>
    <row r="332" spans="1:10">
      <c r="A332" t="s">
        <v>10869</v>
      </c>
      <c r="B332" t="s">
        <v>10715</v>
      </c>
      <c r="C332" t="s">
        <v>4938</v>
      </c>
      <c r="D332" t="s">
        <v>4938</v>
      </c>
      <c r="E332" t="s">
        <v>4938</v>
      </c>
      <c r="F332" t="s">
        <v>4938</v>
      </c>
      <c r="G332" t="s">
        <v>4938</v>
      </c>
      <c r="I332" t="s">
        <v>10875</v>
      </c>
      <c r="J332" t="s">
        <v>10877</v>
      </c>
    </row>
    <row r="333" spans="1:10">
      <c r="A333" t="s">
        <v>10870</v>
      </c>
      <c r="B333" t="s">
        <v>10716</v>
      </c>
      <c r="C333" t="s">
        <v>4938</v>
      </c>
      <c r="D333" t="s">
        <v>4938</v>
      </c>
      <c r="E333" t="s">
        <v>4938</v>
      </c>
      <c r="F333" t="s">
        <v>4938</v>
      </c>
      <c r="G333" t="s">
        <v>4938</v>
      </c>
      <c r="I333" t="s">
        <v>10997</v>
      </c>
      <c r="J333" t="s">
        <v>10878</v>
      </c>
    </row>
    <row r="334" spans="1:10">
      <c r="A334" t="s">
        <v>10871</v>
      </c>
      <c r="B334" t="s">
        <v>10717</v>
      </c>
      <c r="C334" t="s">
        <v>4938</v>
      </c>
      <c r="D334" t="s">
        <v>4938</v>
      </c>
      <c r="E334" t="s">
        <v>4938</v>
      </c>
      <c r="F334" t="s">
        <v>4938</v>
      </c>
      <c r="G334" t="s">
        <v>4938</v>
      </c>
      <c r="I334" t="s">
        <v>10878</v>
      </c>
      <c r="J334" t="s">
        <v>10879</v>
      </c>
    </row>
    <row r="335" spans="1:10">
      <c r="A335" t="s">
        <v>10872</v>
      </c>
      <c r="B335" t="s">
        <v>10718</v>
      </c>
      <c r="C335" t="s">
        <v>4938</v>
      </c>
      <c r="D335" t="s">
        <v>4938</v>
      </c>
      <c r="E335" t="s">
        <v>4938</v>
      </c>
      <c r="F335" t="s">
        <v>4938</v>
      </c>
      <c r="G335" t="s">
        <v>4938</v>
      </c>
      <c r="I335" t="s">
        <v>10878</v>
      </c>
      <c r="J335" t="s">
        <v>10880</v>
      </c>
    </row>
    <row r="336" spans="1:10">
      <c r="A336" t="s">
        <v>10873</v>
      </c>
      <c r="B336" t="s">
        <v>10719</v>
      </c>
      <c r="C336" t="s">
        <v>4938</v>
      </c>
      <c r="D336" t="s">
        <v>4938</v>
      </c>
      <c r="E336" t="s">
        <v>4938</v>
      </c>
      <c r="F336" t="s">
        <v>4938</v>
      </c>
      <c r="G336" t="s">
        <v>4938</v>
      </c>
      <c r="I336" t="s">
        <v>10878</v>
      </c>
      <c r="J336" t="s">
        <v>10881</v>
      </c>
    </row>
    <row r="337" spans="1:10">
      <c r="A337" t="s">
        <v>10874</v>
      </c>
      <c r="B337" t="s">
        <v>10720</v>
      </c>
      <c r="C337" t="s">
        <v>4938</v>
      </c>
      <c r="D337" t="s">
        <v>4938</v>
      </c>
      <c r="E337" t="s">
        <v>4938</v>
      </c>
      <c r="F337" t="s">
        <v>4938</v>
      </c>
      <c r="G337" t="s">
        <v>4938</v>
      </c>
      <c r="I337" t="s">
        <v>10998</v>
      </c>
      <c r="J337" t="s">
        <v>10882</v>
      </c>
    </row>
    <row r="338" spans="1:10">
      <c r="A338" t="s">
        <v>10875</v>
      </c>
      <c r="B338" t="s">
        <v>10721</v>
      </c>
      <c r="C338" t="s">
        <v>4938</v>
      </c>
      <c r="D338" t="s">
        <v>4938</v>
      </c>
      <c r="E338" t="s">
        <v>4938</v>
      </c>
      <c r="F338" t="s">
        <v>4938</v>
      </c>
      <c r="G338" t="s">
        <v>4938</v>
      </c>
      <c r="I338" t="s">
        <v>10882</v>
      </c>
      <c r="J338" t="s">
        <v>10883</v>
      </c>
    </row>
    <row r="339" spans="1:10">
      <c r="A339" t="s">
        <v>10876</v>
      </c>
      <c r="B339" t="s">
        <v>10722</v>
      </c>
      <c r="C339" t="s">
        <v>4938</v>
      </c>
      <c r="D339" t="s">
        <v>4938</v>
      </c>
      <c r="E339" t="s">
        <v>4938</v>
      </c>
      <c r="F339" t="s">
        <v>4938</v>
      </c>
      <c r="G339" t="s">
        <v>4938</v>
      </c>
      <c r="I339" t="s">
        <v>10882</v>
      </c>
      <c r="J339" t="s">
        <v>10884</v>
      </c>
    </row>
    <row r="340" spans="1:10">
      <c r="A340" t="s">
        <v>10877</v>
      </c>
      <c r="B340" t="s">
        <v>10723</v>
      </c>
      <c r="C340" t="s">
        <v>4938</v>
      </c>
      <c r="D340" t="s">
        <v>4938</v>
      </c>
      <c r="E340" t="s">
        <v>4938</v>
      </c>
      <c r="F340" t="s">
        <v>4938</v>
      </c>
      <c r="G340" t="s">
        <v>4938</v>
      </c>
      <c r="I340" t="s">
        <v>10999</v>
      </c>
      <c r="J340" t="s">
        <v>10885</v>
      </c>
    </row>
    <row r="341" spans="1:10">
      <c r="A341" t="s">
        <v>10878</v>
      </c>
      <c r="B341" t="s">
        <v>10724</v>
      </c>
      <c r="C341" t="s">
        <v>4938</v>
      </c>
      <c r="D341" t="s">
        <v>4938</v>
      </c>
      <c r="E341" t="s">
        <v>4938</v>
      </c>
      <c r="F341" t="s">
        <v>4938</v>
      </c>
      <c r="G341" t="s">
        <v>4938</v>
      </c>
      <c r="I341" t="s">
        <v>10885</v>
      </c>
      <c r="J341" t="s">
        <v>10886</v>
      </c>
    </row>
    <row r="342" spans="1:10">
      <c r="A342" t="s">
        <v>10879</v>
      </c>
      <c r="B342" t="s">
        <v>10725</v>
      </c>
      <c r="C342" t="s">
        <v>4938</v>
      </c>
      <c r="D342" t="s">
        <v>4938</v>
      </c>
      <c r="E342" t="s">
        <v>4938</v>
      </c>
      <c r="F342" t="s">
        <v>4938</v>
      </c>
      <c r="G342" t="s">
        <v>4938</v>
      </c>
      <c r="I342" t="s">
        <v>10885</v>
      </c>
      <c r="J342" t="s">
        <v>10887</v>
      </c>
    </row>
    <row r="343" spans="1:10">
      <c r="A343" t="s">
        <v>10880</v>
      </c>
      <c r="B343" t="s">
        <v>10726</v>
      </c>
      <c r="C343" t="s">
        <v>4938</v>
      </c>
      <c r="D343" t="s">
        <v>4938</v>
      </c>
      <c r="E343" t="s">
        <v>4938</v>
      </c>
      <c r="F343" t="s">
        <v>4938</v>
      </c>
      <c r="G343" t="s">
        <v>4938</v>
      </c>
      <c r="I343" t="s">
        <v>10885</v>
      </c>
      <c r="J343" t="s">
        <v>10888</v>
      </c>
    </row>
    <row r="344" spans="1:10">
      <c r="A344" t="s">
        <v>10881</v>
      </c>
      <c r="B344" t="s">
        <v>10727</v>
      </c>
      <c r="C344" t="s">
        <v>4938</v>
      </c>
      <c r="D344" t="s">
        <v>4938</v>
      </c>
      <c r="E344" t="s">
        <v>4938</v>
      </c>
      <c r="F344" t="s">
        <v>4938</v>
      </c>
      <c r="G344" t="s">
        <v>4938</v>
      </c>
      <c r="I344" t="s">
        <v>11000</v>
      </c>
      <c r="J344" t="s">
        <v>10889</v>
      </c>
    </row>
    <row r="345" spans="1:10">
      <c r="A345" t="s">
        <v>10882</v>
      </c>
      <c r="B345" t="s">
        <v>10728</v>
      </c>
      <c r="C345" t="s">
        <v>4938</v>
      </c>
      <c r="D345" t="s">
        <v>4938</v>
      </c>
      <c r="E345" t="s">
        <v>4938</v>
      </c>
      <c r="F345" t="s">
        <v>4938</v>
      </c>
      <c r="G345" t="s">
        <v>4938</v>
      </c>
      <c r="I345" t="s">
        <v>10889</v>
      </c>
      <c r="J345" t="s">
        <v>10890</v>
      </c>
    </row>
    <row r="346" spans="1:10">
      <c r="A346" t="s">
        <v>10883</v>
      </c>
      <c r="B346" t="s">
        <v>10729</v>
      </c>
      <c r="C346" t="s">
        <v>4938</v>
      </c>
      <c r="D346" t="s">
        <v>4938</v>
      </c>
      <c r="E346" t="s">
        <v>4938</v>
      </c>
      <c r="F346" t="s">
        <v>4938</v>
      </c>
      <c r="G346" t="s">
        <v>4938</v>
      </c>
      <c r="I346" t="s">
        <v>10889</v>
      </c>
      <c r="J346" t="s">
        <v>10891</v>
      </c>
    </row>
    <row r="347" spans="1:10">
      <c r="A347" t="s">
        <v>10884</v>
      </c>
      <c r="B347" t="s">
        <v>10730</v>
      </c>
      <c r="C347" t="s">
        <v>4938</v>
      </c>
      <c r="D347" t="s">
        <v>4938</v>
      </c>
      <c r="E347" t="s">
        <v>4938</v>
      </c>
      <c r="F347" t="s">
        <v>4938</v>
      </c>
      <c r="G347" t="s">
        <v>4938</v>
      </c>
      <c r="I347" t="s">
        <v>11001</v>
      </c>
      <c r="J347" t="s">
        <v>10892</v>
      </c>
    </row>
    <row r="348" spans="1:10">
      <c r="A348" t="s">
        <v>10885</v>
      </c>
      <c r="B348" t="s">
        <v>10731</v>
      </c>
      <c r="C348" t="s">
        <v>4938</v>
      </c>
      <c r="D348" t="s">
        <v>4938</v>
      </c>
      <c r="E348" t="s">
        <v>4938</v>
      </c>
      <c r="F348" t="s">
        <v>4938</v>
      </c>
      <c r="G348" t="s">
        <v>4938</v>
      </c>
      <c r="I348" t="s">
        <v>10892</v>
      </c>
      <c r="J348" t="s">
        <v>10893</v>
      </c>
    </row>
    <row r="349" spans="1:10">
      <c r="A349" t="s">
        <v>10886</v>
      </c>
      <c r="B349" t="s">
        <v>10732</v>
      </c>
      <c r="C349" t="s">
        <v>4938</v>
      </c>
      <c r="D349" t="s">
        <v>4938</v>
      </c>
      <c r="E349" t="s">
        <v>4938</v>
      </c>
      <c r="F349" t="s">
        <v>4938</v>
      </c>
      <c r="G349" t="s">
        <v>4938</v>
      </c>
      <c r="I349" t="s">
        <v>10892</v>
      </c>
      <c r="J349" t="s">
        <v>10894</v>
      </c>
    </row>
    <row r="350" spans="1:10">
      <c r="A350" t="s">
        <v>10887</v>
      </c>
      <c r="B350" t="s">
        <v>10733</v>
      </c>
      <c r="C350" t="s">
        <v>4938</v>
      </c>
      <c r="D350" t="s">
        <v>4938</v>
      </c>
      <c r="E350" t="s">
        <v>4938</v>
      </c>
      <c r="F350" t="s">
        <v>4938</v>
      </c>
      <c r="G350" t="s">
        <v>4938</v>
      </c>
      <c r="I350" t="s">
        <v>10892</v>
      </c>
      <c r="J350" t="s">
        <v>10895</v>
      </c>
    </row>
    <row r="351" spans="1:10">
      <c r="A351" t="s">
        <v>10888</v>
      </c>
      <c r="B351" t="s">
        <v>10734</v>
      </c>
      <c r="C351" t="s">
        <v>4938</v>
      </c>
      <c r="D351" t="s">
        <v>4938</v>
      </c>
      <c r="E351" t="s">
        <v>4938</v>
      </c>
      <c r="F351" t="s">
        <v>4938</v>
      </c>
      <c r="G351" t="s">
        <v>4938</v>
      </c>
      <c r="I351" t="s">
        <v>11002</v>
      </c>
      <c r="J351" t="s">
        <v>10896</v>
      </c>
    </row>
    <row r="352" spans="1:10">
      <c r="A352" t="s">
        <v>10889</v>
      </c>
      <c r="B352" t="s">
        <v>10735</v>
      </c>
      <c r="C352" t="s">
        <v>4938</v>
      </c>
      <c r="D352" t="s">
        <v>4938</v>
      </c>
      <c r="E352" t="s">
        <v>4938</v>
      </c>
      <c r="F352" t="s">
        <v>4938</v>
      </c>
      <c r="G352" t="s">
        <v>4938</v>
      </c>
      <c r="I352" t="s">
        <v>10896</v>
      </c>
      <c r="J352" t="s">
        <v>10897</v>
      </c>
    </row>
    <row r="353" spans="1:10">
      <c r="A353" t="s">
        <v>10890</v>
      </c>
      <c r="B353" t="s">
        <v>10736</v>
      </c>
      <c r="C353" t="s">
        <v>4938</v>
      </c>
      <c r="D353" t="s">
        <v>4938</v>
      </c>
      <c r="E353" t="s">
        <v>4938</v>
      </c>
      <c r="F353" t="s">
        <v>4938</v>
      </c>
      <c r="G353" t="s">
        <v>4938</v>
      </c>
      <c r="I353" t="s">
        <v>10896</v>
      </c>
      <c r="J353" t="s">
        <v>10898</v>
      </c>
    </row>
    <row r="354" spans="1:10">
      <c r="A354" t="s">
        <v>10891</v>
      </c>
      <c r="B354" t="s">
        <v>10737</v>
      </c>
      <c r="C354" t="s">
        <v>4938</v>
      </c>
      <c r="D354" t="s">
        <v>4938</v>
      </c>
      <c r="E354" t="s">
        <v>4938</v>
      </c>
      <c r="F354" t="s">
        <v>4938</v>
      </c>
      <c r="G354" t="s">
        <v>4938</v>
      </c>
      <c r="I354" t="s">
        <v>11003</v>
      </c>
      <c r="J354" t="s">
        <v>10899</v>
      </c>
    </row>
    <row r="355" spans="1:10">
      <c r="A355" t="s">
        <v>10892</v>
      </c>
      <c r="B355" t="s">
        <v>10738</v>
      </c>
      <c r="C355" t="s">
        <v>4938</v>
      </c>
      <c r="D355" t="s">
        <v>4938</v>
      </c>
      <c r="E355" t="s">
        <v>4938</v>
      </c>
      <c r="F355" t="s">
        <v>4938</v>
      </c>
      <c r="G355" t="s">
        <v>4938</v>
      </c>
      <c r="I355" t="s">
        <v>10899</v>
      </c>
      <c r="J355" t="s">
        <v>10900</v>
      </c>
    </row>
    <row r="356" spans="1:10">
      <c r="A356" t="s">
        <v>10893</v>
      </c>
      <c r="B356" t="s">
        <v>10739</v>
      </c>
      <c r="C356" t="s">
        <v>4938</v>
      </c>
      <c r="D356" t="s">
        <v>4938</v>
      </c>
      <c r="E356" t="s">
        <v>4938</v>
      </c>
      <c r="F356" t="s">
        <v>4938</v>
      </c>
      <c r="G356" t="s">
        <v>4938</v>
      </c>
      <c r="I356" t="s">
        <v>10899</v>
      </c>
      <c r="J356" t="s">
        <v>10901</v>
      </c>
    </row>
    <row r="357" spans="1:10">
      <c r="A357" t="s">
        <v>10894</v>
      </c>
      <c r="B357" t="s">
        <v>10740</v>
      </c>
      <c r="C357" t="s">
        <v>4938</v>
      </c>
      <c r="D357" t="s">
        <v>4938</v>
      </c>
      <c r="E357" t="s">
        <v>4938</v>
      </c>
      <c r="F357" t="s">
        <v>4938</v>
      </c>
      <c r="G357" t="s">
        <v>4938</v>
      </c>
      <c r="I357" t="s">
        <v>10899</v>
      </c>
      <c r="J357" t="s">
        <v>10902</v>
      </c>
    </row>
    <row r="358" spans="1:10">
      <c r="A358" t="s">
        <v>10895</v>
      </c>
      <c r="B358" t="s">
        <v>10741</v>
      </c>
      <c r="C358" t="s">
        <v>4938</v>
      </c>
      <c r="D358" t="s">
        <v>4938</v>
      </c>
      <c r="E358" t="s">
        <v>4938</v>
      </c>
      <c r="F358" t="s">
        <v>4938</v>
      </c>
      <c r="G358" t="s">
        <v>4938</v>
      </c>
      <c r="I358" t="s">
        <v>11004</v>
      </c>
      <c r="J358" t="s">
        <v>10903</v>
      </c>
    </row>
    <row r="359" spans="1:10">
      <c r="A359" t="s">
        <v>10896</v>
      </c>
      <c r="B359" t="s">
        <v>10742</v>
      </c>
      <c r="C359" t="s">
        <v>4938</v>
      </c>
      <c r="D359" t="s">
        <v>4938</v>
      </c>
      <c r="E359" t="s">
        <v>4938</v>
      </c>
      <c r="F359" t="s">
        <v>4938</v>
      </c>
      <c r="G359" t="s">
        <v>4938</v>
      </c>
      <c r="I359" t="s">
        <v>10903</v>
      </c>
      <c r="J359" t="s">
        <v>10904</v>
      </c>
    </row>
    <row r="360" spans="1:10">
      <c r="A360" t="s">
        <v>10897</v>
      </c>
      <c r="B360" t="s">
        <v>10743</v>
      </c>
      <c r="C360" t="s">
        <v>4938</v>
      </c>
      <c r="D360" t="s">
        <v>4938</v>
      </c>
      <c r="E360" t="s">
        <v>4938</v>
      </c>
      <c r="F360" t="s">
        <v>4938</v>
      </c>
      <c r="G360" t="s">
        <v>4938</v>
      </c>
      <c r="I360" t="s">
        <v>10903</v>
      </c>
      <c r="J360" t="s">
        <v>10905</v>
      </c>
    </row>
    <row r="361" spans="1:10">
      <c r="A361" t="s">
        <v>10898</v>
      </c>
      <c r="B361" t="s">
        <v>10744</v>
      </c>
      <c r="C361" t="s">
        <v>4938</v>
      </c>
      <c r="D361" t="s">
        <v>4938</v>
      </c>
      <c r="E361" t="s">
        <v>4938</v>
      </c>
      <c r="F361" t="s">
        <v>4938</v>
      </c>
      <c r="G361" t="s">
        <v>4938</v>
      </c>
      <c r="I361" t="s">
        <v>11005</v>
      </c>
      <c r="J361" t="s">
        <v>10906</v>
      </c>
    </row>
    <row r="362" spans="1:10">
      <c r="A362" t="s">
        <v>10899</v>
      </c>
      <c r="B362" t="s">
        <v>10745</v>
      </c>
      <c r="C362" t="s">
        <v>4938</v>
      </c>
      <c r="D362" t="s">
        <v>4938</v>
      </c>
      <c r="E362" t="s">
        <v>4938</v>
      </c>
      <c r="F362" t="s">
        <v>4938</v>
      </c>
      <c r="G362" t="s">
        <v>4938</v>
      </c>
      <c r="I362" t="s">
        <v>10906</v>
      </c>
      <c r="J362" t="s">
        <v>10907</v>
      </c>
    </row>
    <row r="363" spans="1:10">
      <c r="A363" t="s">
        <v>10900</v>
      </c>
      <c r="B363" t="s">
        <v>10746</v>
      </c>
      <c r="C363" t="s">
        <v>4938</v>
      </c>
      <c r="D363" t="s">
        <v>4938</v>
      </c>
      <c r="E363" t="s">
        <v>4938</v>
      </c>
      <c r="F363" t="s">
        <v>4938</v>
      </c>
      <c r="G363" t="s">
        <v>4938</v>
      </c>
      <c r="I363" t="s">
        <v>10906</v>
      </c>
      <c r="J363" t="s">
        <v>10908</v>
      </c>
    </row>
    <row r="364" spans="1:10">
      <c r="A364" t="s">
        <v>10901</v>
      </c>
      <c r="B364" t="s">
        <v>10747</v>
      </c>
      <c r="C364" t="s">
        <v>4938</v>
      </c>
      <c r="D364" t="s">
        <v>4938</v>
      </c>
      <c r="E364" t="s">
        <v>4938</v>
      </c>
      <c r="F364" t="s">
        <v>4938</v>
      </c>
      <c r="G364" t="s">
        <v>4938</v>
      </c>
      <c r="I364" t="s">
        <v>10906</v>
      </c>
      <c r="J364" t="s">
        <v>10909</v>
      </c>
    </row>
    <row r="365" spans="1:10">
      <c r="A365" t="s">
        <v>10902</v>
      </c>
      <c r="B365" t="s">
        <v>10748</v>
      </c>
      <c r="C365" t="s">
        <v>4938</v>
      </c>
      <c r="D365" t="s">
        <v>4938</v>
      </c>
      <c r="E365" t="s">
        <v>4938</v>
      </c>
      <c r="F365" t="s">
        <v>4938</v>
      </c>
      <c r="G365" t="s">
        <v>4938</v>
      </c>
      <c r="I365" t="s">
        <v>11006</v>
      </c>
      <c r="J365" t="s">
        <v>10910</v>
      </c>
    </row>
    <row r="366" spans="1:10">
      <c r="A366" t="s">
        <v>10903</v>
      </c>
      <c r="B366" t="s">
        <v>10749</v>
      </c>
      <c r="C366" t="s">
        <v>4938</v>
      </c>
      <c r="D366" t="s">
        <v>4938</v>
      </c>
      <c r="E366" t="s">
        <v>4938</v>
      </c>
      <c r="F366" t="s">
        <v>4938</v>
      </c>
      <c r="G366" t="s">
        <v>4938</v>
      </c>
      <c r="I366" t="s">
        <v>10910</v>
      </c>
      <c r="J366" t="s">
        <v>10911</v>
      </c>
    </row>
    <row r="367" spans="1:10">
      <c r="A367" t="s">
        <v>10904</v>
      </c>
      <c r="B367" t="s">
        <v>10750</v>
      </c>
      <c r="C367" t="s">
        <v>4938</v>
      </c>
      <c r="D367" t="s">
        <v>4938</v>
      </c>
      <c r="E367" t="s">
        <v>4938</v>
      </c>
      <c r="F367" t="s">
        <v>4938</v>
      </c>
      <c r="G367" t="s">
        <v>4938</v>
      </c>
      <c r="I367" t="s">
        <v>10910</v>
      </c>
      <c r="J367" t="s">
        <v>10912</v>
      </c>
    </row>
    <row r="368" spans="1:10">
      <c r="A368" t="s">
        <v>10905</v>
      </c>
      <c r="B368" t="s">
        <v>10751</v>
      </c>
      <c r="C368" t="s">
        <v>4938</v>
      </c>
      <c r="D368" t="s">
        <v>4938</v>
      </c>
      <c r="E368" t="s">
        <v>4938</v>
      </c>
      <c r="F368" t="s">
        <v>4938</v>
      </c>
      <c r="G368" t="s">
        <v>4938</v>
      </c>
      <c r="I368" t="s">
        <v>11007</v>
      </c>
      <c r="J368" t="s">
        <v>10913</v>
      </c>
    </row>
    <row r="369" spans="1:10">
      <c r="A369" t="s">
        <v>10906</v>
      </c>
      <c r="B369" t="s">
        <v>10752</v>
      </c>
      <c r="C369" t="s">
        <v>4938</v>
      </c>
      <c r="D369" t="s">
        <v>4938</v>
      </c>
      <c r="E369" t="s">
        <v>4938</v>
      </c>
      <c r="F369" t="s">
        <v>4938</v>
      </c>
      <c r="G369" t="s">
        <v>4938</v>
      </c>
      <c r="I369" t="s">
        <v>10913</v>
      </c>
      <c r="J369" t="s">
        <v>10914</v>
      </c>
    </row>
    <row r="370" spans="1:10">
      <c r="A370" t="s">
        <v>10907</v>
      </c>
      <c r="B370" t="s">
        <v>10753</v>
      </c>
      <c r="C370" t="s">
        <v>4938</v>
      </c>
      <c r="D370" t="s">
        <v>4938</v>
      </c>
      <c r="E370" t="s">
        <v>4938</v>
      </c>
      <c r="F370" t="s">
        <v>4938</v>
      </c>
      <c r="G370" t="s">
        <v>4938</v>
      </c>
      <c r="I370" t="s">
        <v>10913</v>
      </c>
      <c r="J370" t="s">
        <v>10915</v>
      </c>
    </row>
    <row r="371" spans="1:10">
      <c r="A371" t="s">
        <v>10908</v>
      </c>
      <c r="B371" t="s">
        <v>10754</v>
      </c>
      <c r="C371" t="s">
        <v>4938</v>
      </c>
      <c r="D371" t="s">
        <v>4938</v>
      </c>
      <c r="E371" t="s">
        <v>4938</v>
      </c>
      <c r="F371" t="s">
        <v>4938</v>
      </c>
      <c r="G371" t="s">
        <v>4938</v>
      </c>
      <c r="I371" t="s">
        <v>10913</v>
      </c>
      <c r="J371" t="s">
        <v>10916</v>
      </c>
    </row>
    <row r="372" spans="1:10">
      <c r="A372" t="s">
        <v>10909</v>
      </c>
      <c r="B372" t="s">
        <v>10755</v>
      </c>
      <c r="C372" t="s">
        <v>4938</v>
      </c>
      <c r="D372" t="s">
        <v>4938</v>
      </c>
      <c r="E372" t="s">
        <v>4938</v>
      </c>
      <c r="F372" t="s">
        <v>4938</v>
      </c>
      <c r="G372" t="s">
        <v>4938</v>
      </c>
      <c r="I372" t="s">
        <v>11008</v>
      </c>
      <c r="J372" t="s">
        <v>10917</v>
      </c>
    </row>
    <row r="373" spans="1:10">
      <c r="A373" t="s">
        <v>10910</v>
      </c>
      <c r="B373" t="s">
        <v>10756</v>
      </c>
      <c r="C373" t="s">
        <v>4938</v>
      </c>
      <c r="D373" t="s">
        <v>4938</v>
      </c>
      <c r="E373" t="s">
        <v>4938</v>
      </c>
      <c r="F373" t="s">
        <v>4938</v>
      </c>
      <c r="G373" t="s">
        <v>4938</v>
      </c>
      <c r="I373" t="s">
        <v>10917</v>
      </c>
      <c r="J373" t="s">
        <v>10918</v>
      </c>
    </row>
    <row r="374" spans="1:10">
      <c r="A374" t="s">
        <v>10911</v>
      </c>
      <c r="B374" t="s">
        <v>10757</v>
      </c>
      <c r="C374" t="s">
        <v>4938</v>
      </c>
      <c r="D374" t="s">
        <v>4938</v>
      </c>
      <c r="E374" t="s">
        <v>4938</v>
      </c>
      <c r="F374" t="s">
        <v>4938</v>
      </c>
      <c r="G374" t="s">
        <v>4938</v>
      </c>
      <c r="I374" t="s">
        <v>10917</v>
      </c>
      <c r="J374" t="s">
        <v>10919</v>
      </c>
    </row>
    <row r="375" spans="1:10">
      <c r="A375" t="s">
        <v>10912</v>
      </c>
      <c r="B375" t="s">
        <v>10758</v>
      </c>
      <c r="C375" t="s">
        <v>4938</v>
      </c>
      <c r="D375" t="s">
        <v>4938</v>
      </c>
      <c r="E375" t="s">
        <v>4938</v>
      </c>
      <c r="F375" t="s">
        <v>4938</v>
      </c>
      <c r="G375" t="s">
        <v>4938</v>
      </c>
      <c r="I375" t="s">
        <v>11009</v>
      </c>
      <c r="J375" t="s">
        <v>10920</v>
      </c>
    </row>
    <row r="376" spans="1:10">
      <c r="A376" t="s">
        <v>10913</v>
      </c>
      <c r="B376" t="s">
        <v>10759</v>
      </c>
      <c r="C376" t="s">
        <v>4938</v>
      </c>
      <c r="D376" t="s">
        <v>4938</v>
      </c>
      <c r="E376" t="s">
        <v>4938</v>
      </c>
      <c r="F376" t="s">
        <v>4938</v>
      </c>
      <c r="G376" t="s">
        <v>4938</v>
      </c>
      <c r="I376" t="s">
        <v>10920</v>
      </c>
      <c r="J376" t="s">
        <v>10921</v>
      </c>
    </row>
    <row r="377" spans="1:10">
      <c r="A377" t="s">
        <v>10914</v>
      </c>
      <c r="B377" t="s">
        <v>10760</v>
      </c>
      <c r="C377" t="s">
        <v>4938</v>
      </c>
      <c r="D377" t="s">
        <v>4938</v>
      </c>
      <c r="E377" t="s">
        <v>4938</v>
      </c>
      <c r="F377" t="s">
        <v>4938</v>
      </c>
      <c r="G377" t="s">
        <v>4938</v>
      </c>
      <c r="I377" t="s">
        <v>10920</v>
      </c>
      <c r="J377" t="s">
        <v>10922</v>
      </c>
    </row>
    <row r="378" spans="1:10">
      <c r="A378" t="s">
        <v>10915</v>
      </c>
      <c r="B378" t="s">
        <v>10761</v>
      </c>
      <c r="C378" t="s">
        <v>4938</v>
      </c>
      <c r="D378" t="s">
        <v>4938</v>
      </c>
      <c r="E378" t="s">
        <v>4938</v>
      </c>
      <c r="F378" t="s">
        <v>4938</v>
      </c>
      <c r="G378" t="s">
        <v>4938</v>
      </c>
      <c r="I378" t="s">
        <v>10920</v>
      </c>
      <c r="J378" t="s">
        <v>10923</v>
      </c>
    </row>
    <row r="379" spans="1:10">
      <c r="A379" t="s">
        <v>10916</v>
      </c>
      <c r="B379" t="s">
        <v>10762</v>
      </c>
      <c r="C379" t="s">
        <v>4938</v>
      </c>
      <c r="D379" t="s">
        <v>4938</v>
      </c>
      <c r="E379" t="s">
        <v>4938</v>
      </c>
      <c r="F379" t="s">
        <v>4938</v>
      </c>
      <c r="G379" t="s">
        <v>4938</v>
      </c>
      <c r="I379" t="s">
        <v>11010</v>
      </c>
      <c r="J379" t="s">
        <v>10924</v>
      </c>
    </row>
    <row r="380" spans="1:10">
      <c r="A380" t="s">
        <v>10917</v>
      </c>
      <c r="B380" t="s">
        <v>10763</v>
      </c>
      <c r="C380" t="s">
        <v>4938</v>
      </c>
      <c r="D380" t="s">
        <v>4938</v>
      </c>
      <c r="E380" t="s">
        <v>4938</v>
      </c>
      <c r="F380" t="s">
        <v>4938</v>
      </c>
      <c r="G380" t="s">
        <v>4938</v>
      </c>
      <c r="I380" t="s">
        <v>10924</v>
      </c>
      <c r="J380" t="s">
        <v>10925</v>
      </c>
    </row>
    <row r="381" spans="1:10">
      <c r="A381" t="s">
        <v>10918</v>
      </c>
      <c r="B381" t="s">
        <v>10764</v>
      </c>
      <c r="C381" t="s">
        <v>4938</v>
      </c>
      <c r="D381" t="s">
        <v>4938</v>
      </c>
      <c r="E381" t="s">
        <v>4938</v>
      </c>
      <c r="F381" t="s">
        <v>4938</v>
      </c>
      <c r="G381" t="s">
        <v>4938</v>
      </c>
      <c r="I381" t="s">
        <v>10924</v>
      </c>
      <c r="J381" t="s">
        <v>10926</v>
      </c>
    </row>
    <row r="382" spans="1:10">
      <c r="A382" t="s">
        <v>10919</v>
      </c>
      <c r="B382" t="s">
        <v>10765</v>
      </c>
      <c r="C382" t="s">
        <v>4938</v>
      </c>
      <c r="D382" t="s">
        <v>4938</v>
      </c>
      <c r="E382" t="s">
        <v>4938</v>
      </c>
      <c r="F382" t="s">
        <v>4938</v>
      </c>
      <c r="G382" t="s">
        <v>4938</v>
      </c>
      <c r="I382" t="s">
        <v>11011</v>
      </c>
      <c r="J382" t="s">
        <v>10927</v>
      </c>
    </row>
    <row r="383" spans="1:10">
      <c r="A383" t="s">
        <v>10920</v>
      </c>
      <c r="B383" t="s">
        <v>10766</v>
      </c>
      <c r="C383" t="s">
        <v>4938</v>
      </c>
      <c r="D383" t="s">
        <v>4938</v>
      </c>
      <c r="E383" t="s">
        <v>4938</v>
      </c>
      <c r="F383" t="s">
        <v>4938</v>
      </c>
      <c r="G383" t="s">
        <v>4938</v>
      </c>
      <c r="I383" t="s">
        <v>10927</v>
      </c>
      <c r="J383" t="s">
        <v>10928</v>
      </c>
    </row>
    <row r="384" spans="1:10">
      <c r="A384" t="s">
        <v>10921</v>
      </c>
      <c r="B384" t="s">
        <v>10767</v>
      </c>
      <c r="C384" t="s">
        <v>4938</v>
      </c>
      <c r="D384" t="s">
        <v>4938</v>
      </c>
      <c r="E384" t="s">
        <v>4938</v>
      </c>
      <c r="F384" t="s">
        <v>4938</v>
      </c>
      <c r="G384" t="s">
        <v>4938</v>
      </c>
      <c r="I384" t="s">
        <v>10927</v>
      </c>
      <c r="J384" t="s">
        <v>10929</v>
      </c>
    </row>
    <row r="385" spans="1:10">
      <c r="A385" t="s">
        <v>10922</v>
      </c>
      <c r="B385" t="s">
        <v>10768</v>
      </c>
      <c r="C385" t="s">
        <v>4938</v>
      </c>
      <c r="D385" t="s">
        <v>4938</v>
      </c>
      <c r="E385" t="s">
        <v>4938</v>
      </c>
      <c r="F385" t="s">
        <v>4938</v>
      </c>
      <c r="G385" t="s">
        <v>4938</v>
      </c>
      <c r="I385" t="s">
        <v>10927</v>
      </c>
      <c r="J385" t="s">
        <v>10930</v>
      </c>
    </row>
    <row r="386" spans="1:10">
      <c r="A386" t="s">
        <v>10923</v>
      </c>
      <c r="B386" t="s">
        <v>10769</v>
      </c>
      <c r="C386" t="s">
        <v>4938</v>
      </c>
      <c r="D386" t="s">
        <v>4938</v>
      </c>
      <c r="E386" t="s">
        <v>4938</v>
      </c>
      <c r="F386" t="s">
        <v>4938</v>
      </c>
      <c r="G386" t="s">
        <v>4938</v>
      </c>
      <c r="I386" t="s">
        <v>11012</v>
      </c>
      <c r="J386" t="s">
        <v>10931</v>
      </c>
    </row>
    <row r="387" spans="1:10">
      <c r="A387" t="s">
        <v>10924</v>
      </c>
      <c r="B387" t="s">
        <v>10770</v>
      </c>
      <c r="C387" t="s">
        <v>4938</v>
      </c>
      <c r="D387" t="s">
        <v>4938</v>
      </c>
      <c r="E387" t="s">
        <v>4938</v>
      </c>
      <c r="F387" t="s">
        <v>4938</v>
      </c>
      <c r="G387" t="s">
        <v>4938</v>
      </c>
      <c r="I387" t="s">
        <v>10931</v>
      </c>
      <c r="J387" t="s">
        <v>10932</v>
      </c>
    </row>
    <row r="388" spans="1:10">
      <c r="A388" t="s">
        <v>10925</v>
      </c>
      <c r="B388" t="s">
        <v>10771</v>
      </c>
      <c r="C388" t="s">
        <v>4938</v>
      </c>
      <c r="D388" t="s">
        <v>4938</v>
      </c>
      <c r="E388" t="s">
        <v>4938</v>
      </c>
      <c r="F388" t="s">
        <v>4938</v>
      </c>
      <c r="G388" t="s">
        <v>4938</v>
      </c>
      <c r="I388" t="s">
        <v>10931</v>
      </c>
      <c r="J388" t="s">
        <v>10933</v>
      </c>
    </row>
    <row r="389" spans="1:10">
      <c r="A389" t="s">
        <v>10926</v>
      </c>
      <c r="B389" t="s">
        <v>10772</v>
      </c>
      <c r="C389" t="s">
        <v>4938</v>
      </c>
      <c r="D389" t="s">
        <v>4938</v>
      </c>
      <c r="E389" t="s">
        <v>4938</v>
      </c>
      <c r="F389" t="s">
        <v>4938</v>
      </c>
      <c r="G389" t="s">
        <v>4938</v>
      </c>
      <c r="I389" t="s">
        <v>11013</v>
      </c>
      <c r="J389" t="s">
        <v>10934</v>
      </c>
    </row>
    <row r="390" spans="1:10">
      <c r="A390" t="s">
        <v>10927</v>
      </c>
      <c r="B390" t="s">
        <v>10773</v>
      </c>
      <c r="C390" t="s">
        <v>4938</v>
      </c>
      <c r="D390" t="s">
        <v>4938</v>
      </c>
      <c r="E390" t="s">
        <v>4938</v>
      </c>
      <c r="F390" t="s">
        <v>4938</v>
      </c>
      <c r="G390" t="s">
        <v>4938</v>
      </c>
      <c r="I390" t="s">
        <v>10934</v>
      </c>
      <c r="J390" t="s">
        <v>10935</v>
      </c>
    </row>
    <row r="391" spans="1:10">
      <c r="A391" t="s">
        <v>10928</v>
      </c>
      <c r="B391" t="s">
        <v>10774</v>
      </c>
      <c r="C391" t="s">
        <v>4938</v>
      </c>
      <c r="D391" t="s">
        <v>4938</v>
      </c>
      <c r="E391" t="s">
        <v>4938</v>
      </c>
      <c r="F391" t="s">
        <v>4938</v>
      </c>
      <c r="G391" t="s">
        <v>4938</v>
      </c>
      <c r="I391" t="s">
        <v>10934</v>
      </c>
      <c r="J391" t="s">
        <v>10936</v>
      </c>
    </row>
    <row r="392" spans="1:10">
      <c r="A392" t="s">
        <v>10929</v>
      </c>
      <c r="B392" t="s">
        <v>10775</v>
      </c>
      <c r="C392" t="s">
        <v>4938</v>
      </c>
      <c r="D392" t="s">
        <v>4938</v>
      </c>
      <c r="E392" t="s">
        <v>4938</v>
      </c>
      <c r="F392" t="s">
        <v>4938</v>
      </c>
      <c r="G392" t="s">
        <v>4938</v>
      </c>
      <c r="I392" t="s">
        <v>10934</v>
      </c>
      <c r="J392" t="s">
        <v>10937</v>
      </c>
    </row>
    <row r="393" spans="1:10">
      <c r="A393" t="s">
        <v>10930</v>
      </c>
      <c r="B393" t="s">
        <v>10776</v>
      </c>
      <c r="C393" t="s">
        <v>4938</v>
      </c>
      <c r="D393" t="s">
        <v>4938</v>
      </c>
      <c r="E393" t="s">
        <v>4938</v>
      </c>
      <c r="F393" t="s">
        <v>4938</v>
      </c>
      <c r="G393" t="s">
        <v>4938</v>
      </c>
      <c r="I393" t="s">
        <v>11014</v>
      </c>
      <c r="J393" t="s">
        <v>10938</v>
      </c>
    </row>
    <row r="394" spans="1:10">
      <c r="A394" t="s">
        <v>10931</v>
      </c>
      <c r="B394" t="s">
        <v>10777</v>
      </c>
      <c r="C394" t="s">
        <v>4938</v>
      </c>
      <c r="D394" t="s">
        <v>4938</v>
      </c>
      <c r="E394" t="s">
        <v>4938</v>
      </c>
      <c r="F394" t="s">
        <v>4938</v>
      </c>
      <c r="G394" t="s">
        <v>4938</v>
      </c>
      <c r="I394" t="s">
        <v>10938</v>
      </c>
      <c r="J394" t="s">
        <v>10939</v>
      </c>
    </row>
    <row r="395" spans="1:10">
      <c r="A395" t="s">
        <v>10932</v>
      </c>
      <c r="B395" t="s">
        <v>10778</v>
      </c>
      <c r="C395" t="s">
        <v>4938</v>
      </c>
      <c r="D395" t="s">
        <v>4938</v>
      </c>
      <c r="E395" t="s">
        <v>4938</v>
      </c>
      <c r="F395" t="s">
        <v>4938</v>
      </c>
      <c r="G395" t="s">
        <v>4938</v>
      </c>
      <c r="I395" t="s">
        <v>10938</v>
      </c>
      <c r="J395" t="s">
        <v>10940</v>
      </c>
    </row>
    <row r="396" spans="1:10">
      <c r="A396" t="s">
        <v>10933</v>
      </c>
      <c r="B396" t="s">
        <v>10779</v>
      </c>
      <c r="C396" t="s">
        <v>4938</v>
      </c>
      <c r="D396" t="s">
        <v>4938</v>
      </c>
      <c r="E396" t="s">
        <v>4938</v>
      </c>
      <c r="F396" t="s">
        <v>4938</v>
      </c>
      <c r="G396" t="s">
        <v>4938</v>
      </c>
      <c r="I396" t="s">
        <v>11015</v>
      </c>
      <c r="J396" t="s">
        <v>10941</v>
      </c>
    </row>
    <row r="397" spans="1:10">
      <c r="A397" t="s">
        <v>10934</v>
      </c>
      <c r="B397" t="s">
        <v>10780</v>
      </c>
      <c r="C397" t="s">
        <v>4938</v>
      </c>
      <c r="D397" t="s">
        <v>4938</v>
      </c>
      <c r="E397" t="s">
        <v>4938</v>
      </c>
      <c r="F397" t="s">
        <v>4938</v>
      </c>
      <c r="G397" t="s">
        <v>4938</v>
      </c>
      <c r="I397" t="s">
        <v>10941</v>
      </c>
      <c r="J397" t="s">
        <v>10942</v>
      </c>
    </row>
    <row r="398" spans="1:10">
      <c r="A398" t="s">
        <v>10935</v>
      </c>
      <c r="B398" t="s">
        <v>10781</v>
      </c>
      <c r="C398" t="s">
        <v>4938</v>
      </c>
      <c r="D398" t="s">
        <v>4938</v>
      </c>
      <c r="E398" t="s">
        <v>4938</v>
      </c>
      <c r="F398" t="s">
        <v>4938</v>
      </c>
      <c r="G398" t="s">
        <v>4938</v>
      </c>
      <c r="I398" t="s">
        <v>10941</v>
      </c>
      <c r="J398" t="s">
        <v>10943</v>
      </c>
    </row>
    <row r="399" spans="1:10">
      <c r="A399" t="s">
        <v>10936</v>
      </c>
      <c r="B399" t="s">
        <v>10782</v>
      </c>
      <c r="C399" t="s">
        <v>4938</v>
      </c>
      <c r="D399" t="s">
        <v>4938</v>
      </c>
      <c r="E399" t="s">
        <v>4938</v>
      </c>
      <c r="F399" t="s">
        <v>4938</v>
      </c>
      <c r="G399" t="s">
        <v>4938</v>
      </c>
      <c r="I399" t="s">
        <v>10941</v>
      </c>
      <c r="J399" t="s">
        <v>10944</v>
      </c>
    </row>
    <row r="400" spans="1:10">
      <c r="A400" t="s">
        <v>10937</v>
      </c>
      <c r="B400" t="s">
        <v>10783</v>
      </c>
      <c r="C400" t="s">
        <v>4938</v>
      </c>
      <c r="D400" t="s">
        <v>4938</v>
      </c>
      <c r="E400" t="s">
        <v>4938</v>
      </c>
      <c r="F400" t="s">
        <v>4938</v>
      </c>
      <c r="G400" t="s">
        <v>4938</v>
      </c>
      <c r="I400" t="s">
        <v>11016</v>
      </c>
      <c r="J400" t="s">
        <v>10945</v>
      </c>
    </row>
    <row r="401" spans="1:10">
      <c r="A401" t="s">
        <v>10938</v>
      </c>
      <c r="B401" t="s">
        <v>10784</v>
      </c>
      <c r="C401" t="s">
        <v>4938</v>
      </c>
      <c r="D401" t="s">
        <v>4938</v>
      </c>
      <c r="E401" t="s">
        <v>4938</v>
      </c>
      <c r="F401" t="s">
        <v>4938</v>
      </c>
      <c r="G401" t="s">
        <v>4938</v>
      </c>
      <c r="I401" t="s">
        <v>10945</v>
      </c>
      <c r="J401" t="s">
        <v>10946</v>
      </c>
    </row>
    <row r="402" spans="1:10">
      <c r="A402" t="s">
        <v>10939</v>
      </c>
      <c r="B402" t="s">
        <v>10785</v>
      </c>
      <c r="C402" t="s">
        <v>4938</v>
      </c>
      <c r="D402" t="s">
        <v>4938</v>
      </c>
      <c r="E402" t="s">
        <v>4938</v>
      </c>
      <c r="F402" t="s">
        <v>4938</v>
      </c>
      <c r="G402" t="s">
        <v>4938</v>
      </c>
      <c r="I402" t="s">
        <v>10945</v>
      </c>
      <c r="J402" t="s">
        <v>10947</v>
      </c>
    </row>
    <row r="403" spans="1:10">
      <c r="A403" t="s">
        <v>10940</v>
      </c>
      <c r="B403" t="s">
        <v>10786</v>
      </c>
      <c r="C403" t="s">
        <v>4938</v>
      </c>
      <c r="D403" t="s">
        <v>4938</v>
      </c>
      <c r="E403" t="s">
        <v>4938</v>
      </c>
      <c r="F403" t="s">
        <v>4938</v>
      </c>
      <c r="G403" t="s">
        <v>4938</v>
      </c>
      <c r="I403" t="s">
        <v>11017</v>
      </c>
      <c r="J403" t="s">
        <v>10948</v>
      </c>
    </row>
    <row r="404" spans="1:10">
      <c r="A404" t="s">
        <v>10941</v>
      </c>
      <c r="B404" t="s">
        <v>10787</v>
      </c>
      <c r="C404" t="s">
        <v>4938</v>
      </c>
      <c r="D404" t="s">
        <v>4938</v>
      </c>
      <c r="E404" t="s">
        <v>4938</v>
      </c>
      <c r="F404" t="s">
        <v>4938</v>
      </c>
      <c r="G404" t="s">
        <v>4938</v>
      </c>
      <c r="I404" t="s">
        <v>10948</v>
      </c>
      <c r="J404" t="s">
        <v>10949</v>
      </c>
    </row>
    <row r="405" spans="1:10">
      <c r="A405" t="s">
        <v>10942</v>
      </c>
      <c r="B405" t="s">
        <v>10788</v>
      </c>
      <c r="C405" t="s">
        <v>4938</v>
      </c>
      <c r="D405" t="s">
        <v>4938</v>
      </c>
      <c r="E405" t="s">
        <v>4938</v>
      </c>
      <c r="F405" t="s">
        <v>4938</v>
      </c>
      <c r="G405" t="s">
        <v>4938</v>
      </c>
      <c r="I405" t="s">
        <v>10948</v>
      </c>
      <c r="J405" t="s">
        <v>10950</v>
      </c>
    </row>
    <row r="406" spans="1:10">
      <c r="A406" t="s">
        <v>10943</v>
      </c>
      <c r="B406" t="s">
        <v>10789</v>
      </c>
      <c r="C406" t="s">
        <v>4938</v>
      </c>
      <c r="D406" t="s">
        <v>4938</v>
      </c>
      <c r="E406" t="s">
        <v>4938</v>
      </c>
      <c r="F406" t="s">
        <v>4938</v>
      </c>
      <c r="G406" t="s">
        <v>4938</v>
      </c>
      <c r="I406" t="s">
        <v>10948</v>
      </c>
      <c r="J406" t="s">
        <v>10951</v>
      </c>
    </row>
    <row r="407" spans="1:10">
      <c r="A407" t="s">
        <v>10944</v>
      </c>
      <c r="B407" t="s">
        <v>10790</v>
      </c>
      <c r="C407" t="s">
        <v>4938</v>
      </c>
      <c r="D407" t="s">
        <v>4938</v>
      </c>
      <c r="E407" t="s">
        <v>4938</v>
      </c>
      <c r="F407" t="s">
        <v>4938</v>
      </c>
      <c r="G407" t="s">
        <v>4938</v>
      </c>
      <c r="I407" t="s">
        <v>11018</v>
      </c>
      <c r="J407" t="s">
        <v>10952</v>
      </c>
    </row>
    <row r="408" spans="1:10">
      <c r="A408" t="s">
        <v>10945</v>
      </c>
      <c r="B408" t="s">
        <v>10791</v>
      </c>
      <c r="C408" t="s">
        <v>4938</v>
      </c>
      <c r="D408" t="s">
        <v>4938</v>
      </c>
      <c r="E408" t="s">
        <v>4938</v>
      </c>
      <c r="F408" t="s">
        <v>4938</v>
      </c>
      <c r="G408" t="s">
        <v>4938</v>
      </c>
      <c r="I408" t="s">
        <v>10952</v>
      </c>
      <c r="J408" t="s">
        <v>10953</v>
      </c>
    </row>
    <row r="409" spans="1:10">
      <c r="A409" t="s">
        <v>10946</v>
      </c>
      <c r="B409" t="s">
        <v>10792</v>
      </c>
      <c r="C409" t="s">
        <v>4938</v>
      </c>
      <c r="D409" t="s">
        <v>4938</v>
      </c>
      <c r="E409" t="s">
        <v>4938</v>
      </c>
      <c r="F409" t="s">
        <v>4938</v>
      </c>
      <c r="G409" t="s">
        <v>4938</v>
      </c>
      <c r="I409" t="s">
        <v>10952</v>
      </c>
      <c r="J409" t="s">
        <v>10954</v>
      </c>
    </row>
    <row r="410" spans="1:10">
      <c r="A410" t="s">
        <v>10947</v>
      </c>
      <c r="B410" t="s">
        <v>10793</v>
      </c>
      <c r="C410" t="s">
        <v>4938</v>
      </c>
      <c r="D410" t="s">
        <v>4938</v>
      </c>
      <c r="E410" t="s">
        <v>4938</v>
      </c>
      <c r="F410" t="s">
        <v>4938</v>
      </c>
      <c r="G410" t="s">
        <v>4938</v>
      </c>
      <c r="I410" t="s">
        <v>11019</v>
      </c>
      <c r="J410" t="s">
        <v>10955</v>
      </c>
    </row>
    <row r="411" spans="1:10">
      <c r="A411" t="s">
        <v>10948</v>
      </c>
      <c r="B411" t="s">
        <v>10794</v>
      </c>
      <c r="C411" t="s">
        <v>4938</v>
      </c>
      <c r="D411" t="s">
        <v>4938</v>
      </c>
      <c r="E411" t="s">
        <v>4938</v>
      </c>
      <c r="F411" t="s">
        <v>4938</v>
      </c>
      <c r="G411" t="s">
        <v>4938</v>
      </c>
      <c r="I411" t="s">
        <v>10955</v>
      </c>
      <c r="J411" t="s">
        <v>10956</v>
      </c>
    </row>
    <row r="412" spans="1:10">
      <c r="A412" t="s">
        <v>10949</v>
      </c>
      <c r="B412" t="s">
        <v>10795</v>
      </c>
      <c r="C412" t="s">
        <v>4938</v>
      </c>
      <c r="D412" t="s">
        <v>4938</v>
      </c>
      <c r="E412" t="s">
        <v>4938</v>
      </c>
      <c r="F412" t="s">
        <v>4938</v>
      </c>
      <c r="G412" t="s">
        <v>4938</v>
      </c>
      <c r="I412" t="s">
        <v>10955</v>
      </c>
      <c r="J412" t="s">
        <v>10957</v>
      </c>
    </row>
    <row r="413" spans="1:10">
      <c r="A413" t="s">
        <v>10950</v>
      </c>
      <c r="B413" t="s">
        <v>10796</v>
      </c>
      <c r="C413" t="s">
        <v>4938</v>
      </c>
      <c r="D413" t="s">
        <v>4938</v>
      </c>
      <c r="E413" t="s">
        <v>4938</v>
      </c>
      <c r="F413" t="s">
        <v>4938</v>
      </c>
      <c r="G413" t="s">
        <v>4938</v>
      </c>
      <c r="I413" t="s">
        <v>10955</v>
      </c>
      <c r="J413" t="s">
        <v>10958</v>
      </c>
    </row>
    <row r="414" spans="1:10">
      <c r="A414" t="s">
        <v>10951</v>
      </c>
      <c r="B414" t="s">
        <v>10797</v>
      </c>
      <c r="C414" t="s">
        <v>4938</v>
      </c>
      <c r="D414" t="s">
        <v>4938</v>
      </c>
      <c r="E414" t="s">
        <v>4938</v>
      </c>
      <c r="F414" t="s">
        <v>4938</v>
      </c>
      <c r="G414" t="s">
        <v>4938</v>
      </c>
      <c r="I414" t="s">
        <v>11020</v>
      </c>
      <c r="J414" t="s">
        <v>10959</v>
      </c>
    </row>
    <row r="415" spans="1:10">
      <c r="A415" t="s">
        <v>10952</v>
      </c>
      <c r="B415" t="s">
        <v>10798</v>
      </c>
      <c r="C415" t="s">
        <v>4938</v>
      </c>
      <c r="D415" t="s">
        <v>4938</v>
      </c>
      <c r="E415" t="s">
        <v>4938</v>
      </c>
      <c r="F415" t="s">
        <v>4938</v>
      </c>
      <c r="G415" t="s">
        <v>4938</v>
      </c>
      <c r="I415" t="s">
        <v>10959</v>
      </c>
      <c r="J415" t="s">
        <v>10960</v>
      </c>
    </row>
    <row r="416" spans="1:10">
      <c r="A416" t="s">
        <v>10953</v>
      </c>
      <c r="B416" t="s">
        <v>10799</v>
      </c>
      <c r="C416" t="s">
        <v>4938</v>
      </c>
      <c r="D416" t="s">
        <v>4938</v>
      </c>
      <c r="E416" t="s">
        <v>4938</v>
      </c>
      <c r="F416" t="s">
        <v>4938</v>
      </c>
      <c r="G416" t="s">
        <v>4938</v>
      </c>
      <c r="I416" t="s">
        <v>10959</v>
      </c>
      <c r="J416" t="s">
        <v>10961</v>
      </c>
    </row>
    <row r="417" spans="1:10">
      <c r="A417" t="s">
        <v>10954</v>
      </c>
      <c r="B417" t="s">
        <v>10800</v>
      </c>
      <c r="C417" t="s">
        <v>4938</v>
      </c>
      <c r="D417" t="s">
        <v>4938</v>
      </c>
      <c r="E417" t="s">
        <v>4938</v>
      </c>
      <c r="F417" t="s">
        <v>4938</v>
      </c>
      <c r="G417" t="s">
        <v>4938</v>
      </c>
      <c r="I417" t="s">
        <v>11021</v>
      </c>
      <c r="J417" t="s">
        <v>10962</v>
      </c>
    </row>
    <row r="418" spans="1:10">
      <c r="A418" t="s">
        <v>10955</v>
      </c>
      <c r="B418" t="s">
        <v>10801</v>
      </c>
      <c r="C418" t="s">
        <v>4938</v>
      </c>
      <c r="D418" t="s">
        <v>4938</v>
      </c>
      <c r="E418" t="s">
        <v>4938</v>
      </c>
      <c r="F418" t="s">
        <v>4938</v>
      </c>
      <c r="G418" t="s">
        <v>4938</v>
      </c>
      <c r="I418" t="s">
        <v>10962</v>
      </c>
      <c r="J418" t="s">
        <v>10963</v>
      </c>
    </row>
    <row r="419" spans="1:10">
      <c r="A419" t="s">
        <v>10956</v>
      </c>
      <c r="B419" t="s">
        <v>10802</v>
      </c>
      <c r="C419" t="s">
        <v>4938</v>
      </c>
      <c r="D419" t="s">
        <v>4938</v>
      </c>
      <c r="E419" t="s">
        <v>4938</v>
      </c>
      <c r="F419" t="s">
        <v>4938</v>
      </c>
      <c r="G419" t="s">
        <v>4938</v>
      </c>
      <c r="I419" t="s">
        <v>10962</v>
      </c>
      <c r="J419" t="s">
        <v>10964</v>
      </c>
    </row>
    <row r="420" spans="1:10">
      <c r="A420" t="s">
        <v>10957</v>
      </c>
      <c r="B420" t="s">
        <v>10803</v>
      </c>
      <c r="C420" t="s">
        <v>4938</v>
      </c>
      <c r="D420" t="s">
        <v>4938</v>
      </c>
      <c r="E420" t="s">
        <v>4938</v>
      </c>
      <c r="F420" t="s">
        <v>4938</v>
      </c>
      <c r="G420" t="s">
        <v>4938</v>
      </c>
      <c r="I420" t="s">
        <v>10962</v>
      </c>
      <c r="J420" t="s">
        <v>10965</v>
      </c>
    </row>
    <row r="421" spans="1:10">
      <c r="A421" t="s">
        <v>10958</v>
      </c>
      <c r="B421" t="s">
        <v>10804</v>
      </c>
      <c r="C421" t="s">
        <v>4938</v>
      </c>
      <c r="D421" t="s">
        <v>4938</v>
      </c>
      <c r="E421" t="s">
        <v>4938</v>
      </c>
      <c r="F421" t="s">
        <v>4938</v>
      </c>
      <c r="G421" t="s">
        <v>4938</v>
      </c>
      <c r="I421" t="s">
        <v>11022</v>
      </c>
      <c r="J421" t="s">
        <v>10966</v>
      </c>
    </row>
    <row r="422" spans="1:10">
      <c r="A422" t="s">
        <v>10959</v>
      </c>
      <c r="B422" t="s">
        <v>10805</v>
      </c>
      <c r="C422" t="s">
        <v>4938</v>
      </c>
      <c r="D422" t="s">
        <v>4938</v>
      </c>
      <c r="E422" t="s">
        <v>4938</v>
      </c>
      <c r="F422" t="s">
        <v>4938</v>
      </c>
      <c r="G422" t="s">
        <v>4938</v>
      </c>
      <c r="I422" t="s">
        <v>10966</v>
      </c>
      <c r="J422" t="s">
        <v>10967</v>
      </c>
    </row>
    <row r="423" spans="1:10">
      <c r="A423" t="s">
        <v>10960</v>
      </c>
      <c r="B423" t="s">
        <v>10806</v>
      </c>
      <c r="C423" t="s">
        <v>4938</v>
      </c>
      <c r="D423" t="s">
        <v>4938</v>
      </c>
      <c r="E423" t="s">
        <v>4938</v>
      </c>
      <c r="F423" t="s">
        <v>4938</v>
      </c>
      <c r="G423" t="s">
        <v>4938</v>
      </c>
      <c r="I423" t="s">
        <v>10966</v>
      </c>
      <c r="J423" t="s">
        <v>10968</v>
      </c>
    </row>
    <row r="424" spans="1:10">
      <c r="A424" t="s">
        <v>10961</v>
      </c>
      <c r="B424" t="s">
        <v>10807</v>
      </c>
      <c r="C424" t="s">
        <v>4938</v>
      </c>
      <c r="D424" t="s">
        <v>4938</v>
      </c>
      <c r="E424" t="s">
        <v>4938</v>
      </c>
      <c r="F424" t="s">
        <v>4938</v>
      </c>
      <c r="G424" t="s">
        <v>4938</v>
      </c>
      <c r="I424" t="s">
        <v>11023</v>
      </c>
      <c r="J424" t="s">
        <v>10969</v>
      </c>
    </row>
    <row r="425" spans="1:10">
      <c r="A425" t="s">
        <v>10962</v>
      </c>
      <c r="B425" t="s">
        <v>10808</v>
      </c>
      <c r="C425" t="s">
        <v>4938</v>
      </c>
      <c r="D425" t="s">
        <v>4938</v>
      </c>
      <c r="E425" t="s">
        <v>4938</v>
      </c>
      <c r="F425" t="s">
        <v>4938</v>
      </c>
      <c r="G425" t="s">
        <v>4938</v>
      </c>
      <c r="I425" t="s">
        <v>10969</v>
      </c>
      <c r="J425" t="s">
        <v>10970</v>
      </c>
    </row>
    <row r="426" spans="1:10">
      <c r="A426" t="s">
        <v>10963</v>
      </c>
      <c r="B426" t="s">
        <v>10809</v>
      </c>
      <c r="C426" t="s">
        <v>4938</v>
      </c>
      <c r="D426" t="s">
        <v>4938</v>
      </c>
      <c r="E426" t="s">
        <v>4938</v>
      </c>
      <c r="F426" t="s">
        <v>4938</v>
      </c>
      <c r="G426" t="s">
        <v>4938</v>
      </c>
      <c r="I426" t="s">
        <v>10969</v>
      </c>
      <c r="J426" t="s">
        <v>10971</v>
      </c>
    </row>
    <row r="427" spans="1:10">
      <c r="A427" t="s">
        <v>10964</v>
      </c>
      <c r="B427" t="s">
        <v>10810</v>
      </c>
      <c r="C427" t="s">
        <v>4938</v>
      </c>
      <c r="D427" t="s">
        <v>4938</v>
      </c>
      <c r="E427" t="s">
        <v>4938</v>
      </c>
      <c r="F427" t="s">
        <v>4938</v>
      </c>
      <c r="G427" t="s">
        <v>4938</v>
      </c>
      <c r="I427" t="s">
        <v>10969</v>
      </c>
      <c r="J427" t="s">
        <v>10972</v>
      </c>
    </row>
    <row r="428" spans="1:10">
      <c r="A428" t="s">
        <v>10965</v>
      </c>
      <c r="B428" t="s">
        <v>10811</v>
      </c>
      <c r="C428" t="s">
        <v>4938</v>
      </c>
      <c r="D428" t="s">
        <v>4938</v>
      </c>
      <c r="E428" t="s">
        <v>4938</v>
      </c>
      <c r="F428" t="s">
        <v>4938</v>
      </c>
      <c r="G428" t="s">
        <v>4938</v>
      </c>
      <c r="I428" t="s">
        <v>11024</v>
      </c>
      <c r="J428" t="s">
        <v>10973</v>
      </c>
    </row>
    <row r="429" spans="1:10">
      <c r="A429" t="s">
        <v>10966</v>
      </c>
      <c r="B429" t="s">
        <v>10812</v>
      </c>
      <c r="C429" t="s">
        <v>4938</v>
      </c>
      <c r="D429" t="s">
        <v>4938</v>
      </c>
      <c r="E429" t="s">
        <v>4938</v>
      </c>
      <c r="F429" t="s">
        <v>4938</v>
      </c>
      <c r="G429" t="s">
        <v>4938</v>
      </c>
      <c r="I429" t="s">
        <v>10973</v>
      </c>
      <c r="J429" t="s">
        <v>10974</v>
      </c>
    </row>
    <row r="430" spans="1:10">
      <c r="A430" t="s">
        <v>10967</v>
      </c>
      <c r="B430" t="s">
        <v>10813</v>
      </c>
      <c r="C430" t="s">
        <v>4938</v>
      </c>
      <c r="D430" t="s">
        <v>4938</v>
      </c>
      <c r="E430" t="s">
        <v>4938</v>
      </c>
      <c r="F430" t="s">
        <v>4938</v>
      </c>
      <c r="G430" t="s">
        <v>4938</v>
      </c>
      <c r="I430" t="s">
        <v>10973</v>
      </c>
      <c r="J430" t="s">
        <v>10975</v>
      </c>
    </row>
    <row r="431" spans="1:10">
      <c r="A431" t="s">
        <v>10968</v>
      </c>
      <c r="B431" t="s">
        <v>10814</v>
      </c>
      <c r="C431" t="s">
        <v>4938</v>
      </c>
      <c r="D431" t="s">
        <v>4938</v>
      </c>
      <c r="E431" t="s">
        <v>4938</v>
      </c>
      <c r="F431" t="s">
        <v>4938</v>
      </c>
      <c r="G431" t="s">
        <v>4938</v>
      </c>
      <c r="I431" t="s">
        <v>11025</v>
      </c>
      <c r="J431" t="s">
        <v>10976</v>
      </c>
    </row>
    <row r="432" spans="1:10">
      <c r="A432" t="s">
        <v>10969</v>
      </c>
      <c r="B432" t="s">
        <v>10815</v>
      </c>
      <c r="C432" t="s">
        <v>4938</v>
      </c>
      <c r="D432" t="s">
        <v>4938</v>
      </c>
      <c r="E432" t="s">
        <v>4938</v>
      </c>
      <c r="F432" t="s">
        <v>4938</v>
      </c>
      <c r="G432" t="s">
        <v>4938</v>
      </c>
      <c r="I432" t="s">
        <v>10976</v>
      </c>
      <c r="J432" t="s">
        <v>10977</v>
      </c>
    </row>
    <row r="433" spans="1:10">
      <c r="A433" t="s">
        <v>10970</v>
      </c>
      <c r="B433" t="s">
        <v>10816</v>
      </c>
      <c r="C433" t="s">
        <v>4938</v>
      </c>
      <c r="D433" t="s">
        <v>4938</v>
      </c>
      <c r="E433" t="s">
        <v>4938</v>
      </c>
      <c r="F433" t="s">
        <v>4938</v>
      </c>
      <c r="G433" t="s">
        <v>4938</v>
      </c>
      <c r="I433" t="s">
        <v>10976</v>
      </c>
      <c r="J433" t="s">
        <v>10978</v>
      </c>
    </row>
    <row r="434" spans="1:10">
      <c r="A434" t="s">
        <v>10971</v>
      </c>
      <c r="B434" t="s">
        <v>10817</v>
      </c>
      <c r="C434" t="s">
        <v>4938</v>
      </c>
      <c r="D434" t="s">
        <v>4938</v>
      </c>
      <c r="E434" t="s">
        <v>4938</v>
      </c>
      <c r="F434" t="s">
        <v>4938</v>
      </c>
      <c r="G434" t="s">
        <v>4938</v>
      </c>
      <c r="I434" t="s">
        <v>10976</v>
      </c>
      <c r="J434" t="s">
        <v>10979</v>
      </c>
    </row>
    <row r="435" spans="1:10">
      <c r="A435" t="s">
        <v>10972</v>
      </c>
      <c r="B435" t="s">
        <v>10818</v>
      </c>
      <c r="C435" t="s">
        <v>4938</v>
      </c>
      <c r="D435" t="s">
        <v>4938</v>
      </c>
      <c r="E435" t="s">
        <v>4938</v>
      </c>
      <c r="F435" t="s">
        <v>4938</v>
      </c>
      <c r="G435" t="s">
        <v>4938</v>
      </c>
      <c r="I435" t="s">
        <v>11026</v>
      </c>
      <c r="J435" t="s">
        <v>10980</v>
      </c>
    </row>
    <row r="436" spans="1:10">
      <c r="A436" t="s">
        <v>10973</v>
      </c>
      <c r="B436" t="s">
        <v>10819</v>
      </c>
      <c r="C436" t="s">
        <v>4938</v>
      </c>
      <c r="D436" t="s">
        <v>4938</v>
      </c>
      <c r="E436" t="s">
        <v>4938</v>
      </c>
      <c r="F436" t="s">
        <v>4938</v>
      </c>
      <c r="G436" t="s">
        <v>4938</v>
      </c>
      <c r="I436" t="s">
        <v>10980</v>
      </c>
      <c r="J436" t="s">
        <v>10981</v>
      </c>
    </row>
    <row r="437" spans="1:10">
      <c r="A437" t="s">
        <v>10974</v>
      </c>
      <c r="B437" t="s">
        <v>10820</v>
      </c>
      <c r="C437" t="s">
        <v>4938</v>
      </c>
      <c r="D437" t="s">
        <v>4938</v>
      </c>
      <c r="E437" t="s">
        <v>4938</v>
      </c>
      <c r="F437" t="s">
        <v>4938</v>
      </c>
      <c r="G437" t="s">
        <v>4938</v>
      </c>
      <c r="I437" t="s">
        <v>10980</v>
      </c>
      <c r="J437" t="s">
        <v>10982</v>
      </c>
    </row>
    <row r="438" spans="1:10">
      <c r="A438" t="s">
        <v>10975</v>
      </c>
      <c r="B438" t="s">
        <v>10821</v>
      </c>
      <c r="C438" t="s">
        <v>4938</v>
      </c>
      <c r="D438" t="s">
        <v>4938</v>
      </c>
      <c r="E438" t="s">
        <v>4938</v>
      </c>
      <c r="F438" t="s">
        <v>4938</v>
      </c>
      <c r="G438" t="s">
        <v>4938</v>
      </c>
      <c r="I438" t="s">
        <v>11030</v>
      </c>
      <c r="J438" t="s">
        <v>11047</v>
      </c>
    </row>
    <row r="439" spans="1:10">
      <c r="A439" t="s">
        <v>10976</v>
      </c>
      <c r="B439" t="s">
        <v>10822</v>
      </c>
      <c r="C439" t="s">
        <v>4938</v>
      </c>
      <c r="D439" t="s">
        <v>4938</v>
      </c>
      <c r="E439" t="s">
        <v>4938</v>
      </c>
      <c r="F439" t="s">
        <v>4938</v>
      </c>
      <c r="G439" t="s">
        <v>4938</v>
      </c>
      <c r="I439" t="s">
        <v>11047</v>
      </c>
      <c r="J439" t="s">
        <v>11048</v>
      </c>
    </row>
    <row r="440" spans="1:10">
      <c r="A440" t="s">
        <v>10977</v>
      </c>
      <c r="B440" t="s">
        <v>10823</v>
      </c>
      <c r="C440" t="s">
        <v>4938</v>
      </c>
      <c r="D440" t="s">
        <v>4938</v>
      </c>
      <c r="E440" t="s">
        <v>4938</v>
      </c>
      <c r="F440" t="s">
        <v>4938</v>
      </c>
      <c r="G440" t="s">
        <v>4938</v>
      </c>
      <c r="I440" t="s">
        <v>11047</v>
      </c>
      <c r="J440" t="s">
        <v>11049</v>
      </c>
    </row>
    <row r="441" spans="1:10">
      <c r="A441" t="s">
        <v>10978</v>
      </c>
      <c r="B441" t="s">
        <v>10824</v>
      </c>
      <c r="C441" t="s">
        <v>4938</v>
      </c>
      <c r="D441" t="s">
        <v>4938</v>
      </c>
      <c r="E441" t="s">
        <v>4938</v>
      </c>
      <c r="F441" t="s">
        <v>4938</v>
      </c>
      <c r="G441" t="s">
        <v>4938</v>
      </c>
      <c r="I441" t="s">
        <v>11047</v>
      </c>
      <c r="J441" t="s">
        <v>11050</v>
      </c>
    </row>
    <row r="442" spans="1:10">
      <c r="A442" t="s">
        <v>10979</v>
      </c>
      <c r="B442" t="s">
        <v>10825</v>
      </c>
      <c r="C442" t="s">
        <v>4938</v>
      </c>
      <c r="D442" t="s">
        <v>4938</v>
      </c>
      <c r="E442" t="s">
        <v>4938</v>
      </c>
      <c r="F442" t="s">
        <v>4938</v>
      </c>
      <c r="G442" t="s">
        <v>4938</v>
      </c>
      <c r="I442" t="s">
        <v>11047</v>
      </c>
      <c r="J442" t="s">
        <v>11051</v>
      </c>
    </row>
    <row r="443" spans="1:10">
      <c r="A443" t="s">
        <v>10980</v>
      </c>
      <c r="B443" t="s">
        <v>10826</v>
      </c>
      <c r="C443" t="s">
        <v>4938</v>
      </c>
      <c r="D443" t="s">
        <v>4938</v>
      </c>
      <c r="E443" t="s">
        <v>4938</v>
      </c>
      <c r="F443" t="s">
        <v>4938</v>
      </c>
      <c r="G443" t="s">
        <v>4938</v>
      </c>
      <c r="I443" t="s">
        <v>11047</v>
      </c>
      <c r="J443" t="s">
        <v>11052</v>
      </c>
    </row>
    <row r="444" spans="1:10">
      <c r="A444" t="s">
        <v>10981</v>
      </c>
      <c r="B444" t="s">
        <v>10827</v>
      </c>
      <c r="C444" t="s">
        <v>4938</v>
      </c>
      <c r="D444" t="s">
        <v>4938</v>
      </c>
      <c r="E444" t="s">
        <v>4938</v>
      </c>
      <c r="F444" t="s">
        <v>4938</v>
      </c>
      <c r="G444" t="s">
        <v>4938</v>
      </c>
      <c r="I444" t="s">
        <v>11040</v>
      </c>
      <c r="J444" t="s">
        <v>11053</v>
      </c>
    </row>
    <row r="445" spans="1:10">
      <c r="A445" t="s">
        <v>10982</v>
      </c>
      <c r="B445" t="s">
        <v>10828</v>
      </c>
      <c r="C445" t="s">
        <v>4938</v>
      </c>
      <c r="D445" t="s">
        <v>4938</v>
      </c>
      <c r="E445" t="s">
        <v>4938</v>
      </c>
      <c r="F445" t="s">
        <v>4938</v>
      </c>
      <c r="G445" t="s">
        <v>4938</v>
      </c>
      <c r="I445" t="s">
        <v>11053</v>
      </c>
      <c r="J445" t="s">
        <v>11054</v>
      </c>
    </row>
    <row r="446" spans="1:10">
      <c r="A446" t="s">
        <v>11047</v>
      </c>
      <c r="B446" t="s">
        <v>11029</v>
      </c>
      <c r="C446" t="s">
        <v>4938</v>
      </c>
      <c r="D446" t="s">
        <v>4938</v>
      </c>
      <c r="E446" t="s">
        <v>4938</v>
      </c>
      <c r="F446" t="s">
        <v>4938</v>
      </c>
      <c r="G446" t="s">
        <v>4938</v>
      </c>
      <c r="I446" t="s">
        <v>11053</v>
      </c>
      <c r="J446" t="s">
        <v>11055</v>
      </c>
    </row>
    <row r="447" spans="1:10">
      <c r="A447" t="s">
        <v>11048</v>
      </c>
      <c r="B447" t="s">
        <v>11031</v>
      </c>
      <c r="C447" t="s">
        <v>4938</v>
      </c>
      <c r="D447" t="s">
        <v>4938</v>
      </c>
      <c r="E447" t="s">
        <v>4938</v>
      </c>
      <c r="F447" t="s">
        <v>4938</v>
      </c>
      <c r="G447" t="s">
        <v>4938</v>
      </c>
      <c r="I447" t="s">
        <v>11053</v>
      </c>
      <c r="J447" t="s">
        <v>11056</v>
      </c>
    </row>
    <row r="448" spans="1:10">
      <c r="A448" t="s">
        <v>11049</v>
      </c>
      <c r="B448" t="s">
        <v>11032</v>
      </c>
      <c r="C448" t="s">
        <v>4938</v>
      </c>
      <c r="D448" t="s">
        <v>4938</v>
      </c>
      <c r="E448" t="s">
        <v>4938</v>
      </c>
      <c r="F448" t="s">
        <v>4938</v>
      </c>
      <c r="G448" t="s">
        <v>4938</v>
      </c>
      <c r="I448" t="s">
        <v>3707</v>
      </c>
      <c r="J448" t="s">
        <v>11190</v>
      </c>
    </row>
    <row r="449" spans="1:10">
      <c r="A449" t="s">
        <v>11050</v>
      </c>
      <c r="B449" t="s">
        <v>11033</v>
      </c>
      <c r="C449" t="s">
        <v>4938</v>
      </c>
      <c r="D449" t="s">
        <v>4938</v>
      </c>
      <c r="E449" t="s">
        <v>4938</v>
      </c>
      <c r="F449" t="s">
        <v>4938</v>
      </c>
      <c r="G449" t="s">
        <v>4938</v>
      </c>
      <c r="I449" t="s">
        <v>11190</v>
      </c>
      <c r="J449" t="s">
        <v>11191</v>
      </c>
    </row>
    <row r="450" spans="1:10">
      <c r="A450" t="s">
        <v>11051</v>
      </c>
      <c r="B450" t="s">
        <v>11035</v>
      </c>
      <c r="C450" t="s">
        <v>4938</v>
      </c>
      <c r="D450" t="s">
        <v>4938</v>
      </c>
      <c r="E450" t="s">
        <v>4938</v>
      </c>
      <c r="F450" t="s">
        <v>4938</v>
      </c>
      <c r="G450" t="s">
        <v>4938</v>
      </c>
      <c r="I450" t="s">
        <v>11190</v>
      </c>
      <c r="J450" t="s">
        <v>11192</v>
      </c>
    </row>
    <row r="451" spans="1:10">
      <c r="A451" t="s">
        <v>11052</v>
      </c>
      <c r="B451" t="s">
        <v>11037</v>
      </c>
      <c r="C451" t="s">
        <v>4938</v>
      </c>
      <c r="D451" t="s">
        <v>4938</v>
      </c>
      <c r="E451" t="s">
        <v>4938</v>
      </c>
      <c r="F451" t="s">
        <v>4938</v>
      </c>
      <c r="G451" t="s">
        <v>4938</v>
      </c>
      <c r="I451" t="s">
        <v>11190</v>
      </c>
      <c r="J451" t="s">
        <v>11193</v>
      </c>
    </row>
    <row r="452" spans="1:10">
      <c r="A452" t="s">
        <v>11053</v>
      </c>
      <c r="B452" t="s">
        <v>11039</v>
      </c>
      <c r="C452" t="s">
        <v>4938</v>
      </c>
      <c r="D452" t="s">
        <v>4938</v>
      </c>
      <c r="E452" t="s">
        <v>4938</v>
      </c>
      <c r="F452" t="s">
        <v>4938</v>
      </c>
      <c r="G452" t="s">
        <v>4938</v>
      </c>
      <c r="I452" t="s">
        <v>11190</v>
      </c>
      <c r="J452" t="s">
        <v>11194</v>
      </c>
    </row>
    <row r="453" spans="1:10">
      <c r="A453" t="s">
        <v>11054</v>
      </c>
      <c r="B453" t="s">
        <v>11042</v>
      </c>
      <c r="C453" t="s">
        <v>4938</v>
      </c>
      <c r="D453" t="s">
        <v>4938</v>
      </c>
      <c r="E453" t="s">
        <v>4938</v>
      </c>
      <c r="F453" t="s">
        <v>4938</v>
      </c>
      <c r="G453" t="s">
        <v>4938</v>
      </c>
      <c r="I453" t="s">
        <v>11190</v>
      </c>
      <c r="J453" t="s">
        <v>11195</v>
      </c>
    </row>
    <row r="454" spans="1:10">
      <c r="A454" t="s">
        <v>11055</v>
      </c>
      <c r="B454" t="s">
        <v>11044</v>
      </c>
      <c r="C454" t="s">
        <v>4938</v>
      </c>
      <c r="D454" t="s">
        <v>4938</v>
      </c>
      <c r="E454" t="s">
        <v>4938</v>
      </c>
      <c r="F454" t="s">
        <v>4938</v>
      </c>
      <c r="G454" t="s">
        <v>4938</v>
      </c>
      <c r="I454" t="s">
        <v>11190</v>
      </c>
      <c r="J454" t="s">
        <v>11196</v>
      </c>
    </row>
    <row r="455" spans="1:10">
      <c r="A455" t="s">
        <v>11056</v>
      </c>
      <c r="B455" t="s">
        <v>11046</v>
      </c>
      <c r="C455" t="s">
        <v>4938</v>
      </c>
      <c r="D455" t="s">
        <v>4938</v>
      </c>
      <c r="E455" t="s">
        <v>4938</v>
      </c>
      <c r="F455" t="s">
        <v>4938</v>
      </c>
      <c r="G455" t="s">
        <v>4938</v>
      </c>
      <c r="I455" t="s">
        <v>11190</v>
      </c>
      <c r="J455" t="s">
        <v>11197</v>
      </c>
    </row>
    <row r="456" spans="1:10">
      <c r="A456" t="s">
        <v>11190</v>
      </c>
      <c r="B456" t="s">
        <v>11057</v>
      </c>
      <c r="C456" t="s">
        <v>4938</v>
      </c>
      <c r="D456" t="s">
        <v>4938</v>
      </c>
      <c r="E456" t="s">
        <v>4938</v>
      </c>
      <c r="F456" t="s">
        <v>4938</v>
      </c>
      <c r="G456" t="s">
        <v>4938</v>
      </c>
      <c r="I456" t="s">
        <v>11190</v>
      </c>
      <c r="J456" t="s">
        <v>11198</v>
      </c>
    </row>
    <row r="457" spans="1:10">
      <c r="A457" t="s">
        <v>11191</v>
      </c>
      <c r="B457" t="s">
        <v>11058</v>
      </c>
      <c r="C457" t="s">
        <v>4938</v>
      </c>
      <c r="D457" t="s">
        <v>4938</v>
      </c>
      <c r="E457" t="s">
        <v>4938</v>
      </c>
      <c r="F457" t="s">
        <v>4938</v>
      </c>
      <c r="G457" t="s">
        <v>4938</v>
      </c>
      <c r="I457" t="s">
        <v>3707</v>
      </c>
      <c r="J457" t="s">
        <v>11199</v>
      </c>
    </row>
    <row r="458" spans="1:10">
      <c r="A458" t="s">
        <v>11192</v>
      </c>
      <c r="B458" t="s">
        <v>11059</v>
      </c>
      <c r="C458" t="s">
        <v>4938</v>
      </c>
      <c r="D458" t="s">
        <v>4938</v>
      </c>
      <c r="E458" t="s">
        <v>4938</v>
      </c>
      <c r="F458" t="s">
        <v>4938</v>
      </c>
      <c r="G458" t="s">
        <v>4938</v>
      </c>
      <c r="I458" t="s">
        <v>11199</v>
      </c>
      <c r="J458" t="s">
        <v>11200</v>
      </c>
    </row>
    <row r="459" spans="1:10">
      <c r="A459" t="s">
        <v>11193</v>
      </c>
      <c r="B459" t="s">
        <v>11060</v>
      </c>
      <c r="C459" t="s">
        <v>4938</v>
      </c>
      <c r="D459" t="s">
        <v>4938</v>
      </c>
      <c r="E459" t="s">
        <v>4938</v>
      </c>
      <c r="F459" t="s">
        <v>4938</v>
      </c>
      <c r="G459" t="s">
        <v>4938</v>
      </c>
      <c r="I459" t="s">
        <v>11199</v>
      </c>
      <c r="J459" t="s">
        <v>11201</v>
      </c>
    </row>
    <row r="460" spans="1:10">
      <c r="A460" t="s">
        <v>11194</v>
      </c>
      <c r="B460" t="s">
        <v>11061</v>
      </c>
      <c r="C460" t="s">
        <v>4938</v>
      </c>
      <c r="D460" t="s">
        <v>4938</v>
      </c>
      <c r="E460" t="s">
        <v>4938</v>
      </c>
      <c r="F460" t="s">
        <v>4938</v>
      </c>
      <c r="G460" t="s">
        <v>4938</v>
      </c>
      <c r="I460" t="s">
        <v>11199</v>
      </c>
      <c r="J460" t="s">
        <v>11202</v>
      </c>
    </row>
    <row r="461" spans="1:10">
      <c r="A461" t="s">
        <v>11195</v>
      </c>
      <c r="B461" t="s">
        <v>11062</v>
      </c>
      <c r="C461" t="s">
        <v>4938</v>
      </c>
      <c r="D461" t="s">
        <v>4938</v>
      </c>
      <c r="E461" t="s">
        <v>4938</v>
      </c>
      <c r="F461" t="s">
        <v>4938</v>
      </c>
      <c r="G461" t="s">
        <v>4938</v>
      </c>
      <c r="I461" t="s">
        <v>11199</v>
      </c>
      <c r="J461" t="s">
        <v>11203</v>
      </c>
    </row>
    <row r="462" spans="1:10">
      <c r="A462" t="s">
        <v>11196</v>
      </c>
      <c r="B462" t="s">
        <v>11063</v>
      </c>
      <c r="C462" t="s">
        <v>4938</v>
      </c>
      <c r="D462" t="s">
        <v>4938</v>
      </c>
      <c r="E462" t="s">
        <v>4938</v>
      </c>
      <c r="F462" t="s">
        <v>4938</v>
      </c>
      <c r="G462" t="s">
        <v>4938</v>
      </c>
      <c r="I462" t="s">
        <v>11199</v>
      </c>
      <c r="J462" t="s">
        <v>11204</v>
      </c>
    </row>
    <row r="463" spans="1:10">
      <c r="A463" t="s">
        <v>11197</v>
      </c>
      <c r="B463" t="s">
        <v>11064</v>
      </c>
      <c r="C463" t="s">
        <v>4938</v>
      </c>
      <c r="D463" t="s">
        <v>4938</v>
      </c>
      <c r="E463" t="s">
        <v>4938</v>
      </c>
      <c r="F463" t="s">
        <v>4938</v>
      </c>
      <c r="G463" t="s">
        <v>4938</v>
      </c>
      <c r="I463" t="s">
        <v>11199</v>
      </c>
      <c r="J463" t="s">
        <v>11205</v>
      </c>
    </row>
    <row r="464" spans="1:10">
      <c r="A464" t="s">
        <v>11198</v>
      </c>
      <c r="B464" t="s">
        <v>11065</v>
      </c>
      <c r="C464" t="s">
        <v>4938</v>
      </c>
      <c r="D464" t="s">
        <v>4938</v>
      </c>
      <c r="E464" t="s">
        <v>4938</v>
      </c>
      <c r="F464" t="s">
        <v>4938</v>
      </c>
      <c r="G464" t="s">
        <v>4938</v>
      </c>
      <c r="I464" t="s">
        <v>11199</v>
      </c>
      <c r="J464" t="s">
        <v>11206</v>
      </c>
    </row>
    <row r="465" spans="1:10">
      <c r="A465" t="s">
        <v>11199</v>
      </c>
      <c r="B465" t="s">
        <v>11066</v>
      </c>
      <c r="C465" t="s">
        <v>4938</v>
      </c>
      <c r="D465" t="s">
        <v>4938</v>
      </c>
      <c r="E465" t="s">
        <v>4938</v>
      </c>
      <c r="F465" t="s">
        <v>4938</v>
      </c>
      <c r="G465" t="s">
        <v>4938</v>
      </c>
      <c r="I465" t="s">
        <v>3707</v>
      </c>
      <c r="J465" t="s">
        <v>11207</v>
      </c>
    </row>
    <row r="466" spans="1:10">
      <c r="A466" t="s">
        <v>11200</v>
      </c>
      <c r="B466" t="s">
        <v>11067</v>
      </c>
      <c r="C466" t="s">
        <v>4938</v>
      </c>
      <c r="D466" t="s">
        <v>4938</v>
      </c>
      <c r="E466" t="s">
        <v>4938</v>
      </c>
      <c r="F466" t="s">
        <v>4938</v>
      </c>
      <c r="G466" t="s">
        <v>4938</v>
      </c>
      <c r="I466" t="s">
        <v>11207</v>
      </c>
      <c r="J466" t="s">
        <v>11208</v>
      </c>
    </row>
    <row r="467" spans="1:10">
      <c r="A467" t="s">
        <v>11201</v>
      </c>
      <c r="B467" t="s">
        <v>11068</v>
      </c>
      <c r="C467" t="s">
        <v>4938</v>
      </c>
      <c r="D467" t="s">
        <v>4938</v>
      </c>
      <c r="E467" t="s">
        <v>4938</v>
      </c>
      <c r="F467" t="s">
        <v>4938</v>
      </c>
      <c r="G467" t="s">
        <v>4938</v>
      </c>
      <c r="I467" t="s">
        <v>11207</v>
      </c>
      <c r="J467" t="s">
        <v>11209</v>
      </c>
    </row>
    <row r="468" spans="1:10">
      <c r="A468" t="s">
        <v>11202</v>
      </c>
      <c r="B468" t="s">
        <v>11069</v>
      </c>
      <c r="C468" t="s">
        <v>4938</v>
      </c>
      <c r="D468" t="s">
        <v>4938</v>
      </c>
      <c r="E468" t="s">
        <v>4938</v>
      </c>
      <c r="F468" t="s">
        <v>4938</v>
      </c>
      <c r="G468" t="s">
        <v>4938</v>
      </c>
      <c r="I468" t="s">
        <v>11207</v>
      </c>
      <c r="J468" t="s">
        <v>11210</v>
      </c>
    </row>
    <row r="469" spans="1:10">
      <c r="A469" t="s">
        <v>11203</v>
      </c>
      <c r="B469" t="s">
        <v>11070</v>
      </c>
      <c r="C469" t="s">
        <v>4938</v>
      </c>
      <c r="D469" t="s">
        <v>4938</v>
      </c>
      <c r="E469" t="s">
        <v>4938</v>
      </c>
      <c r="F469" t="s">
        <v>4938</v>
      </c>
      <c r="G469" t="s">
        <v>4938</v>
      </c>
      <c r="I469" t="s">
        <v>11207</v>
      </c>
      <c r="J469" t="s">
        <v>11211</v>
      </c>
    </row>
    <row r="470" spans="1:10">
      <c r="A470" t="s">
        <v>11204</v>
      </c>
      <c r="B470" t="s">
        <v>11071</v>
      </c>
      <c r="C470" t="s">
        <v>4938</v>
      </c>
      <c r="D470" t="s">
        <v>4938</v>
      </c>
      <c r="E470" t="s">
        <v>4938</v>
      </c>
      <c r="F470" t="s">
        <v>4938</v>
      </c>
      <c r="G470" t="s">
        <v>4938</v>
      </c>
      <c r="I470" t="s">
        <v>11207</v>
      </c>
      <c r="J470" t="s">
        <v>11212</v>
      </c>
    </row>
    <row r="471" spans="1:10">
      <c r="A471" t="s">
        <v>11205</v>
      </c>
      <c r="B471" t="s">
        <v>11072</v>
      </c>
      <c r="C471" t="s">
        <v>4938</v>
      </c>
      <c r="D471" t="s">
        <v>4938</v>
      </c>
      <c r="E471" t="s">
        <v>4938</v>
      </c>
      <c r="F471" t="s">
        <v>4938</v>
      </c>
      <c r="G471" t="s">
        <v>4938</v>
      </c>
      <c r="I471" t="s">
        <v>11207</v>
      </c>
      <c r="J471" t="s">
        <v>11213</v>
      </c>
    </row>
    <row r="472" spans="1:10">
      <c r="A472" t="s">
        <v>11206</v>
      </c>
      <c r="B472" t="s">
        <v>11073</v>
      </c>
      <c r="C472" t="s">
        <v>4938</v>
      </c>
      <c r="D472" t="s">
        <v>4938</v>
      </c>
      <c r="E472" t="s">
        <v>4938</v>
      </c>
      <c r="F472" t="s">
        <v>4938</v>
      </c>
      <c r="G472" t="s">
        <v>4938</v>
      </c>
      <c r="I472" t="s">
        <v>11207</v>
      </c>
      <c r="J472" t="s">
        <v>11214</v>
      </c>
    </row>
    <row r="473" spans="1:10">
      <c r="A473" t="s">
        <v>11207</v>
      </c>
      <c r="B473" t="s">
        <v>11074</v>
      </c>
      <c r="C473" t="s">
        <v>4938</v>
      </c>
      <c r="D473" t="s">
        <v>4938</v>
      </c>
      <c r="E473" t="s">
        <v>4938</v>
      </c>
      <c r="F473" t="s">
        <v>4938</v>
      </c>
      <c r="G473" t="s">
        <v>4938</v>
      </c>
      <c r="I473" t="s">
        <v>11207</v>
      </c>
      <c r="J473" t="s">
        <v>11215</v>
      </c>
    </row>
    <row r="474" spans="1:10">
      <c r="A474" t="s">
        <v>11208</v>
      </c>
      <c r="B474" t="s">
        <v>11075</v>
      </c>
      <c r="C474" t="s">
        <v>4938</v>
      </c>
      <c r="D474" t="s">
        <v>4938</v>
      </c>
      <c r="E474" t="s">
        <v>4938</v>
      </c>
      <c r="F474" t="s">
        <v>4938</v>
      </c>
      <c r="G474" t="s">
        <v>4938</v>
      </c>
      <c r="I474" t="s">
        <v>11207</v>
      </c>
      <c r="J474" t="s">
        <v>11216</v>
      </c>
    </row>
    <row r="475" spans="1:10">
      <c r="A475" t="s">
        <v>11209</v>
      </c>
      <c r="B475" t="s">
        <v>11076</v>
      </c>
      <c r="C475" t="s">
        <v>4938</v>
      </c>
      <c r="D475" t="s">
        <v>4938</v>
      </c>
      <c r="E475" t="s">
        <v>4938</v>
      </c>
      <c r="F475" t="s">
        <v>4938</v>
      </c>
      <c r="G475" t="s">
        <v>4938</v>
      </c>
      <c r="I475" t="s">
        <v>3707</v>
      </c>
      <c r="J475" t="s">
        <v>11217</v>
      </c>
    </row>
    <row r="476" spans="1:10">
      <c r="A476" t="s">
        <v>11210</v>
      </c>
      <c r="B476" t="s">
        <v>11077</v>
      </c>
      <c r="C476" t="s">
        <v>4938</v>
      </c>
      <c r="D476" t="s">
        <v>4938</v>
      </c>
      <c r="E476" t="s">
        <v>4938</v>
      </c>
      <c r="F476" t="s">
        <v>4938</v>
      </c>
      <c r="G476" t="s">
        <v>4938</v>
      </c>
      <c r="I476" t="s">
        <v>11217</v>
      </c>
      <c r="J476" t="s">
        <v>11218</v>
      </c>
    </row>
    <row r="477" spans="1:10">
      <c r="A477" t="s">
        <v>11211</v>
      </c>
      <c r="B477" t="s">
        <v>11078</v>
      </c>
      <c r="C477" t="s">
        <v>4938</v>
      </c>
      <c r="D477" t="s">
        <v>4938</v>
      </c>
      <c r="E477" t="s">
        <v>4938</v>
      </c>
      <c r="F477" t="s">
        <v>4938</v>
      </c>
      <c r="G477" t="s">
        <v>4938</v>
      </c>
      <c r="I477" t="s">
        <v>11217</v>
      </c>
      <c r="J477" t="s">
        <v>11219</v>
      </c>
    </row>
    <row r="478" spans="1:10">
      <c r="A478" t="s">
        <v>11212</v>
      </c>
      <c r="B478" t="s">
        <v>11079</v>
      </c>
      <c r="C478" t="s">
        <v>4938</v>
      </c>
      <c r="D478" t="s">
        <v>4938</v>
      </c>
      <c r="E478" t="s">
        <v>4938</v>
      </c>
      <c r="F478" t="s">
        <v>4938</v>
      </c>
      <c r="G478" t="s">
        <v>4938</v>
      </c>
      <c r="I478" t="s">
        <v>11217</v>
      </c>
      <c r="J478" t="s">
        <v>11220</v>
      </c>
    </row>
    <row r="479" spans="1:10">
      <c r="A479" t="s">
        <v>11213</v>
      </c>
      <c r="B479" t="s">
        <v>11080</v>
      </c>
      <c r="C479" t="s">
        <v>4938</v>
      </c>
      <c r="D479" t="s">
        <v>4938</v>
      </c>
      <c r="E479" t="s">
        <v>4938</v>
      </c>
      <c r="F479" t="s">
        <v>4938</v>
      </c>
      <c r="G479" t="s">
        <v>4938</v>
      </c>
      <c r="I479" t="s">
        <v>11217</v>
      </c>
      <c r="J479" t="s">
        <v>11221</v>
      </c>
    </row>
    <row r="480" spans="1:10">
      <c r="A480" t="s">
        <v>11214</v>
      </c>
      <c r="B480" t="s">
        <v>11081</v>
      </c>
      <c r="C480" t="s">
        <v>4938</v>
      </c>
      <c r="D480" t="s">
        <v>4938</v>
      </c>
      <c r="E480" t="s">
        <v>4938</v>
      </c>
      <c r="F480" t="s">
        <v>4938</v>
      </c>
      <c r="G480" t="s">
        <v>4938</v>
      </c>
      <c r="I480" t="s">
        <v>11217</v>
      </c>
      <c r="J480" t="s">
        <v>11222</v>
      </c>
    </row>
    <row r="481" spans="1:10">
      <c r="A481" t="s">
        <v>11215</v>
      </c>
      <c r="B481" t="s">
        <v>11082</v>
      </c>
      <c r="C481" t="s">
        <v>4938</v>
      </c>
      <c r="D481" t="s">
        <v>4938</v>
      </c>
      <c r="E481" t="s">
        <v>4938</v>
      </c>
      <c r="F481" t="s">
        <v>4938</v>
      </c>
      <c r="G481" t="s">
        <v>4938</v>
      </c>
      <c r="I481" t="s">
        <v>11217</v>
      </c>
      <c r="J481" t="s">
        <v>11223</v>
      </c>
    </row>
    <row r="482" spans="1:10">
      <c r="A482" t="s">
        <v>11216</v>
      </c>
      <c r="B482" t="s">
        <v>11083</v>
      </c>
      <c r="C482" t="s">
        <v>4938</v>
      </c>
      <c r="D482" t="s">
        <v>4938</v>
      </c>
      <c r="E482" t="s">
        <v>4938</v>
      </c>
      <c r="F482" t="s">
        <v>4938</v>
      </c>
      <c r="G482" t="s">
        <v>4938</v>
      </c>
      <c r="I482" t="s">
        <v>11217</v>
      </c>
      <c r="J482" t="s">
        <v>11224</v>
      </c>
    </row>
    <row r="483" spans="1:10">
      <c r="A483" t="s">
        <v>11217</v>
      </c>
      <c r="B483" t="s">
        <v>11084</v>
      </c>
      <c r="C483" t="s">
        <v>4938</v>
      </c>
      <c r="D483" t="s">
        <v>4938</v>
      </c>
      <c r="E483" t="s">
        <v>4938</v>
      </c>
      <c r="F483" t="s">
        <v>4938</v>
      </c>
      <c r="G483" t="s">
        <v>4938</v>
      </c>
      <c r="I483" t="s">
        <v>11217</v>
      </c>
      <c r="J483" t="s">
        <v>11225</v>
      </c>
    </row>
    <row r="484" spans="1:10">
      <c r="A484" t="s">
        <v>11218</v>
      </c>
      <c r="B484" t="s">
        <v>11085</v>
      </c>
      <c r="C484" t="s">
        <v>4938</v>
      </c>
      <c r="D484" t="s">
        <v>4938</v>
      </c>
      <c r="E484" t="s">
        <v>4938</v>
      </c>
      <c r="F484" t="s">
        <v>4938</v>
      </c>
      <c r="G484" t="s">
        <v>4938</v>
      </c>
      <c r="I484" t="s">
        <v>11217</v>
      </c>
      <c r="J484" t="s">
        <v>11226</v>
      </c>
    </row>
    <row r="485" spans="1:10">
      <c r="A485" t="s">
        <v>11219</v>
      </c>
      <c r="B485" t="s">
        <v>11086</v>
      </c>
      <c r="C485" t="s">
        <v>4938</v>
      </c>
      <c r="D485" t="s">
        <v>4938</v>
      </c>
      <c r="E485" t="s">
        <v>4938</v>
      </c>
      <c r="F485" t="s">
        <v>4938</v>
      </c>
      <c r="G485" t="s">
        <v>4938</v>
      </c>
      <c r="I485" t="s">
        <v>3707</v>
      </c>
      <c r="J485" t="s">
        <v>11227</v>
      </c>
    </row>
    <row r="486" spans="1:10">
      <c r="A486" t="s">
        <v>11220</v>
      </c>
      <c r="B486" t="s">
        <v>11087</v>
      </c>
      <c r="C486" t="s">
        <v>4938</v>
      </c>
      <c r="D486" t="s">
        <v>4938</v>
      </c>
      <c r="E486" t="s">
        <v>4938</v>
      </c>
      <c r="F486" t="s">
        <v>4938</v>
      </c>
      <c r="G486" t="s">
        <v>4938</v>
      </c>
      <c r="I486" t="s">
        <v>11227</v>
      </c>
      <c r="J486" t="s">
        <v>11228</v>
      </c>
    </row>
    <row r="487" spans="1:10">
      <c r="A487" t="s">
        <v>11221</v>
      </c>
      <c r="B487" t="s">
        <v>11088</v>
      </c>
      <c r="C487" t="s">
        <v>4938</v>
      </c>
      <c r="D487" t="s">
        <v>4938</v>
      </c>
      <c r="E487" t="s">
        <v>4938</v>
      </c>
      <c r="F487" t="s">
        <v>4938</v>
      </c>
      <c r="G487" t="s">
        <v>4938</v>
      </c>
      <c r="I487" t="s">
        <v>11227</v>
      </c>
      <c r="J487" t="s">
        <v>11229</v>
      </c>
    </row>
    <row r="488" spans="1:10">
      <c r="A488" t="s">
        <v>11222</v>
      </c>
      <c r="B488" t="s">
        <v>11089</v>
      </c>
      <c r="C488" t="s">
        <v>4938</v>
      </c>
      <c r="D488" t="s">
        <v>4938</v>
      </c>
      <c r="E488" t="s">
        <v>4938</v>
      </c>
      <c r="F488" t="s">
        <v>4938</v>
      </c>
      <c r="G488" t="s">
        <v>4938</v>
      </c>
      <c r="I488" t="s">
        <v>11227</v>
      </c>
      <c r="J488" t="s">
        <v>11230</v>
      </c>
    </row>
    <row r="489" spans="1:10">
      <c r="A489" t="s">
        <v>11223</v>
      </c>
      <c r="B489" t="s">
        <v>11090</v>
      </c>
      <c r="C489" t="s">
        <v>4938</v>
      </c>
      <c r="D489" t="s">
        <v>4938</v>
      </c>
      <c r="E489" t="s">
        <v>4938</v>
      </c>
      <c r="F489" t="s">
        <v>4938</v>
      </c>
      <c r="G489" t="s">
        <v>4938</v>
      </c>
      <c r="I489" t="s">
        <v>11227</v>
      </c>
      <c r="J489" t="s">
        <v>11231</v>
      </c>
    </row>
    <row r="490" spans="1:10">
      <c r="A490" t="s">
        <v>11224</v>
      </c>
      <c r="B490" t="s">
        <v>11091</v>
      </c>
      <c r="C490" t="s">
        <v>4938</v>
      </c>
      <c r="D490" t="s">
        <v>4938</v>
      </c>
      <c r="E490" t="s">
        <v>4938</v>
      </c>
      <c r="F490" t="s">
        <v>4938</v>
      </c>
      <c r="G490" t="s">
        <v>4938</v>
      </c>
      <c r="I490" t="s">
        <v>11227</v>
      </c>
      <c r="J490" t="s">
        <v>11232</v>
      </c>
    </row>
    <row r="491" spans="1:10">
      <c r="A491" t="s">
        <v>11225</v>
      </c>
      <c r="B491" t="s">
        <v>11092</v>
      </c>
      <c r="C491" t="s">
        <v>4938</v>
      </c>
      <c r="D491" t="s">
        <v>4938</v>
      </c>
      <c r="E491" t="s">
        <v>4938</v>
      </c>
      <c r="F491" t="s">
        <v>4938</v>
      </c>
      <c r="G491" t="s">
        <v>4938</v>
      </c>
      <c r="I491" t="s">
        <v>11227</v>
      </c>
      <c r="J491" t="s">
        <v>11233</v>
      </c>
    </row>
    <row r="492" spans="1:10">
      <c r="A492" t="s">
        <v>11226</v>
      </c>
      <c r="B492" t="s">
        <v>11093</v>
      </c>
      <c r="C492" t="s">
        <v>4938</v>
      </c>
      <c r="D492" t="s">
        <v>4938</v>
      </c>
      <c r="E492" t="s">
        <v>4938</v>
      </c>
      <c r="F492" t="s">
        <v>4938</v>
      </c>
      <c r="G492" t="s">
        <v>4938</v>
      </c>
      <c r="I492" t="s">
        <v>3707</v>
      </c>
      <c r="J492" t="s">
        <v>11234</v>
      </c>
    </row>
    <row r="493" spans="1:10">
      <c r="A493" t="s">
        <v>11227</v>
      </c>
      <c r="B493" t="s">
        <v>11094</v>
      </c>
      <c r="C493" t="s">
        <v>4938</v>
      </c>
      <c r="D493" t="s">
        <v>4938</v>
      </c>
      <c r="E493" t="s">
        <v>4938</v>
      </c>
      <c r="F493" t="s">
        <v>4938</v>
      </c>
      <c r="G493" t="s">
        <v>4938</v>
      </c>
      <c r="I493" t="s">
        <v>11234</v>
      </c>
      <c r="J493" t="s">
        <v>11235</v>
      </c>
    </row>
    <row r="494" spans="1:10">
      <c r="A494" t="s">
        <v>11228</v>
      </c>
      <c r="B494" t="s">
        <v>11095</v>
      </c>
      <c r="C494" t="s">
        <v>4938</v>
      </c>
      <c r="D494" t="s">
        <v>4938</v>
      </c>
      <c r="E494" t="s">
        <v>4938</v>
      </c>
      <c r="F494" t="s">
        <v>4938</v>
      </c>
      <c r="G494" t="s">
        <v>4938</v>
      </c>
      <c r="I494" t="s">
        <v>11234</v>
      </c>
      <c r="J494" t="s">
        <v>11236</v>
      </c>
    </row>
    <row r="495" spans="1:10">
      <c r="A495" t="s">
        <v>11229</v>
      </c>
      <c r="B495" t="s">
        <v>11096</v>
      </c>
      <c r="C495" t="s">
        <v>4938</v>
      </c>
      <c r="D495" t="s">
        <v>4938</v>
      </c>
      <c r="E495" t="s">
        <v>4938</v>
      </c>
      <c r="F495" t="s">
        <v>4938</v>
      </c>
      <c r="G495" t="s">
        <v>4938</v>
      </c>
      <c r="I495" t="s">
        <v>11234</v>
      </c>
      <c r="J495" t="s">
        <v>11237</v>
      </c>
    </row>
    <row r="496" spans="1:10">
      <c r="A496" t="s">
        <v>11230</v>
      </c>
      <c r="B496" t="s">
        <v>11097</v>
      </c>
      <c r="C496" t="s">
        <v>4938</v>
      </c>
      <c r="D496" t="s">
        <v>4938</v>
      </c>
      <c r="E496" t="s">
        <v>4938</v>
      </c>
      <c r="F496" t="s">
        <v>4938</v>
      </c>
      <c r="G496" t="s">
        <v>4938</v>
      </c>
      <c r="I496" t="s">
        <v>11234</v>
      </c>
      <c r="J496" t="s">
        <v>11238</v>
      </c>
    </row>
    <row r="497" spans="1:10">
      <c r="A497" t="s">
        <v>11231</v>
      </c>
      <c r="B497" t="s">
        <v>11098</v>
      </c>
      <c r="C497" t="s">
        <v>4938</v>
      </c>
      <c r="D497" t="s">
        <v>4938</v>
      </c>
      <c r="E497" t="s">
        <v>4938</v>
      </c>
      <c r="F497" t="s">
        <v>4938</v>
      </c>
      <c r="G497" t="s">
        <v>4938</v>
      </c>
      <c r="I497" t="s">
        <v>11234</v>
      </c>
      <c r="J497" t="s">
        <v>11239</v>
      </c>
    </row>
    <row r="498" spans="1:10">
      <c r="A498" t="s">
        <v>11232</v>
      </c>
      <c r="B498" t="s">
        <v>11099</v>
      </c>
      <c r="C498" t="s">
        <v>4938</v>
      </c>
      <c r="D498" t="s">
        <v>4938</v>
      </c>
      <c r="E498" t="s">
        <v>4938</v>
      </c>
      <c r="F498" t="s">
        <v>4938</v>
      </c>
      <c r="G498" t="s">
        <v>4938</v>
      </c>
      <c r="I498" t="s">
        <v>11234</v>
      </c>
      <c r="J498" t="s">
        <v>11240</v>
      </c>
    </row>
    <row r="499" spans="1:10">
      <c r="A499" t="s">
        <v>11233</v>
      </c>
      <c r="B499" t="s">
        <v>11100</v>
      </c>
      <c r="C499" t="s">
        <v>4938</v>
      </c>
      <c r="D499" t="s">
        <v>4938</v>
      </c>
      <c r="E499" t="s">
        <v>4938</v>
      </c>
      <c r="F499" t="s">
        <v>4938</v>
      </c>
      <c r="G499" t="s">
        <v>4938</v>
      </c>
      <c r="I499" t="s">
        <v>3707</v>
      </c>
      <c r="J499" t="s">
        <v>11241</v>
      </c>
    </row>
    <row r="500" spans="1:10">
      <c r="A500" t="s">
        <v>11234</v>
      </c>
      <c r="B500" t="s">
        <v>11101</v>
      </c>
      <c r="C500" t="s">
        <v>4938</v>
      </c>
      <c r="D500" t="s">
        <v>4938</v>
      </c>
      <c r="E500" t="s">
        <v>4938</v>
      </c>
      <c r="F500" t="s">
        <v>4938</v>
      </c>
      <c r="G500" t="s">
        <v>4938</v>
      </c>
      <c r="I500" t="s">
        <v>11241</v>
      </c>
      <c r="J500" t="s">
        <v>11242</v>
      </c>
    </row>
    <row r="501" spans="1:10">
      <c r="A501" t="s">
        <v>11235</v>
      </c>
      <c r="B501" t="s">
        <v>11102</v>
      </c>
      <c r="C501" t="s">
        <v>4938</v>
      </c>
      <c r="D501" t="s">
        <v>4938</v>
      </c>
      <c r="E501" t="s">
        <v>4938</v>
      </c>
      <c r="F501" t="s">
        <v>4938</v>
      </c>
      <c r="G501" t="s">
        <v>4938</v>
      </c>
      <c r="I501" t="s">
        <v>11241</v>
      </c>
      <c r="J501" t="s">
        <v>11243</v>
      </c>
    </row>
    <row r="502" spans="1:10">
      <c r="A502" t="s">
        <v>11236</v>
      </c>
      <c r="B502" t="s">
        <v>11103</v>
      </c>
      <c r="C502" t="s">
        <v>4938</v>
      </c>
      <c r="D502" t="s">
        <v>4938</v>
      </c>
      <c r="E502" t="s">
        <v>4938</v>
      </c>
      <c r="F502" t="s">
        <v>4938</v>
      </c>
      <c r="G502" t="s">
        <v>4938</v>
      </c>
      <c r="I502" t="s">
        <v>11241</v>
      </c>
      <c r="J502" t="s">
        <v>11244</v>
      </c>
    </row>
    <row r="503" spans="1:10">
      <c r="A503" t="s">
        <v>11237</v>
      </c>
      <c r="B503" t="s">
        <v>11104</v>
      </c>
      <c r="C503" t="s">
        <v>4938</v>
      </c>
      <c r="D503" t="s">
        <v>4938</v>
      </c>
      <c r="E503" t="s">
        <v>4938</v>
      </c>
      <c r="F503" t="s">
        <v>4938</v>
      </c>
      <c r="G503" t="s">
        <v>4938</v>
      </c>
      <c r="I503" t="s">
        <v>11241</v>
      </c>
      <c r="J503" t="s">
        <v>11245</v>
      </c>
    </row>
    <row r="504" spans="1:10">
      <c r="A504" t="s">
        <v>11238</v>
      </c>
      <c r="B504" t="s">
        <v>11105</v>
      </c>
      <c r="C504" t="s">
        <v>4938</v>
      </c>
      <c r="D504" t="s">
        <v>4938</v>
      </c>
      <c r="E504" t="s">
        <v>4938</v>
      </c>
      <c r="F504" t="s">
        <v>4938</v>
      </c>
      <c r="G504" t="s">
        <v>4938</v>
      </c>
      <c r="I504" t="s">
        <v>11241</v>
      </c>
      <c r="J504" t="s">
        <v>11246</v>
      </c>
    </row>
    <row r="505" spans="1:10">
      <c r="A505" t="s">
        <v>11239</v>
      </c>
      <c r="B505" t="s">
        <v>11106</v>
      </c>
      <c r="C505" t="s">
        <v>4938</v>
      </c>
      <c r="D505" t="s">
        <v>4938</v>
      </c>
      <c r="E505" t="s">
        <v>4938</v>
      </c>
      <c r="F505" t="s">
        <v>4938</v>
      </c>
      <c r="G505" t="s">
        <v>4938</v>
      </c>
      <c r="I505" t="s">
        <v>5284</v>
      </c>
      <c r="J505" t="s">
        <v>11247</v>
      </c>
    </row>
    <row r="506" spans="1:10">
      <c r="A506" t="s">
        <v>11240</v>
      </c>
      <c r="B506" t="s">
        <v>11107</v>
      </c>
      <c r="C506" t="s">
        <v>4938</v>
      </c>
      <c r="D506" t="s">
        <v>4938</v>
      </c>
      <c r="E506" t="s">
        <v>4938</v>
      </c>
      <c r="F506" t="s">
        <v>4938</v>
      </c>
      <c r="G506" t="s">
        <v>4938</v>
      </c>
      <c r="I506" t="s">
        <v>11247</v>
      </c>
      <c r="J506" t="s">
        <v>11248</v>
      </c>
    </row>
    <row r="507" spans="1:10">
      <c r="A507" t="s">
        <v>11241</v>
      </c>
      <c r="B507" t="s">
        <v>11108</v>
      </c>
      <c r="C507" t="s">
        <v>4938</v>
      </c>
      <c r="D507" t="s">
        <v>4938</v>
      </c>
      <c r="E507" t="s">
        <v>4938</v>
      </c>
      <c r="F507" t="s">
        <v>4938</v>
      </c>
      <c r="G507" t="s">
        <v>4938</v>
      </c>
      <c r="I507" t="s">
        <v>11247</v>
      </c>
      <c r="J507" t="s">
        <v>11249</v>
      </c>
    </row>
    <row r="508" spans="1:10">
      <c r="A508" t="s">
        <v>11242</v>
      </c>
      <c r="B508" t="s">
        <v>11109</v>
      </c>
      <c r="C508" t="s">
        <v>4938</v>
      </c>
      <c r="D508" t="s">
        <v>4938</v>
      </c>
      <c r="E508" t="s">
        <v>4938</v>
      </c>
      <c r="F508" t="s">
        <v>4938</v>
      </c>
      <c r="G508" t="s">
        <v>4938</v>
      </c>
      <c r="I508" t="s">
        <v>11247</v>
      </c>
      <c r="J508" t="s">
        <v>11250</v>
      </c>
    </row>
    <row r="509" spans="1:10">
      <c r="A509" t="s">
        <v>11243</v>
      </c>
      <c r="B509" t="s">
        <v>11110</v>
      </c>
      <c r="C509" t="s">
        <v>4938</v>
      </c>
      <c r="D509" t="s">
        <v>4938</v>
      </c>
      <c r="E509" t="s">
        <v>4938</v>
      </c>
      <c r="F509" t="s">
        <v>4938</v>
      </c>
      <c r="G509" t="s">
        <v>4938</v>
      </c>
      <c r="I509" t="s">
        <v>5284</v>
      </c>
      <c r="J509" t="s">
        <v>11251</v>
      </c>
    </row>
    <row r="510" spans="1:10">
      <c r="A510" t="s">
        <v>11244</v>
      </c>
      <c r="B510" t="s">
        <v>11111</v>
      </c>
      <c r="C510" t="s">
        <v>4938</v>
      </c>
      <c r="D510" t="s">
        <v>4938</v>
      </c>
      <c r="E510" t="s">
        <v>4938</v>
      </c>
      <c r="F510" t="s">
        <v>4938</v>
      </c>
      <c r="G510" t="s">
        <v>4938</v>
      </c>
      <c r="I510" t="s">
        <v>11251</v>
      </c>
      <c r="J510" t="s">
        <v>11252</v>
      </c>
    </row>
    <row r="511" spans="1:10">
      <c r="A511" t="s">
        <v>11245</v>
      </c>
      <c r="B511" t="s">
        <v>11112</v>
      </c>
      <c r="C511" t="s">
        <v>4938</v>
      </c>
      <c r="D511" t="s">
        <v>4938</v>
      </c>
      <c r="E511" t="s">
        <v>4938</v>
      </c>
      <c r="F511" t="s">
        <v>4938</v>
      </c>
      <c r="G511" t="s">
        <v>4938</v>
      </c>
      <c r="I511" t="s">
        <v>5284</v>
      </c>
      <c r="J511" t="s">
        <v>11253</v>
      </c>
    </row>
    <row r="512" spans="1:10">
      <c r="A512" t="s">
        <v>11246</v>
      </c>
      <c r="B512" t="s">
        <v>11113</v>
      </c>
      <c r="C512" t="s">
        <v>4938</v>
      </c>
      <c r="D512" t="s">
        <v>4938</v>
      </c>
      <c r="E512" t="s">
        <v>4938</v>
      </c>
      <c r="F512" t="s">
        <v>4938</v>
      </c>
      <c r="G512" t="s">
        <v>4938</v>
      </c>
      <c r="I512" t="s">
        <v>11253</v>
      </c>
      <c r="J512" t="s">
        <v>11254</v>
      </c>
    </row>
    <row r="513" spans="1:10">
      <c r="A513" t="s">
        <v>11247</v>
      </c>
      <c r="B513" t="s">
        <v>11114</v>
      </c>
      <c r="C513" t="s">
        <v>4938</v>
      </c>
      <c r="D513" t="s">
        <v>4938</v>
      </c>
      <c r="E513" t="s">
        <v>4938</v>
      </c>
      <c r="F513" t="s">
        <v>4938</v>
      </c>
      <c r="G513" t="s">
        <v>4938</v>
      </c>
      <c r="I513" t="s">
        <v>5278</v>
      </c>
      <c r="J513" t="s">
        <v>11255</v>
      </c>
    </row>
    <row r="514" spans="1:10">
      <c r="A514" t="s">
        <v>11248</v>
      </c>
      <c r="B514" t="s">
        <v>11115</v>
      </c>
      <c r="C514" t="s">
        <v>4938</v>
      </c>
      <c r="D514" t="s">
        <v>4938</v>
      </c>
      <c r="E514" t="s">
        <v>4938</v>
      </c>
      <c r="F514" t="s">
        <v>4938</v>
      </c>
      <c r="G514" t="s">
        <v>4938</v>
      </c>
      <c r="I514" t="s">
        <v>5284</v>
      </c>
      <c r="J514" t="s">
        <v>11256</v>
      </c>
    </row>
    <row r="515" spans="1:10">
      <c r="A515" t="s">
        <v>11249</v>
      </c>
      <c r="B515" t="s">
        <v>11116</v>
      </c>
      <c r="C515" t="s">
        <v>4938</v>
      </c>
      <c r="D515" t="s">
        <v>4938</v>
      </c>
      <c r="E515" t="s">
        <v>4938</v>
      </c>
      <c r="F515" t="s">
        <v>4938</v>
      </c>
      <c r="G515" t="s">
        <v>4938</v>
      </c>
      <c r="I515" t="s">
        <v>5278</v>
      </c>
      <c r="J515" t="s">
        <v>11257</v>
      </c>
    </row>
    <row r="516" spans="1:10">
      <c r="A516" t="s">
        <v>11250</v>
      </c>
      <c r="B516" t="s">
        <v>11117</v>
      </c>
      <c r="C516" t="s">
        <v>4938</v>
      </c>
      <c r="D516" t="s">
        <v>4938</v>
      </c>
      <c r="E516" t="s">
        <v>4938</v>
      </c>
      <c r="F516" t="s">
        <v>4938</v>
      </c>
      <c r="G516" t="s">
        <v>4938</v>
      </c>
      <c r="I516" t="s">
        <v>11255</v>
      </c>
      <c r="J516" t="s">
        <v>11181</v>
      </c>
    </row>
    <row r="517" spans="1:10">
      <c r="A517" t="s">
        <v>11251</v>
      </c>
      <c r="B517" t="s">
        <v>11118</v>
      </c>
      <c r="C517" t="s">
        <v>4938</v>
      </c>
      <c r="D517" t="s">
        <v>4938</v>
      </c>
      <c r="E517" t="s">
        <v>4938</v>
      </c>
      <c r="F517" t="s">
        <v>4938</v>
      </c>
      <c r="G517" t="s">
        <v>4938</v>
      </c>
      <c r="I517" t="s">
        <v>11191</v>
      </c>
      <c r="J517" t="s">
        <v>11125</v>
      </c>
    </row>
    <row r="518" spans="1:10">
      <c r="A518" t="s">
        <v>11252</v>
      </c>
      <c r="B518" t="s">
        <v>11119</v>
      </c>
      <c r="C518" t="s">
        <v>4938</v>
      </c>
      <c r="D518" t="s">
        <v>4938</v>
      </c>
      <c r="E518" t="s">
        <v>4938</v>
      </c>
      <c r="F518" t="s">
        <v>4938</v>
      </c>
      <c r="G518" t="s">
        <v>4938</v>
      </c>
      <c r="I518" t="s">
        <v>11192</v>
      </c>
      <c r="J518" t="s">
        <v>11126</v>
      </c>
    </row>
    <row r="519" spans="1:10">
      <c r="A519" t="s">
        <v>11253</v>
      </c>
      <c r="B519" t="s">
        <v>11120</v>
      </c>
      <c r="C519" t="s">
        <v>4938</v>
      </c>
      <c r="D519" t="s">
        <v>4938</v>
      </c>
      <c r="E519" t="s">
        <v>4938</v>
      </c>
      <c r="F519" t="s">
        <v>4938</v>
      </c>
      <c r="G519" t="s">
        <v>4938</v>
      </c>
      <c r="I519" t="s">
        <v>11193</v>
      </c>
      <c r="J519" t="s">
        <v>11127</v>
      </c>
    </row>
    <row r="520" spans="1:10">
      <c r="A520" t="s">
        <v>11254</v>
      </c>
      <c r="B520" t="s">
        <v>11121</v>
      </c>
      <c r="C520" t="s">
        <v>4938</v>
      </c>
      <c r="D520" t="s">
        <v>4938</v>
      </c>
      <c r="E520" t="s">
        <v>4938</v>
      </c>
      <c r="F520" t="s">
        <v>4938</v>
      </c>
      <c r="G520" t="s">
        <v>4938</v>
      </c>
      <c r="I520" t="s">
        <v>11194</v>
      </c>
      <c r="J520" t="s">
        <v>11128</v>
      </c>
    </row>
    <row r="521" spans="1:10">
      <c r="A521" t="s">
        <v>11255</v>
      </c>
      <c r="B521" t="s">
        <v>11122</v>
      </c>
      <c r="C521" t="s">
        <v>4938</v>
      </c>
      <c r="D521" t="s">
        <v>4938</v>
      </c>
      <c r="E521" t="s">
        <v>4938</v>
      </c>
      <c r="F521" t="s">
        <v>4938</v>
      </c>
      <c r="G521" t="s">
        <v>4938</v>
      </c>
      <c r="I521" t="s">
        <v>11195</v>
      </c>
      <c r="J521" t="s">
        <v>11129</v>
      </c>
    </row>
    <row r="522" spans="1:10">
      <c r="A522" t="s">
        <v>11256</v>
      </c>
      <c r="B522" t="s">
        <v>11123</v>
      </c>
      <c r="C522" t="s">
        <v>4938</v>
      </c>
      <c r="D522" t="s">
        <v>4938</v>
      </c>
      <c r="E522" t="s">
        <v>4938</v>
      </c>
      <c r="F522" t="s">
        <v>4938</v>
      </c>
      <c r="G522" t="s">
        <v>4938</v>
      </c>
      <c r="I522" t="s">
        <v>11196</v>
      </c>
      <c r="J522" t="s">
        <v>11130</v>
      </c>
    </row>
    <row r="523" spans="1:10">
      <c r="A523" t="s">
        <v>11257</v>
      </c>
      <c r="B523" t="s">
        <v>11124</v>
      </c>
      <c r="C523" t="s">
        <v>4938</v>
      </c>
      <c r="D523" t="s">
        <v>4938</v>
      </c>
      <c r="E523" t="s">
        <v>4938</v>
      </c>
      <c r="F523" t="s">
        <v>4938</v>
      </c>
      <c r="G523" t="s">
        <v>4938</v>
      </c>
      <c r="I523" t="s">
        <v>11197</v>
      </c>
      <c r="J523" t="s">
        <v>11131</v>
      </c>
    </row>
    <row r="524" spans="1:10">
      <c r="A524" t="s">
        <v>11181</v>
      </c>
      <c r="B524" t="s">
        <v>11122</v>
      </c>
      <c r="C524" t="s">
        <v>4938</v>
      </c>
      <c r="D524" t="s">
        <v>4938</v>
      </c>
      <c r="E524" t="s">
        <v>4938</v>
      </c>
      <c r="F524" t="s">
        <v>4938</v>
      </c>
      <c r="G524" t="s">
        <v>4938</v>
      </c>
      <c r="I524" t="s">
        <v>11198</v>
      </c>
      <c r="J524" t="s">
        <v>11132</v>
      </c>
    </row>
    <row r="525" spans="1:10">
      <c r="A525" t="s">
        <v>11125</v>
      </c>
      <c r="B525" t="s">
        <v>11057</v>
      </c>
      <c r="C525" t="s">
        <v>4938</v>
      </c>
      <c r="D525" t="s">
        <v>4938</v>
      </c>
      <c r="E525" t="s">
        <v>4938</v>
      </c>
      <c r="F525" t="s">
        <v>4938</v>
      </c>
      <c r="G525" t="s">
        <v>4938</v>
      </c>
      <c r="I525" t="s">
        <v>11200</v>
      </c>
      <c r="J525" t="s">
        <v>11133</v>
      </c>
    </row>
    <row r="526" spans="1:10">
      <c r="A526" t="s">
        <v>11126</v>
      </c>
      <c r="B526" t="s">
        <v>11059</v>
      </c>
      <c r="C526" t="s">
        <v>4938</v>
      </c>
      <c r="D526" t="s">
        <v>4938</v>
      </c>
      <c r="E526" t="s">
        <v>4938</v>
      </c>
      <c r="F526" t="s">
        <v>4938</v>
      </c>
      <c r="G526" t="s">
        <v>4938</v>
      </c>
      <c r="I526" t="s">
        <v>11201</v>
      </c>
      <c r="J526" t="s">
        <v>11134</v>
      </c>
    </row>
    <row r="527" spans="1:10">
      <c r="A527" t="s">
        <v>11127</v>
      </c>
      <c r="B527" t="s">
        <v>11060</v>
      </c>
      <c r="C527" t="s">
        <v>4938</v>
      </c>
      <c r="D527" t="s">
        <v>4938</v>
      </c>
      <c r="E527" t="s">
        <v>4938</v>
      </c>
      <c r="F527" t="s">
        <v>4938</v>
      </c>
      <c r="G527" t="s">
        <v>4938</v>
      </c>
      <c r="I527" t="s">
        <v>11202</v>
      </c>
      <c r="J527" t="s">
        <v>11135</v>
      </c>
    </row>
    <row r="528" spans="1:10">
      <c r="A528" t="s">
        <v>11128</v>
      </c>
      <c r="B528" t="s">
        <v>11061</v>
      </c>
      <c r="C528" t="s">
        <v>4938</v>
      </c>
      <c r="D528" t="s">
        <v>4938</v>
      </c>
      <c r="E528" t="s">
        <v>4938</v>
      </c>
      <c r="F528" t="s">
        <v>4938</v>
      </c>
      <c r="G528" t="s">
        <v>4938</v>
      </c>
      <c r="I528" t="s">
        <v>11203</v>
      </c>
      <c r="J528" t="s">
        <v>11136</v>
      </c>
    </row>
    <row r="529" spans="1:10">
      <c r="A529" t="s">
        <v>11129</v>
      </c>
      <c r="B529" t="s">
        <v>11062</v>
      </c>
      <c r="C529" t="s">
        <v>4938</v>
      </c>
      <c r="D529" t="s">
        <v>4938</v>
      </c>
      <c r="E529" t="s">
        <v>4938</v>
      </c>
      <c r="F529" t="s">
        <v>4938</v>
      </c>
      <c r="G529" t="s">
        <v>4938</v>
      </c>
      <c r="I529" t="s">
        <v>11204</v>
      </c>
      <c r="J529" t="s">
        <v>11137</v>
      </c>
    </row>
    <row r="530" spans="1:10">
      <c r="A530" t="s">
        <v>11130</v>
      </c>
      <c r="B530" t="s">
        <v>11063</v>
      </c>
      <c r="C530" t="s">
        <v>4938</v>
      </c>
      <c r="D530" t="s">
        <v>4938</v>
      </c>
      <c r="E530" t="s">
        <v>4938</v>
      </c>
      <c r="F530" t="s">
        <v>4938</v>
      </c>
      <c r="G530" t="s">
        <v>4938</v>
      </c>
      <c r="I530" t="s">
        <v>11205</v>
      </c>
      <c r="J530" t="s">
        <v>11138</v>
      </c>
    </row>
    <row r="531" spans="1:10">
      <c r="A531" t="s">
        <v>11131</v>
      </c>
      <c r="B531" t="s">
        <v>11064</v>
      </c>
      <c r="C531" t="s">
        <v>4938</v>
      </c>
      <c r="D531" t="s">
        <v>4938</v>
      </c>
      <c r="E531" t="s">
        <v>4938</v>
      </c>
      <c r="F531" t="s">
        <v>4938</v>
      </c>
      <c r="G531" t="s">
        <v>4938</v>
      </c>
      <c r="I531" t="s">
        <v>11206</v>
      </c>
      <c r="J531" t="s">
        <v>11139</v>
      </c>
    </row>
    <row r="532" spans="1:10">
      <c r="A532" t="s">
        <v>11132</v>
      </c>
      <c r="B532" t="s">
        <v>11065</v>
      </c>
      <c r="C532" t="s">
        <v>4938</v>
      </c>
      <c r="D532" t="s">
        <v>4938</v>
      </c>
      <c r="E532" t="s">
        <v>4938</v>
      </c>
      <c r="F532" t="s">
        <v>4938</v>
      </c>
      <c r="G532" t="s">
        <v>4938</v>
      </c>
      <c r="I532" t="s">
        <v>11208</v>
      </c>
      <c r="J532" t="s">
        <v>11140</v>
      </c>
    </row>
    <row r="533" spans="1:10">
      <c r="A533" t="s">
        <v>11133</v>
      </c>
      <c r="B533" t="s">
        <v>11066</v>
      </c>
      <c r="C533" t="s">
        <v>4938</v>
      </c>
      <c r="D533" t="s">
        <v>4938</v>
      </c>
      <c r="E533" t="s">
        <v>4938</v>
      </c>
      <c r="F533" t="s">
        <v>4938</v>
      </c>
      <c r="G533" t="s">
        <v>4938</v>
      </c>
      <c r="I533" t="s">
        <v>11209</v>
      </c>
      <c r="J533" t="s">
        <v>11141</v>
      </c>
    </row>
    <row r="534" spans="1:10">
      <c r="A534" t="s">
        <v>11134</v>
      </c>
      <c r="B534" t="s">
        <v>11068</v>
      </c>
      <c r="C534" t="s">
        <v>4938</v>
      </c>
      <c r="D534" t="s">
        <v>4938</v>
      </c>
      <c r="E534" t="s">
        <v>4938</v>
      </c>
      <c r="F534" t="s">
        <v>4938</v>
      </c>
      <c r="G534" t="s">
        <v>4938</v>
      </c>
      <c r="I534" t="s">
        <v>11210</v>
      </c>
      <c r="J534" t="s">
        <v>11142</v>
      </c>
    </row>
    <row r="535" spans="1:10">
      <c r="A535" t="s">
        <v>11135</v>
      </c>
      <c r="B535" t="s">
        <v>11069</v>
      </c>
      <c r="C535" t="s">
        <v>4938</v>
      </c>
      <c r="D535" t="s">
        <v>4938</v>
      </c>
      <c r="E535" t="s">
        <v>4938</v>
      </c>
      <c r="F535" t="s">
        <v>4938</v>
      </c>
      <c r="G535" t="s">
        <v>4938</v>
      </c>
      <c r="I535" t="s">
        <v>11211</v>
      </c>
      <c r="J535" t="s">
        <v>11143</v>
      </c>
    </row>
    <row r="536" spans="1:10">
      <c r="A536" t="s">
        <v>11136</v>
      </c>
      <c r="B536" t="s">
        <v>11070</v>
      </c>
      <c r="C536" t="s">
        <v>4938</v>
      </c>
      <c r="D536" t="s">
        <v>4938</v>
      </c>
      <c r="E536" t="s">
        <v>4938</v>
      </c>
      <c r="F536" t="s">
        <v>4938</v>
      </c>
      <c r="G536" t="s">
        <v>4938</v>
      </c>
      <c r="I536" t="s">
        <v>11212</v>
      </c>
      <c r="J536" t="s">
        <v>11144</v>
      </c>
    </row>
    <row r="537" spans="1:10">
      <c r="A537" t="s">
        <v>11137</v>
      </c>
      <c r="B537" t="s">
        <v>11071</v>
      </c>
      <c r="C537" t="s">
        <v>4938</v>
      </c>
      <c r="D537" t="s">
        <v>4938</v>
      </c>
      <c r="E537" t="s">
        <v>4938</v>
      </c>
      <c r="F537" t="s">
        <v>4938</v>
      </c>
      <c r="G537" t="s">
        <v>4938</v>
      </c>
      <c r="I537" t="s">
        <v>11213</v>
      </c>
      <c r="J537" t="s">
        <v>11145</v>
      </c>
    </row>
    <row r="538" spans="1:10">
      <c r="A538" t="s">
        <v>11138</v>
      </c>
      <c r="B538" t="s">
        <v>11072</v>
      </c>
      <c r="C538" t="s">
        <v>4938</v>
      </c>
      <c r="D538" t="s">
        <v>4938</v>
      </c>
      <c r="E538" t="s">
        <v>4938</v>
      </c>
      <c r="F538" t="s">
        <v>4938</v>
      </c>
      <c r="G538" t="s">
        <v>4938</v>
      </c>
      <c r="I538" t="s">
        <v>11214</v>
      </c>
      <c r="J538" t="s">
        <v>11146</v>
      </c>
    </row>
    <row r="539" spans="1:10">
      <c r="A539" t="s">
        <v>11139</v>
      </c>
      <c r="B539" t="s">
        <v>11073</v>
      </c>
      <c r="C539" t="s">
        <v>4938</v>
      </c>
      <c r="D539" t="s">
        <v>4938</v>
      </c>
      <c r="E539" t="s">
        <v>4938</v>
      </c>
      <c r="F539" t="s">
        <v>4938</v>
      </c>
      <c r="G539" t="s">
        <v>4938</v>
      </c>
      <c r="I539" t="s">
        <v>11215</v>
      </c>
      <c r="J539" t="s">
        <v>11147</v>
      </c>
    </row>
    <row r="540" spans="1:10">
      <c r="A540" t="s">
        <v>11140</v>
      </c>
      <c r="B540" t="s">
        <v>11074</v>
      </c>
      <c r="C540" t="s">
        <v>4938</v>
      </c>
      <c r="D540" t="s">
        <v>4938</v>
      </c>
      <c r="E540" t="s">
        <v>4938</v>
      </c>
      <c r="F540" t="s">
        <v>4938</v>
      </c>
      <c r="G540" t="s">
        <v>4938</v>
      </c>
      <c r="I540" t="s">
        <v>11216</v>
      </c>
      <c r="J540" t="s">
        <v>11148</v>
      </c>
    </row>
    <row r="541" spans="1:10">
      <c r="A541" t="s">
        <v>11141</v>
      </c>
      <c r="B541" t="s">
        <v>11076</v>
      </c>
      <c r="C541" t="s">
        <v>4938</v>
      </c>
      <c r="D541" t="s">
        <v>4938</v>
      </c>
      <c r="E541" t="s">
        <v>4938</v>
      </c>
      <c r="F541" t="s">
        <v>4938</v>
      </c>
      <c r="G541" t="s">
        <v>4938</v>
      </c>
      <c r="I541" t="s">
        <v>11218</v>
      </c>
      <c r="J541" t="s">
        <v>11149</v>
      </c>
    </row>
    <row r="542" spans="1:10">
      <c r="A542" t="s">
        <v>11142</v>
      </c>
      <c r="B542" t="s">
        <v>11077</v>
      </c>
      <c r="C542" t="s">
        <v>4938</v>
      </c>
      <c r="D542" t="s">
        <v>4938</v>
      </c>
      <c r="E542" t="s">
        <v>4938</v>
      </c>
      <c r="F542" t="s">
        <v>4938</v>
      </c>
      <c r="G542" t="s">
        <v>4938</v>
      </c>
      <c r="I542" t="s">
        <v>11219</v>
      </c>
      <c r="J542" t="s">
        <v>11150</v>
      </c>
    </row>
    <row r="543" spans="1:10">
      <c r="A543" t="s">
        <v>11143</v>
      </c>
      <c r="B543" t="s">
        <v>11078</v>
      </c>
      <c r="C543" t="s">
        <v>4938</v>
      </c>
      <c r="D543" t="s">
        <v>4938</v>
      </c>
      <c r="E543" t="s">
        <v>4938</v>
      </c>
      <c r="F543" t="s">
        <v>4938</v>
      </c>
      <c r="G543" t="s">
        <v>4938</v>
      </c>
      <c r="I543" t="s">
        <v>11220</v>
      </c>
      <c r="J543" t="s">
        <v>11151</v>
      </c>
    </row>
    <row r="544" spans="1:10">
      <c r="A544" t="s">
        <v>11144</v>
      </c>
      <c r="B544" t="s">
        <v>11079</v>
      </c>
      <c r="C544" t="s">
        <v>4938</v>
      </c>
      <c r="D544" t="s">
        <v>4938</v>
      </c>
      <c r="E544" t="s">
        <v>4938</v>
      </c>
      <c r="F544" t="s">
        <v>4938</v>
      </c>
      <c r="G544" t="s">
        <v>4938</v>
      </c>
      <c r="I544" t="s">
        <v>11221</v>
      </c>
      <c r="J544" t="s">
        <v>11152</v>
      </c>
    </row>
    <row r="545" spans="1:10">
      <c r="A545" t="s">
        <v>11145</v>
      </c>
      <c r="B545" t="s">
        <v>11080</v>
      </c>
      <c r="C545" t="s">
        <v>4938</v>
      </c>
      <c r="D545" t="s">
        <v>4938</v>
      </c>
      <c r="E545" t="s">
        <v>4938</v>
      </c>
      <c r="F545" t="s">
        <v>4938</v>
      </c>
      <c r="G545" t="s">
        <v>4938</v>
      </c>
      <c r="I545" t="s">
        <v>11222</v>
      </c>
      <c r="J545" t="s">
        <v>11153</v>
      </c>
    </row>
    <row r="546" spans="1:10">
      <c r="A546" t="s">
        <v>11146</v>
      </c>
      <c r="B546" t="s">
        <v>11081</v>
      </c>
      <c r="C546" t="s">
        <v>4938</v>
      </c>
      <c r="D546" t="s">
        <v>4938</v>
      </c>
      <c r="E546" t="s">
        <v>4938</v>
      </c>
      <c r="F546" t="s">
        <v>4938</v>
      </c>
      <c r="G546" t="s">
        <v>4938</v>
      </c>
      <c r="I546" t="s">
        <v>11223</v>
      </c>
      <c r="J546" t="s">
        <v>11154</v>
      </c>
    </row>
    <row r="547" spans="1:10">
      <c r="A547" t="s">
        <v>11147</v>
      </c>
      <c r="B547" t="s">
        <v>11082</v>
      </c>
      <c r="C547" t="s">
        <v>4938</v>
      </c>
      <c r="D547" t="s">
        <v>4938</v>
      </c>
      <c r="E547" t="s">
        <v>4938</v>
      </c>
      <c r="F547" t="s">
        <v>4938</v>
      </c>
      <c r="G547" t="s">
        <v>4938</v>
      </c>
      <c r="I547" t="s">
        <v>11224</v>
      </c>
      <c r="J547" t="s">
        <v>11155</v>
      </c>
    </row>
    <row r="548" spans="1:10">
      <c r="A548" t="s">
        <v>11148</v>
      </c>
      <c r="B548" t="s">
        <v>11083</v>
      </c>
      <c r="C548" t="s">
        <v>4938</v>
      </c>
      <c r="D548" t="s">
        <v>4938</v>
      </c>
      <c r="E548" t="s">
        <v>4938</v>
      </c>
      <c r="F548" t="s">
        <v>4938</v>
      </c>
      <c r="G548" t="s">
        <v>4938</v>
      </c>
      <c r="I548" t="s">
        <v>11225</v>
      </c>
      <c r="J548" t="s">
        <v>11156</v>
      </c>
    </row>
    <row r="549" spans="1:10">
      <c r="A549" t="s">
        <v>11149</v>
      </c>
      <c r="B549" t="s">
        <v>11084</v>
      </c>
      <c r="C549" t="s">
        <v>4938</v>
      </c>
      <c r="D549" t="s">
        <v>4938</v>
      </c>
      <c r="E549" t="s">
        <v>4938</v>
      </c>
      <c r="F549" t="s">
        <v>4938</v>
      </c>
      <c r="G549" t="s">
        <v>4938</v>
      </c>
      <c r="I549" t="s">
        <v>11226</v>
      </c>
      <c r="J549" t="s">
        <v>11157</v>
      </c>
    </row>
    <row r="550" spans="1:10">
      <c r="A550" t="s">
        <v>11150</v>
      </c>
      <c r="B550" t="s">
        <v>11086</v>
      </c>
      <c r="C550" t="s">
        <v>4938</v>
      </c>
      <c r="D550" t="s">
        <v>4938</v>
      </c>
      <c r="E550" t="s">
        <v>4938</v>
      </c>
      <c r="F550" t="s">
        <v>4938</v>
      </c>
      <c r="G550" t="s">
        <v>4938</v>
      </c>
      <c r="I550" t="s">
        <v>11228</v>
      </c>
      <c r="J550" t="s">
        <v>11158</v>
      </c>
    </row>
    <row r="551" spans="1:10">
      <c r="A551" t="s">
        <v>11151</v>
      </c>
      <c r="B551" t="s">
        <v>11087</v>
      </c>
      <c r="C551" t="s">
        <v>4938</v>
      </c>
      <c r="D551" t="s">
        <v>4938</v>
      </c>
      <c r="E551" t="s">
        <v>4938</v>
      </c>
      <c r="F551" t="s">
        <v>4938</v>
      </c>
      <c r="G551" t="s">
        <v>4938</v>
      </c>
      <c r="I551" t="s">
        <v>11229</v>
      </c>
      <c r="J551" t="s">
        <v>11159</v>
      </c>
    </row>
    <row r="552" spans="1:10">
      <c r="A552" t="s">
        <v>11152</v>
      </c>
      <c r="B552" t="s">
        <v>11088</v>
      </c>
      <c r="C552" t="s">
        <v>4938</v>
      </c>
      <c r="D552" t="s">
        <v>4938</v>
      </c>
      <c r="E552" t="s">
        <v>4938</v>
      </c>
      <c r="F552" t="s">
        <v>4938</v>
      </c>
      <c r="G552" t="s">
        <v>4938</v>
      </c>
      <c r="I552" t="s">
        <v>11230</v>
      </c>
      <c r="J552" t="s">
        <v>11160</v>
      </c>
    </row>
    <row r="553" spans="1:10">
      <c r="A553" t="s">
        <v>11153</v>
      </c>
      <c r="B553" t="s">
        <v>11089</v>
      </c>
      <c r="C553" t="s">
        <v>4938</v>
      </c>
      <c r="D553" t="s">
        <v>4938</v>
      </c>
      <c r="E553" t="s">
        <v>4938</v>
      </c>
      <c r="F553" t="s">
        <v>4938</v>
      </c>
      <c r="G553" t="s">
        <v>4938</v>
      </c>
      <c r="I553" t="s">
        <v>11231</v>
      </c>
      <c r="J553" t="s">
        <v>11161</v>
      </c>
    </row>
    <row r="554" spans="1:10">
      <c r="A554" t="s">
        <v>11154</v>
      </c>
      <c r="B554" t="s">
        <v>11090</v>
      </c>
      <c r="C554" t="s">
        <v>4938</v>
      </c>
      <c r="D554" t="s">
        <v>4938</v>
      </c>
      <c r="E554" t="s">
        <v>4938</v>
      </c>
      <c r="F554" t="s">
        <v>4938</v>
      </c>
      <c r="G554" t="s">
        <v>4938</v>
      </c>
      <c r="I554" t="s">
        <v>11232</v>
      </c>
      <c r="J554" t="s">
        <v>11162</v>
      </c>
    </row>
    <row r="555" spans="1:10">
      <c r="A555" t="s">
        <v>11155</v>
      </c>
      <c r="B555" t="s">
        <v>11091</v>
      </c>
      <c r="C555" t="s">
        <v>4938</v>
      </c>
      <c r="D555" t="s">
        <v>4938</v>
      </c>
      <c r="E555" t="s">
        <v>4938</v>
      </c>
      <c r="F555" t="s">
        <v>4938</v>
      </c>
      <c r="G555" t="s">
        <v>4938</v>
      </c>
      <c r="I555" t="s">
        <v>11233</v>
      </c>
      <c r="J555" t="s">
        <v>11163</v>
      </c>
    </row>
    <row r="556" spans="1:10">
      <c r="A556" t="s">
        <v>11156</v>
      </c>
      <c r="B556" t="s">
        <v>11092</v>
      </c>
      <c r="C556" t="s">
        <v>4938</v>
      </c>
      <c r="D556" t="s">
        <v>4938</v>
      </c>
      <c r="E556" t="s">
        <v>4938</v>
      </c>
      <c r="F556" t="s">
        <v>4938</v>
      </c>
      <c r="G556" t="s">
        <v>4938</v>
      </c>
      <c r="I556" t="s">
        <v>11235</v>
      </c>
      <c r="J556" t="s">
        <v>11164</v>
      </c>
    </row>
    <row r="557" spans="1:10">
      <c r="A557" t="s">
        <v>11157</v>
      </c>
      <c r="B557" t="s">
        <v>11093</v>
      </c>
      <c r="C557" t="s">
        <v>4938</v>
      </c>
      <c r="D557" t="s">
        <v>4938</v>
      </c>
      <c r="E557" t="s">
        <v>4938</v>
      </c>
      <c r="F557" t="s">
        <v>4938</v>
      </c>
      <c r="G557" t="s">
        <v>4938</v>
      </c>
      <c r="I557" t="s">
        <v>11236</v>
      </c>
      <c r="J557" t="s">
        <v>11165</v>
      </c>
    </row>
    <row r="558" spans="1:10">
      <c r="A558" t="s">
        <v>11158</v>
      </c>
      <c r="B558" t="s">
        <v>11094</v>
      </c>
      <c r="C558" t="s">
        <v>4938</v>
      </c>
      <c r="D558" t="s">
        <v>4938</v>
      </c>
      <c r="E558" t="s">
        <v>4938</v>
      </c>
      <c r="F558" t="s">
        <v>4938</v>
      </c>
      <c r="G558" t="s">
        <v>4938</v>
      </c>
      <c r="I558" t="s">
        <v>11237</v>
      </c>
      <c r="J558" t="s">
        <v>11166</v>
      </c>
    </row>
    <row r="559" spans="1:10">
      <c r="A559" t="s">
        <v>11159</v>
      </c>
      <c r="B559" t="s">
        <v>11096</v>
      </c>
      <c r="C559" t="s">
        <v>4938</v>
      </c>
      <c r="D559" t="s">
        <v>4938</v>
      </c>
      <c r="E559" t="s">
        <v>4938</v>
      </c>
      <c r="F559" t="s">
        <v>4938</v>
      </c>
      <c r="G559" t="s">
        <v>4938</v>
      </c>
      <c r="I559" t="s">
        <v>11238</v>
      </c>
      <c r="J559" t="s">
        <v>11167</v>
      </c>
    </row>
    <row r="560" spans="1:10">
      <c r="A560" t="s">
        <v>11160</v>
      </c>
      <c r="B560" t="s">
        <v>11097</v>
      </c>
      <c r="C560" t="s">
        <v>4938</v>
      </c>
      <c r="D560" t="s">
        <v>4938</v>
      </c>
      <c r="E560" t="s">
        <v>4938</v>
      </c>
      <c r="F560" t="s">
        <v>4938</v>
      </c>
      <c r="G560" t="s">
        <v>4938</v>
      </c>
      <c r="I560" t="s">
        <v>11239</v>
      </c>
      <c r="J560" t="s">
        <v>11168</v>
      </c>
    </row>
    <row r="561" spans="1:10">
      <c r="A561" t="s">
        <v>11161</v>
      </c>
      <c r="B561" t="s">
        <v>11098</v>
      </c>
      <c r="C561" t="s">
        <v>4938</v>
      </c>
      <c r="D561" t="s">
        <v>4938</v>
      </c>
      <c r="E561" t="s">
        <v>4938</v>
      </c>
      <c r="F561" t="s">
        <v>4938</v>
      </c>
      <c r="G561" t="s">
        <v>4938</v>
      </c>
      <c r="I561" t="s">
        <v>11240</v>
      </c>
      <c r="J561" t="s">
        <v>11169</v>
      </c>
    </row>
    <row r="562" spans="1:10">
      <c r="A562" t="s">
        <v>11162</v>
      </c>
      <c r="B562" t="s">
        <v>11099</v>
      </c>
      <c r="C562" t="s">
        <v>4938</v>
      </c>
      <c r="D562" t="s">
        <v>4938</v>
      </c>
      <c r="E562" t="s">
        <v>4938</v>
      </c>
      <c r="F562" t="s">
        <v>4938</v>
      </c>
      <c r="G562" t="s">
        <v>4938</v>
      </c>
      <c r="I562" t="s">
        <v>11242</v>
      </c>
      <c r="J562" t="s">
        <v>11170</v>
      </c>
    </row>
    <row r="563" spans="1:10">
      <c r="A563" t="s">
        <v>11163</v>
      </c>
      <c r="B563" t="s">
        <v>11100</v>
      </c>
      <c r="C563" t="s">
        <v>4938</v>
      </c>
      <c r="D563" t="s">
        <v>4938</v>
      </c>
      <c r="E563" t="s">
        <v>4938</v>
      </c>
      <c r="F563" t="s">
        <v>4938</v>
      </c>
      <c r="G563" t="s">
        <v>4938</v>
      </c>
      <c r="I563" t="s">
        <v>11243</v>
      </c>
      <c r="J563" t="s">
        <v>11171</v>
      </c>
    </row>
    <row r="564" spans="1:10">
      <c r="A564" t="s">
        <v>11164</v>
      </c>
      <c r="B564" t="s">
        <v>11101</v>
      </c>
      <c r="C564" t="s">
        <v>4938</v>
      </c>
      <c r="D564" t="s">
        <v>4938</v>
      </c>
      <c r="E564" t="s">
        <v>4938</v>
      </c>
      <c r="F564" t="s">
        <v>4938</v>
      </c>
      <c r="G564" t="s">
        <v>4938</v>
      </c>
      <c r="I564" t="s">
        <v>11244</v>
      </c>
      <c r="J564" t="s">
        <v>11172</v>
      </c>
    </row>
    <row r="565" spans="1:10">
      <c r="A565" t="s">
        <v>11165</v>
      </c>
      <c r="B565" t="s">
        <v>11103</v>
      </c>
      <c r="C565" t="s">
        <v>4938</v>
      </c>
      <c r="D565" t="s">
        <v>4938</v>
      </c>
      <c r="E565" t="s">
        <v>4938</v>
      </c>
      <c r="F565" t="s">
        <v>4938</v>
      </c>
      <c r="G565" t="s">
        <v>4938</v>
      </c>
      <c r="I565" t="s">
        <v>11245</v>
      </c>
      <c r="J565" t="s">
        <v>11173</v>
      </c>
    </row>
    <row r="566" spans="1:10">
      <c r="A566" t="s">
        <v>11166</v>
      </c>
      <c r="B566" t="s">
        <v>11104</v>
      </c>
      <c r="C566" t="s">
        <v>4938</v>
      </c>
      <c r="D566" t="s">
        <v>4938</v>
      </c>
      <c r="E566" t="s">
        <v>4938</v>
      </c>
      <c r="F566" t="s">
        <v>4938</v>
      </c>
      <c r="G566" t="s">
        <v>4938</v>
      </c>
      <c r="I566" t="s">
        <v>11246</v>
      </c>
      <c r="J566" t="s">
        <v>11174</v>
      </c>
    </row>
    <row r="567" spans="1:10">
      <c r="A567" t="s">
        <v>11167</v>
      </c>
      <c r="B567" t="s">
        <v>11105</v>
      </c>
      <c r="C567" t="s">
        <v>4938</v>
      </c>
      <c r="D567" t="s">
        <v>4938</v>
      </c>
      <c r="E567" t="s">
        <v>4938</v>
      </c>
      <c r="F567" t="s">
        <v>4938</v>
      </c>
      <c r="G567" t="s">
        <v>4938</v>
      </c>
      <c r="I567" t="s">
        <v>11247</v>
      </c>
      <c r="J567" t="s">
        <v>11175</v>
      </c>
    </row>
    <row r="568" spans="1:10">
      <c r="A568" t="s">
        <v>11168</v>
      </c>
      <c r="B568" t="s">
        <v>11106</v>
      </c>
      <c r="C568" t="s">
        <v>4938</v>
      </c>
      <c r="D568" t="s">
        <v>4938</v>
      </c>
      <c r="E568" t="s">
        <v>4938</v>
      </c>
      <c r="F568" t="s">
        <v>4938</v>
      </c>
      <c r="G568" t="s">
        <v>4938</v>
      </c>
      <c r="I568" t="s">
        <v>11248</v>
      </c>
      <c r="J568" t="s">
        <v>11176</v>
      </c>
    </row>
    <row r="569" spans="1:10">
      <c r="A569" t="s">
        <v>11169</v>
      </c>
      <c r="B569" t="s">
        <v>11107</v>
      </c>
      <c r="C569" t="s">
        <v>4938</v>
      </c>
      <c r="D569" t="s">
        <v>4938</v>
      </c>
      <c r="E569" t="s">
        <v>4938</v>
      </c>
      <c r="F569" t="s">
        <v>4938</v>
      </c>
      <c r="G569" t="s">
        <v>4938</v>
      </c>
      <c r="I569" t="s">
        <v>11249</v>
      </c>
      <c r="J569" t="s">
        <v>11177</v>
      </c>
    </row>
    <row r="570" spans="1:10">
      <c r="A570" t="s">
        <v>11170</v>
      </c>
      <c r="B570" t="s">
        <v>11108</v>
      </c>
      <c r="C570" t="s">
        <v>4938</v>
      </c>
      <c r="D570" t="s">
        <v>4938</v>
      </c>
      <c r="E570" t="s">
        <v>4938</v>
      </c>
      <c r="F570" t="s">
        <v>4938</v>
      </c>
      <c r="G570" t="s">
        <v>4938</v>
      </c>
      <c r="I570" t="s">
        <v>11250</v>
      </c>
      <c r="J570" t="s">
        <v>11178</v>
      </c>
    </row>
    <row r="571" spans="1:10">
      <c r="A571" t="s">
        <v>11171</v>
      </c>
      <c r="B571" t="s">
        <v>11110</v>
      </c>
      <c r="C571" t="s">
        <v>4938</v>
      </c>
      <c r="D571" t="s">
        <v>4938</v>
      </c>
      <c r="E571" t="s">
        <v>4938</v>
      </c>
      <c r="F571" t="s">
        <v>4938</v>
      </c>
      <c r="G571" t="s">
        <v>4938</v>
      </c>
      <c r="I571" t="s">
        <v>11252</v>
      </c>
      <c r="J571" t="s">
        <v>11179</v>
      </c>
    </row>
    <row r="572" spans="1:10">
      <c r="A572" t="s">
        <v>11172</v>
      </c>
      <c r="B572" t="s">
        <v>11111</v>
      </c>
      <c r="C572" t="s">
        <v>4938</v>
      </c>
      <c r="D572" t="s">
        <v>4938</v>
      </c>
      <c r="E572" t="s">
        <v>4938</v>
      </c>
      <c r="F572" t="s">
        <v>4938</v>
      </c>
      <c r="G572" t="s">
        <v>4938</v>
      </c>
      <c r="I572" t="s">
        <v>11254</v>
      </c>
      <c r="J572" t="s">
        <v>11180</v>
      </c>
    </row>
    <row r="573" spans="1:10">
      <c r="A573" t="s">
        <v>11173</v>
      </c>
      <c r="B573" t="s">
        <v>11112</v>
      </c>
      <c r="C573" t="s">
        <v>4938</v>
      </c>
      <c r="D573" t="s">
        <v>4938</v>
      </c>
      <c r="E573" t="s">
        <v>4938</v>
      </c>
      <c r="F573" t="s">
        <v>4938</v>
      </c>
      <c r="G573" t="s">
        <v>4938</v>
      </c>
    </row>
    <row r="574" spans="1:10">
      <c r="A574" t="s">
        <v>11174</v>
      </c>
      <c r="B574" t="s">
        <v>11113</v>
      </c>
      <c r="C574" t="s">
        <v>4938</v>
      </c>
      <c r="D574" t="s">
        <v>4938</v>
      </c>
      <c r="E574" t="s">
        <v>4938</v>
      </c>
      <c r="F574" t="s">
        <v>4938</v>
      </c>
      <c r="G574" t="s">
        <v>4938</v>
      </c>
    </row>
    <row r="575" spans="1:10">
      <c r="A575" t="s">
        <v>11175</v>
      </c>
      <c r="B575" t="s">
        <v>11114</v>
      </c>
      <c r="C575" t="s">
        <v>4938</v>
      </c>
      <c r="D575" t="s">
        <v>4938</v>
      </c>
      <c r="E575" t="s">
        <v>4938</v>
      </c>
      <c r="F575" t="s">
        <v>4938</v>
      </c>
      <c r="G575" t="s">
        <v>4938</v>
      </c>
    </row>
    <row r="576" spans="1:10">
      <c r="A576" t="s">
        <v>11176</v>
      </c>
      <c r="B576" t="s">
        <v>11115</v>
      </c>
      <c r="C576" t="s">
        <v>4938</v>
      </c>
      <c r="D576" t="s">
        <v>4938</v>
      </c>
      <c r="E576" t="s">
        <v>4938</v>
      </c>
      <c r="F576" t="s">
        <v>4938</v>
      </c>
      <c r="G576" t="s">
        <v>4938</v>
      </c>
    </row>
    <row r="577" spans="1:7">
      <c r="A577" t="s">
        <v>11177</v>
      </c>
      <c r="B577" t="s">
        <v>11116</v>
      </c>
      <c r="C577" t="s">
        <v>4938</v>
      </c>
      <c r="D577" t="s">
        <v>4938</v>
      </c>
      <c r="E577" t="s">
        <v>4938</v>
      </c>
      <c r="F577" t="s">
        <v>4938</v>
      </c>
      <c r="G577" t="s">
        <v>4938</v>
      </c>
    </row>
    <row r="578" spans="1:7">
      <c r="A578" t="s">
        <v>11178</v>
      </c>
      <c r="B578" t="s">
        <v>11117</v>
      </c>
      <c r="C578" t="s">
        <v>4938</v>
      </c>
      <c r="D578" t="s">
        <v>4938</v>
      </c>
      <c r="E578" t="s">
        <v>4938</v>
      </c>
      <c r="F578" t="s">
        <v>4938</v>
      </c>
      <c r="G578" t="s">
        <v>4938</v>
      </c>
    </row>
    <row r="579" spans="1:7">
      <c r="A579" t="s">
        <v>11179</v>
      </c>
      <c r="B579" t="s">
        <v>11118</v>
      </c>
      <c r="C579" t="s">
        <v>4938</v>
      </c>
      <c r="D579" t="s">
        <v>4938</v>
      </c>
      <c r="E579" t="s">
        <v>4938</v>
      </c>
      <c r="F579" t="s">
        <v>4938</v>
      </c>
      <c r="G579" t="s">
        <v>4938</v>
      </c>
    </row>
    <row r="580" spans="1:7">
      <c r="A580" t="s">
        <v>11180</v>
      </c>
      <c r="B580" t="s">
        <v>11120</v>
      </c>
      <c r="C580" t="s">
        <v>4938</v>
      </c>
      <c r="D580" t="s">
        <v>4938</v>
      </c>
      <c r="E580" t="s">
        <v>4938</v>
      </c>
      <c r="F580" t="s">
        <v>4938</v>
      </c>
      <c r="G580" t="s">
        <v>4938</v>
      </c>
    </row>
    <row r="581" spans="1:7">
      <c r="A581" t="s">
        <v>6342</v>
      </c>
      <c r="B581" t="s">
        <v>11185</v>
      </c>
      <c r="C581" t="s">
        <v>4938</v>
      </c>
      <c r="D581" t="s">
        <v>4938</v>
      </c>
      <c r="E581" t="s">
        <v>4938</v>
      </c>
      <c r="F581" t="s">
        <v>4938</v>
      </c>
      <c r="G581" t="s">
        <v>4938</v>
      </c>
    </row>
    <row r="582" spans="1:7">
      <c r="A582" t="s">
        <v>6306</v>
      </c>
      <c r="B582" t="s">
        <v>11182</v>
      </c>
      <c r="C582" t="s">
        <v>4938</v>
      </c>
      <c r="D582" t="s">
        <v>4938</v>
      </c>
      <c r="E582" t="s">
        <v>4938</v>
      </c>
      <c r="F582" t="s">
        <v>4938</v>
      </c>
      <c r="G582" t="s">
        <v>4938</v>
      </c>
    </row>
    <row r="583" spans="1:7">
      <c r="A583" t="s">
        <v>6344</v>
      </c>
      <c r="B583" t="s">
        <v>11184</v>
      </c>
      <c r="C583" t="s">
        <v>4938</v>
      </c>
      <c r="D583" t="s">
        <v>4938</v>
      </c>
      <c r="E583" t="s">
        <v>4938</v>
      </c>
      <c r="F583" t="s">
        <v>4938</v>
      </c>
      <c r="G583" t="s">
        <v>4938</v>
      </c>
    </row>
    <row r="584" spans="1:7">
      <c r="A584" t="s">
        <v>5284</v>
      </c>
      <c r="B584" t="s">
        <v>11183</v>
      </c>
      <c r="C584" t="s">
        <v>4938</v>
      </c>
      <c r="D584" t="s">
        <v>4938</v>
      </c>
      <c r="E584" t="s">
        <v>4938</v>
      </c>
      <c r="F584" t="s">
        <v>4938</v>
      </c>
      <c r="G584" t="s">
        <v>4938</v>
      </c>
    </row>
    <row r="585" spans="1:7">
      <c r="A585" t="s">
        <v>6389</v>
      </c>
      <c r="B585" t="s">
        <v>11186</v>
      </c>
      <c r="C585" t="s">
        <v>4938</v>
      </c>
      <c r="D585" t="s">
        <v>4938</v>
      </c>
      <c r="E585" t="s">
        <v>4938</v>
      </c>
      <c r="F585" t="s">
        <v>4938</v>
      </c>
      <c r="G585" t="s">
        <v>4938</v>
      </c>
    </row>
    <row r="586" spans="1:7">
      <c r="A586" t="s">
        <v>6308</v>
      </c>
      <c r="B586" t="s">
        <v>11182</v>
      </c>
      <c r="C586" t="s">
        <v>4938</v>
      </c>
      <c r="D586" t="s">
        <v>4938</v>
      </c>
      <c r="E586" t="s">
        <v>4938</v>
      </c>
      <c r="F586" t="s">
        <v>4938</v>
      </c>
      <c r="G586" t="s">
        <v>4938</v>
      </c>
    </row>
    <row r="587" spans="1:7">
      <c r="A587" t="s">
        <v>7753</v>
      </c>
      <c r="B587" t="s">
        <v>11184</v>
      </c>
      <c r="C587" t="s">
        <v>4938</v>
      </c>
      <c r="D587" t="s">
        <v>4938</v>
      </c>
      <c r="E587" t="s">
        <v>4938</v>
      </c>
      <c r="F587" t="s">
        <v>4938</v>
      </c>
      <c r="G587" t="s">
        <v>4938</v>
      </c>
    </row>
    <row r="588" spans="1:7">
      <c r="A588" t="s">
        <v>6620</v>
      </c>
      <c r="B588" t="s">
        <v>11185</v>
      </c>
      <c r="C588" t="s">
        <v>4938</v>
      </c>
      <c r="D588" t="s">
        <v>4938</v>
      </c>
      <c r="E588" t="s">
        <v>4938</v>
      </c>
      <c r="F588" t="s">
        <v>4938</v>
      </c>
      <c r="G588" t="s">
        <v>4938</v>
      </c>
    </row>
    <row r="589" spans="1:7">
      <c r="A589" t="s">
        <v>6171</v>
      </c>
      <c r="B589" t="s">
        <v>11186</v>
      </c>
      <c r="C589" t="s">
        <v>4938</v>
      </c>
      <c r="D589" t="s">
        <v>4938</v>
      </c>
      <c r="E589" t="s">
        <v>4938</v>
      </c>
      <c r="F589" t="s">
        <v>4938</v>
      </c>
      <c r="G589" t="s">
        <v>4938</v>
      </c>
    </row>
    <row r="590" spans="1:7">
      <c r="A590" t="s">
        <v>6162</v>
      </c>
      <c r="B590" t="s">
        <v>11183</v>
      </c>
      <c r="C590" t="s">
        <v>4938</v>
      </c>
      <c r="D590" t="s">
        <v>4938</v>
      </c>
      <c r="E590" t="s">
        <v>4938</v>
      </c>
      <c r="F590" t="s">
        <v>4938</v>
      </c>
      <c r="G590" t="s">
        <v>4938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1A62-B423-47D2-BD1B-6D9BA66D57FB}">
  <dimension ref="A2:D137"/>
  <sheetViews>
    <sheetView topLeftCell="A109" workbookViewId="0">
      <selection activeCell="A2" sqref="A2:C137"/>
    </sheetView>
  </sheetViews>
  <sheetFormatPr defaultRowHeight="15"/>
  <cols>
    <col min="1" max="1" width="11.28515625" bestFit="1" customWidth="1"/>
    <col min="2" max="3" width="40.5703125" bestFit="1" customWidth="1"/>
  </cols>
  <sheetData>
    <row r="2" spans="1:4">
      <c r="A2" t="s">
        <v>11190</v>
      </c>
      <c r="B2" t="s">
        <v>11057</v>
      </c>
      <c r="C2" t="s">
        <v>3707</v>
      </c>
    </row>
    <row r="3" spans="1:4">
      <c r="A3" t="s">
        <v>11191</v>
      </c>
      <c r="B3" t="s">
        <v>11058</v>
      </c>
      <c r="C3" t="s">
        <v>11190</v>
      </c>
      <c r="D3" t="s">
        <v>11190</v>
      </c>
    </row>
    <row r="4" spans="1:4">
      <c r="A4" t="s">
        <v>11192</v>
      </c>
      <c r="B4" t="s">
        <v>11059</v>
      </c>
      <c r="C4" t="s">
        <v>11190</v>
      </c>
      <c r="D4" t="s">
        <v>11190</v>
      </c>
    </row>
    <row r="5" spans="1:4">
      <c r="A5" t="s">
        <v>11193</v>
      </c>
      <c r="B5" t="s">
        <v>11060</v>
      </c>
      <c r="C5" t="s">
        <v>11190</v>
      </c>
      <c r="D5" t="s">
        <v>11190</v>
      </c>
    </row>
    <row r="6" spans="1:4">
      <c r="A6" t="s">
        <v>11194</v>
      </c>
      <c r="B6" t="s">
        <v>11061</v>
      </c>
      <c r="C6" t="s">
        <v>11190</v>
      </c>
      <c r="D6" t="s">
        <v>11190</v>
      </c>
    </row>
    <row r="7" spans="1:4">
      <c r="A7" t="s">
        <v>11195</v>
      </c>
      <c r="B7" t="s">
        <v>11062</v>
      </c>
      <c r="C7" t="s">
        <v>11190</v>
      </c>
      <c r="D7" t="s">
        <v>11190</v>
      </c>
    </row>
    <row r="8" spans="1:4">
      <c r="A8" t="s">
        <v>11196</v>
      </c>
      <c r="B8" t="s">
        <v>11063</v>
      </c>
      <c r="C8" t="s">
        <v>11190</v>
      </c>
      <c r="D8" t="s">
        <v>11190</v>
      </c>
    </row>
    <row r="9" spans="1:4">
      <c r="A9" t="s">
        <v>11197</v>
      </c>
      <c r="B9" t="s">
        <v>11064</v>
      </c>
      <c r="C9" t="s">
        <v>11190</v>
      </c>
      <c r="D9" t="s">
        <v>11190</v>
      </c>
    </row>
    <row r="10" spans="1:4">
      <c r="A10" t="s">
        <v>11198</v>
      </c>
      <c r="B10" t="s">
        <v>11065</v>
      </c>
      <c r="C10" t="s">
        <v>11190</v>
      </c>
      <c r="D10" t="s">
        <v>11190</v>
      </c>
    </row>
    <row r="11" spans="1:4">
      <c r="A11" t="s">
        <v>11199</v>
      </c>
      <c r="B11" t="s">
        <v>11066</v>
      </c>
      <c r="C11" t="s">
        <v>3707</v>
      </c>
    </row>
    <row r="12" spans="1:4">
      <c r="A12" t="s">
        <v>11200</v>
      </c>
      <c r="B12" t="s">
        <v>11067</v>
      </c>
      <c r="C12" t="s">
        <v>11199</v>
      </c>
      <c r="D12" t="s">
        <v>11199</v>
      </c>
    </row>
    <row r="13" spans="1:4">
      <c r="A13" t="s">
        <v>11201</v>
      </c>
      <c r="B13" t="s">
        <v>11068</v>
      </c>
      <c r="C13" t="s">
        <v>11199</v>
      </c>
      <c r="D13" t="s">
        <v>11199</v>
      </c>
    </row>
    <row r="14" spans="1:4">
      <c r="A14" t="s">
        <v>11202</v>
      </c>
      <c r="B14" t="s">
        <v>11069</v>
      </c>
      <c r="C14" t="s">
        <v>11199</v>
      </c>
      <c r="D14" t="s">
        <v>11199</v>
      </c>
    </row>
    <row r="15" spans="1:4">
      <c r="A15" t="s">
        <v>11203</v>
      </c>
      <c r="B15" t="s">
        <v>11070</v>
      </c>
      <c r="C15" t="s">
        <v>11199</v>
      </c>
      <c r="D15" t="s">
        <v>11199</v>
      </c>
    </row>
    <row r="16" spans="1:4">
      <c r="A16" t="s">
        <v>11204</v>
      </c>
      <c r="B16" t="s">
        <v>11071</v>
      </c>
      <c r="C16" t="s">
        <v>11199</v>
      </c>
      <c r="D16" t="s">
        <v>11199</v>
      </c>
    </row>
    <row r="17" spans="1:4">
      <c r="A17" t="s">
        <v>11205</v>
      </c>
      <c r="B17" t="s">
        <v>11072</v>
      </c>
      <c r="C17" t="s">
        <v>11199</v>
      </c>
      <c r="D17" t="s">
        <v>11199</v>
      </c>
    </row>
    <row r="18" spans="1:4">
      <c r="A18" t="s">
        <v>11206</v>
      </c>
      <c r="B18" t="s">
        <v>11073</v>
      </c>
      <c r="C18" t="s">
        <v>11199</v>
      </c>
      <c r="D18" t="s">
        <v>11199</v>
      </c>
    </row>
    <row r="19" spans="1:4">
      <c r="A19" t="s">
        <v>11207</v>
      </c>
      <c r="B19" t="s">
        <v>11074</v>
      </c>
      <c r="C19" t="s">
        <v>3707</v>
      </c>
    </row>
    <row r="20" spans="1:4">
      <c r="A20" t="s">
        <v>11208</v>
      </c>
      <c r="B20" t="s">
        <v>11075</v>
      </c>
      <c r="C20" t="s">
        <v>11207</v>
      </c>
      <c r="D20" t="s">
        <v>11207</v>
      </c>
    </row>
    <row r="21" spans="1:4">
      <c r="A21" t="s">
        <v>11209</v>
      </c>
      <c r="B21" t="s">
        <v>11076</v>
      </c>
      <c r="C21" t="s">
        <v>11207</v>
      </c>
      <c r="D21" t="s">
        <v>11207</v>
      </c>
    </row>
    <row r="22" spans="1:4">
      <c r="A22" t="s">
        <v>11210</v>
      </c>
      <c r="B22" t="s">
        <v>11077</v>
      </c>
      <c r="C22" t="s">
        <v>11207</v>
      </c>
      <c r="D22" t="s">
        <v>11207</v>
      </c>
    </row>
    <row r="23" spans="1:4">
      <c r="A23" t="s">
        <v>11211</v>
      </c>
      <c r="B23" t="s">
        <v>11078</v>
      </c>
      <c r="C23" t="s">
        <v>11207</v>
      </c>
      <c r="D23" t="s">
        <v>11207</v>
      </c>
    </row>
    <row r="24" spans="1:4">
      <c r="A24" t="s">
        <v>11212</v>
      </c>
      <c r="B24" t="s">
        <v>11079</v>
      </c>
      <c r="C24" t="s">
        <v>11207</v>
      </c>
      <c r="D24" t="s">
        <v>11207</v>
      </c>
    </row>
    <row r="25" spans="1:4">
      <c r="A25" t="s">
        <v>11213</v>
      </c>
      <c r="B25" t="s">
        <v>11080</v>
      </c>
      <c r="C25" t="s">
        <v>11207</v>
      </c>
      <c r="D25" t="s">
        <v>11207</v>
      </c>
    </row>
    <row r="26" spans="1:4">
      <c r="A26" t="s">
        <v>11214</v>
      </c>
      <c r="B26" t="s">
        <v>11081</v>
      </c>
      <c r="C26" t="s">
        <v>11207</v>
      </c>
      <c r="D26" t="s">
        <v>11207</v>
      </c>
    </row>
    <row r="27" spans="1:4">
      <c r="A27" t="s">
        <v>11215</v>
      </c>
      <c r="B27" t="s">
        <v>11082</v>
      </c>
      <c r="C27" t="s">
        <v>11207</v>
      </c>
      <c r="D27" t="s">
        <v>11207</v>
      </c>
    </row>
    <row r="28" spans="1:4">
      <c r="A28" t="s">
        <v>11216</v>
      </c>
      <c r="B28" t="s">
        <v>11083</v>
      </c>
      <c r="C28" t="s">
        <v>11207</v>
      </c>
      <c r="D28" t="s">
        <v>11207</v>
      </c>
    </row>
    <row r="29" spans="1:4">
      <c r="A29" t="s">
        <v>11217</v>
      </c>
      <c r="B29" t="s">
        <v>11084</v>
      </c>
      <c r="C29" t="s">
        <v>3707</v>
      </c>
    </row>
    <row r="30" spans="1:4">
      <c r="A30" t="s">
        <v>11218</v>
      </c>
      <c r="B30" t="s">
        <v>11085</v>
      </c>
      <c r="C30" t="s">
        <v>11217</v>
      </c>
      <c r="D30" t="s">
        <v>11217</v>
      </c>
    </row>
    <row r="31" spans="1:4">
      <c r="A31" t="s">
        <v>11219</v>
      </c>
      <c r="B31" t="s">
        <v>11086</v>
      </c>
      <c r="C31" t="s">
        <v>11217</v>
      </c>
      <c r="D31" t="s">
        <v>11217</v>
      </c>
    </row>
    <row r="32" spans="1:4">
      <c r="A32" t="s">
        <v>11220</v>
      </c>
      <c r="B32" t="s">
        <v>11087</v>
      </c>
      <c r="C32" t="s">
        <v>11217</v>
      </c>
      <c r="D32" t="s">
        <v>11217</v>
      </c>
    </row>
    <row r="33" spans="1:4">
      <c r="A33" t="s">
        <v>11221</v>
      </c>
      <c r="B33" t="s">
        <v>11088</v>
      </c>
      <c r="C33" t="s">
        <v>11217</v>
      </c>
      <c r="D33" t="s">
        <v>11217</v>
      </c>
    </row>
    <row r="34" spans="1:4">
      <c r="A34" t="s">
        <v>11222</v>
      </c>
      <c r="B34" t="s">
        <v>11089</v>
      </c>
      <c r="C34" t="s">
        <v>11217</v>
      </c>
      <c r="D34" t="s">
        <v>11217</v>
      </c>
    </row>
    <row r="35" spans="1:4">
      <c r="A35" t="s">
        <v>11223</v>
      </c>
      <c r="B35" t="s">
        <v>11090</v>
      </c>
      <c r="C35" t="s">
        <v>11217</v>
      </c>
      <c r="D35" t="s">
        <v>11217</v>
      </c>
    </row>
    <row r="36" spans="1:4">
      <c r="A36" t="s">
        <v>11224</v>
      </c>
      <c r="B36" t="s">
        <v>11091</v>
      </c>
      <c r="C36" t="s">
        <v>11217</v>
      </c>
      <c r="D36" t="s">
        <v>11217</v>
      </c>
    </row>
    <row r="37" spans="1:4">
      <c r="A37" t="s">
        <v>11225</v>
      </c>
      <c r="B37" t="s">
        <v>11092</v>
      </c>
      <c r="C37" t="s">
        <v>11217</v>
      </c>
      <c r="D37" t="s">
        <v>11217</v>
      </c>
    </row>
    <row r="38" spans="1:4">
      <c r="A38" t="s">
        <v>11226</v>
      </c>
      <c r="B38" t="s">
        <v>11093</v>
      </c>
      <c r="C38" t="s">
        <v>11217</v>
      </c>
      <c r="D38" t="s">
        <v>11217</v>
      </c>
    </row>
    <row r="39" spans="1:4">
      <c r="A39" t="s">
        <v>11227</v>
      </c>
      <c r="B39" t="s">
        <v>11094</v>
      </c>
      <c r="C39" t="s">
        <v>3707</v>
      </c>
    </row>
    <row r="40" spans="1:4">
      <c r="A40" t="s">
        <v>11228</v>
      </c>
      <c r="B40" t="s">
        <v>11095</v>
      </c>
      <c r="C40" t="s">
        <v>11227</v>
      </c>
      <c r="D40" t="s">
        <v>11227</v>
      </c>
    </row>
    <row r="41" spans="1:4">
      <c r="A41" t="s">
        <v>11229</v>
      </c>
      <c r="B41" t="s">
        <v>11096</v>
      </c>
      <c r="C41" t="s">
        <v>11227</v>
      </c>
      <c r="D41" t="s">
        <v>11227</v>
      </c>
    </row>
    <row r="42" spans="1:4">
      <c r="A42" t="s">
        <v>11230</v>
      </c>
      <c r="B42" t="s">
        <v>11097</v>
      </c>
      <c r="C42" t="s">
        <v>11227</v>
      </c>
      <c r="D42" t="s">
        <v>11227</v>
      </c>
    </row>
    <row r="43" spans="1:4">
      <c r="A43" t="s">
        <v>11231</v>
      </c>
      <c r="B43" t="s">
        <v>11098</v>
      </c>
      <c r="C43" t="s">
        <v>11227</v>
      </c>
      <c r="D43" t="s">
        <v>11227</v>
      </c>
    </row>
    <row r="44" spans="1:4">
      <c r="A44" t="s">
        <v>11232</v>
      </c>
      <c r="B44" t="s">
        <v>11099</v>
      </c>
      <c r="C44" t="s">
        <v>11227</v>
      </c>
      <c r="D44" t="s">
        <v>11227</v>
      </c>
    </row>
    <row r="45" spans="1:4">
      <c r="A45" t="s">
        <v>11233</v>
      </c>
      <c r="B45" t="s">
        <v>11100</v>
      </c>
      <c r="C45" t="s">
        <v>11227</v>
      </c>
      <c r="D45" t="s">
        <v>11227</v>
      </c>
    </row>
    <row r="46" spans="1:4">
      <c r="A46" t="s">
        <v>11234</v>
      </c>
      <c r="B46" t="s">
        <v>11101</v>
      </c>
      <c r="C46" t="s">
        <v>3707</v>
      </c>
    </row>
    <row r="47" spans="1:4">
      <c r="A47" t="s">
        <v>11235</v>
      </c>
      <c r="B47" t="s">
        <v>11102</v>
      </c>
      <c r="C47" t="s">
        <v>11234</v>
      </c>
      <c r="D47" t="s">
        <v>11234</v>
      </c>
    </row>
    <row r="48" spans="1:4">
      <c r="A48" t="s">
        <v>11236</v>
      </c>
      <c r="B48" t="s">
        <v>11103</v>
      </c>
      <c r="C48" t="s">
        <v>11234</v>
      </c>
      <c r="D48" t="s">
        <v>11234</v>
      </c>
    </row>
    <row r="49" spans="1:4">
      <c r="A49" t="s">
        <v>11237</v>
      </c>
      <c r="B49" t="s">
        <v>11104</v>
      </c>
      <c r="C49" t="s">
        <v>11234</v>
      </c>
      <c r="D49" t="s">
        <v>11234</v>
      </c>
    </row>
    <row r="50" spans="1:4">
      <c r="A50" t="s">
        <v>11238</v>
      </c>
      <c r="B50" t="s">
        <v>11105</v>
      </c>
      <c r="C50" t="s">
        <v>11234</v>
      </c>
      <c r="D50" t="s">
        <v>11234</v>
      </c>
    </row>
    <row r="51" spans="1:4">
      <c r="A51" t="s">
        <v>11239</v>
      </c>
      <c r="B51" t="s">
        <v>11106</v>
      </c>
      <c r="C51" t="s">
        <v>11234</v>
      </c>
      <c r="D51" t="s">
        <v>11234</v>
      </c>
    </row>
    <row r="52" spans="1:4">
      <c r="A52" t="s">
        <v>11240</v>
      </c>
      <c r="B52" t="s">
        <v>11107</v>
      </c>
      <c r="C52" t="s">
        <v>11234</v>
      </c>
      <c r="D52" t="s">
        <v>11234</v>
      </c>
    </row>
    <row r="53" spans="1:4">
      <c r="A53" t="s">
        <v>11241</v>
      </c>
      <c r="B53" t="s">
        <v>11108</v>
      </c>
      <c r="C53" t="s">
        <v>3707</v>
      </c>
    </row>
    <row r="54" spans="1:4">
      <c r="A54" t="s">
        <v>11242</v>
      </c>
      <c r="B54" t="s">
        <v>11109</v>
      </c>
      <c r="C54" t="s">
        <v>11241</v>
      </c>
      <c r="D54" t="s">
        <v>11241</v>
      </c>
    </row>
    <row r="55" spans="1:4">
      <c r="A55" t="s">
        <v>11243</v>
      </c>
      <c r="B55" t="s">
        <v>11110</v>
      </c>
      <c r="C55" t="s">
        <v>11241</v>
      </c>
      <c r="D55" t="s">
        <v>11241</v>
      </c>
    </row>
    <row r="56" spans="1:4">
      <c r="A56" t="s">
        <v>11244</v>
      </c>
      <c r="B56" t="s">
        <v>11111</v>
      </c>
      <c r="C56" t="s">
        <v>11241</v>
      </c>
      <c r="D56" t="s">
        <v>11241</v>
      </c>
    </row>
    <row r="57" spans="1:4">
      <c r="A57" t="s">
        <v>11245</v>
      </c>
      <c r="B57" t="s">
        <v>11112</v>
      </c>
      <c r="C57" t="s">
        <v>11241</v>
      </c>
      <c r="D57" t="s">
        <v>11241</v>
      </c>
    </row>
    <row r="58" spans="1:4">
      <c r="A58" t="s">
        <v>11246</v>
      </c>
      <c r="B58" t="s">
        <v>11113</v>
      </c>
      <c r="C58" t="s">
        <v>11241</v>
      </c>
      <c r="D58" t="s">
        <v>11241</v>
      </c>
    </row>
    <row r="59" spans="1:4">
      <c r="A59" t="s">
        <v>11247</v>
      </c>
      <c r="B59" t="s">
        <v>11114</v>
      </c>
      <c r="C59" t="s">
        <v>5284</v>
      </c>
    </row>
    <row r="60" spans="1:4">
      <c r="A60" t="s">
        <v>11248</v>
      </c>
      <c r="B60" t="s">
        <v>11115</v>
      </c>
      <c r="C60" t="s">
        <v>11247</v>
      </c>
      <c r="D60" t="s">
        <v>11247</v>
      </c>
    </row>
    <row r="61" spans="1:4">
      <c r="A61" t="s">
        <v>11249</v>
      </c>
      <c r="B61" t="s">
        <v>11116</v>
      </c>
      <c r="C61" t="s">
        <v>11247</v>
      </c>
      <c r="D61" t="s">
        <v>11247</v>
      </c>
    </row>
    <row r="62" spans="1:4">
      <c r="A62" t="s">
        <v>11250</v>
      </c>
      <c r="B62" t="s">
        <v>11117</v>
      </c>
      <c r="C62" t="s">
        <v>11247</v>
      </c>
      <c r="D62" t="s">
        <v>11247</v>
      </c>
    </row>
    <row r="63" spans="1:4">
      <c r="A63" t="s">
        <v>11251</v>
      </c>
      <c r="B63" t="s">
        <v>11118</v>
      </c>
      <c r="C63" t="s">
        <v>5284</v>
      </c>
    </row>
    <row r="64" spans="1:4">
      <c r="A64" t="s">
        <v>11252</v>
      </c>
      <c r="B64" t="s">
        <v>11119</v>
      </c>
      <c r="C64" t="s">
        <v>11251</v>
      </c>
      <c r="D64" t="s">
        <v>11251</v>
      </c>
    </row>
    <row r="65" spans="1:4">
      <c r="A65" t="s">
        <v>11253</v>
      </c>
      <c r="B65" t="s">
        <v>11120</v>
      </c>
      <c r="C65" t="s">
        <v>5284</v>
      </c>
    </row>
    <row r="66" spans="1:4">
      <c r="A66" t="s">
        <v>11254</v>
      </c>
      <c r="B66" t="s">
        <v>11121</v>
      </c>
      <c r="C66" t="s">
        <v>11253</v>
      </c>
      <c r="D66" t="s">
        <v>11253</v>
      </c>
    </row>
    <row r="67" spans="1:4">
      <c r="A67" t="s">
        <v>11255</v>
      </c>
      <c r="B67" t="s">
        <v>11122</v>
      </c>
      <c r="C67" t="s">
        <v>5278</v>
      </c>
    </row>
    <row r="68" spans="1:4">
      <c r="A68" t="s">
        <v>11256</v>
      </c>
      <c r="B68" t="s">
        <v>11123</v>
      </c>
      <c r="C68" t="s">
        <v>5284</v>
      </c>
    </row>
    <row r="69" spans="1:4">
      <c r="A69" t="s">
        <v>11257</v>
      </c>
      <c r="B69" t="s">
        <v>11124</v>
      </c>
      <c r="C69" t="s">
        <v>5278</v>
      </c>
    </row>
    <row r="70" spans="1:4">
      <c r="A70" t="s">
        <v>6342</v>
      </c>
      <c r="B70" t="s">
        <v>11185</v>
      </c>
    </row>
    <row r="71" spans="1:4">
      <c r="A71" t="s">
        <v>6306</v>
      </c>
      <c r="B71" t="s">
        <v>11182</v>
      </c>
    </row>
    <row r="72" spans="1:4">
      <c r="A72" t="s">
        <v>6344</v>
      </c>
      <c r="B72" t="s">
        <v>11184</v>
      </c>
    </row>
    <row r="73" spans="1:4">
      <c r="A73" t="s">
        <v>5284</v>
      </c>
      <c r="B73" t="s">
        <v>11183</v>
      </c>
    </row>
    <row r="74" spans="1:4">
      <c r="A74" t="s">
        <v>6389</v>
      </c>
      <c r="B74" t="s">
        <v>11186</v>
      </c>
    </row>
    <row r="75" spans="1:4">
      <c r="A75" t="s">
        <v>6644</v>
      </c>
      <c r="C75" t="s">
        <v>11257</v>
      </c>
      <c r="D75" t="s">
        <v>11257</v>
      </c>
    </row>
    <row r="76" spans="1:4">
      <c r="A76" t="s">
        <v>11181</v>
      </c>
      <c r="B76" t="s">
        <v>11122</v>
      </c>
      <c r="C76" t="s">
        <v>11255</v>
      </c>
      <c r="D76" t="s">
        <v>11255</v>
      </c>
    </row>
    <row r="77" spans="1:4">
      <c r="A77" t="s">
        <v>6308</v>
      </c>
      <c r="B77" t="s">
        <v>11182</v>
      </c>
    </row>
    <row r="78" spans="1:4">
      <c r="A78" t="s">
        <v>11125</v>
      </c>
      <c r="B78" t="s">
        <v>11057</v>
      </c>
      <c r="C78" t="s">
        <v>11191</v>
      </c>
      <c r="D78" t="s">
        <v>11191</v>
      </c>
    </row>
    <row r="79" spans="1:4">
      <c r="A79" t="s">
        <v>11126</v>
      </c>
      <c r="B79" t="s">
        <v>11059</v>
      </c>
      <c r="C79" t="s">
        <v>11192</v>
      </c>
      <c r="D79" t="s">
        <v>11192</v>
      </c>
    </row>
    <row r="80" spans="1:4">
      <c r="A80" t="s">
        <v>11127</v>
      </c>
      <c r="B80" t="s">
        <v>11060</v>
      </c>
      <c r="C80" t="s">
        <v>11193</v>
      </c>
      <c r="D80" t="s">
        <v>11193</v>
      </c>
    </row>
    <row r="81" spans="1:4">
      <c r="A81" t="s">
        <v>11128</v>
      </c>
      <c r="B81" t="s">
        <v>11061</v>
      </c>
      <c r="C81" t="s">
        <v>11194</v>
      </c>
      <c r="D81" t="s">
        <v>11194</v>
      </c>
    </row>
    <row r="82" spans="1:4">
      <c r="A82" t="s">
        <v>11129</v>
      </c>
      <c r="B82" t="s">
        <v>11062</v>
      </c>
      <c r="C82" t="s">
        <v>11195</v>
      </c>
      <c r="D82" t="s">
        <v>11195</v>
      </c>
    </row>
    <row r="83" spans="1:4">
      <c r="A83" t="s">
        <v>11130</v>
      </c>
      <c r="B83" t="s">
        <v>11063</v>
      </c>
      <c r="C83" t="s">
        <v>11196</v>
      </c>
      <c r="D83" t="s">
        <v>11196</v>
      </c>
    </row>
    <row r="84" spans="1:4">
      <c r="A84" t="s">
        <v>11131</v>
      </c>
      <c r="B84" t="s">
        <v>11064</v>
      </c>
      <c r="C84" t="s">
        <v>11197</v>
      </c>
      <c r="D84" t="s">
        <v>11197</v>
      </c>
    </row>
    <row r="85" spans="1:4">
      <c r="A85" t="s">
        <v>11132</v>
      </c>
      <c r="B85" t="s">
        <v>11065</v>
      </c>
      <c r="C85" t="s">
        <v>11198</v>
      </c>
      <c r="D85" t="s">
        <v>11198</v>
      </c>
    </row>
    <row r="86" spans="1:4">
      <c r="A86" t="s">
        <v>11133</v>
      </c>
      <c r="B86" t="s">
        <v>11066</v>
      </c>
      <c r="C86" t="s">
        <v>11200</v>
      </c>
      <c r="D86" t="s">
        <v>11200</v>
      </c>
    </row>
    <row r="87" spans="1:4">
      <c r="A87" t="s">
        <v>11134</v>
      </c>
      <c r="B87" t="s">
        <v>11068</v>
      </c>
      <c r="C87" t="s">
        <v>11201</v>
      </c>
      <c r="D87" t="s">
        <v>11201</v>
      </c>
    </row>
    <row r="88" spans="1:4">
      <c r="A88" t="s">
        <v>11135</v>
      </c>
      <c r="B88" t="s">
        <v>11069</v>
      </c>
      <c r="C88" t="s">
        <v>11202</v>
      </c>
      <c r="D88" t="s">
        <v>11202</v>
      </c>
    </row>
    <row r="89" spans="1:4">
      <c r="A89" t="s">
        <v>11136</v>
      </c>
      <c r="B89" t="s">
        <v>11070</v>
      </c>
      <c r="C89" t="s">
        <v>11203</v>
      </c>
      <c r="D89" t="s">
        <v>11203</v>
      </c>
    </row>
    <row r="90" spans="1:4">
      <c r="A90" t="s">
        <v>11137</v>
      </c>
      <c r="B90" t="s">
        <v>11071</v>
      </c>
      <c r="C90" t="s">
        <v>11204</v>
      </c>
      <c r="D90" t="s">
        <v>11204</v>
      </c>
    </row>
    <row r="91" spans="1:4">
      <c r="A91" t="s">
        <v>11138</v>
      </c>
      <c r="B91" t="s">
        <v>11072</v>
      </c>
      <c r="C91" t="s">
        <v>11205</v>
      </c>
      <c r="D91" t="s">
        <v>11205</v>
      </c>
    </row>
    <row r="92" spans="1:4">
      <c r="A92" t="s">
        <v>11139</v>
      </c>
      <c r="B92" t="s">
        <v>11073</v>
      </c>
      <c r="C92" t="s">
        <v>11206</v>
      </c>
      <c r="D92" t="s">
        <v>11206</v>
      </c>
    </row>
    <row r="93" spans="1:4">
      <c r="A93" t="s">
        <v>11140</v>
      </c>
      <c r="B93" t="s">
        <v>11074</v>
      </c>
      <c r="C93" t="s">
        <v>11208</v>
      </c>
      <c r="D93" t="s">
        <v>11208</v>
      </c>
    </row>
    <row r="94" spans="1:4">
      <c r="A94" t="s">
        <v>11141</v>
      </c>
      <c r="B94" t="s">
        <v>11076</v>
      </c>
      <c r="C94" t="s">
        <v>11209</v>
      </c>
      <c r="D94" t="s">
        <v>11209</v>
      </c>
    </row>
    <row r="95" spans="1:4">
      <c r="A95" t="s">
        <v>11142</v>
      </c>
      <c r="B95" t="s">
        <v>11077</v>
      </c>
      <c r="C95" t="s">
        <v>11210</v>
      </c>
      <c r="D95" t="s">
        <v>11210</v>
      </c>
    </row>
    <row r="96" spans="1:4">
      <c r="A96" t="s">
        <v>11143</v>
      </c>
      <c r="B96" t="s">
        <v>11078</v>
      </c>
      <c r="C96" t="s">
        <v>11211</v>
      </c>
      <c r="D96" t="s">
        <v>11211</v>
      </c>
    </row>
    <row r="97" spans="1:4">
      <c r="A97" t="s">
        <v>11144</v>
      </c>
      <c r="B97" t="s">
        <v>11079</v>
      </c>
      <c r="C97" t="s">
        <v>11212</v>
      </c>
      <c r="D97" t="s">
        <v>11212</v>
      </c>
    </row>
    <row r="98" spans="1:4">
      <c r="A98" t="s">
        <v>11145</v>
      </c>
      <c r="B98" t="s">
        <v>11080</v>
      </c>
      <c r="C98" t="s">
        <v>11213</v>
      </c>
      <c r="D98" t="s">
        <v>11213</v>
      </c>
    </row>
    <row r="99" spans="1:4">
      <c r="A99" t="s">
        <v>11146</v>
      </c>
      <c r="B99" t="s">
        <v>11081</v>
      </c>
      <c r="C99" t="s">
        <v>11214</v>
      </c>
      <c r="D99" t="s">
        <v>11214</v>
      </c>
    </row>
    <row r="100" spans="1:4">
      <c r="A100" t="s">
        <v>11147</v>
      </c>
      <c r="B100" t="s">
        <v>11082</v>
      </c>
      <c r="C100" t="s">
        <v>11215</v>
      </c>
      <c r="D100" t="s">
        <v>11215</v>
      </c>
    </row>
    <row r="101" spans="1:4">
      <c r="A101" t="s">
        <v>11148</v>
      </c>
      <c r="B101" t="s">
        <v>11083</v>
      </c>
      <c r="C101" t="s">
        <v>11216</v>
      </c>
      <c r="D101" t="s">
        <v>11216</v>
      </c>
    </row>
    <row r="102" spans="1:4">
      <c r="A102" t="s">
        <v>11149</v>
      </c>
      <c r="B102" t="s">
        <v>11084</v>
      </c>
      <c r="C102" t="s">
        <v>11218</v>
      </c>
      <c r="D102" t="s">
        <v>11218</v>
      </c>
    </row>
    <row r="103" spans="1:4">
      <c r="A103" t="s">
        <v>11150</v>
      </c>
      <c r="B103" t="s">
        <v>11086</v>
      </c>
      <c r="C103" t="s">
        <v>11219</v>
      </c>
      <c r="D103" t="s">
        <v>11219</v>
      </c>
    </row>
    <row r="104" spans="1:4">
      <c r="A104" t="s">
        <v>11151</v>
      </c>
      <c r="B104" t="s">
        <v>11087</v>
      </c>
      <c r="C104" t="s">
        <v>11220</v>
      </c>
      <c r="D104" t="s">
        <v>11220</v>
      </c>
    </row>
    <row r="105" spans="1:4">
      <c r="A105" t="s">
        <v>11152</v>
      </c>
      <c r="B105" t="s">
        <v>11088</v>
      </c>
      <c r="C105" t="s">
        <v>11221</v>
      </c>
      <c r="D105" t="s">
        <v>11221</v>
      </c>
    </row>
    <row r="106" spans="1:4">
      <c r="A106" t="s">
        <v>11153</v>
      </c>
      <c r="B106" t="s">
        <v>11089</v>
      </c>
      <c r="C106" t="s">
        <v>11222</v>
      </c>
      <c r="D106" t="s">
        <v>11222</v>
      </c>
    </row>
    <row r="107" spans="1:4">
      <c r="A107" t="s">
        <v>11154</v>
      </c>
      <c r="B107" t="s">
        <v>11090</v>
      </c>
      <c r="C107" t="s">
        <v>11223</v>
      </c>
      <c r="D107" t="s">
        <v>11223</v>
      </c>
    </row>
    <row r="108" spans="1:4">
      <c r="A108" t="s">
        <v>11155</v>
      </c>
      <c r="B108" t="s">
        <v>11091</v>
      </c>
      <c r="C108" t="s">
        <v>11224</v>
      </c>
      <c r="D108" t="s">
        <v>11224</v>
      </c>
    </row>
    <row r="109" spans="1:4">
      <c r="A109" t="s">
        <v>11156</v>
      </c>
      <c r="B109" t="s">
        <v>11092</v>
      </c>
      <c r="C109" t="s">
        <v>11225</v>
      </c>
      <c r="D109" t="s">
        <v>11225</v>
      </c>
    </row>
    <row r="110" spans="1:4">
      <c r="A110" t="s">
        <v>11157</v>
      </c>
      <c r="B110" t="s">
        <v>11093</v>
      </c>
      <c r="C110" t="s">
        <v>11226</v>
      </c>
      <c r="D110" t="s">
        <v>11226</v>
      </c>
    </row>
    <row r="111" spans="1:4">
      <c r="A111" t="s">
        <v>11158</v>
      </c>
      <c r="B111" t="s">
        <v>11094</v>
      </c>
      <c r="C111" t="s">
        <v>11228</v>
      </c>
      <c r="D111" t="s">
        <v>11228</v>
      </c>
    </row>
    <row r="112" spans="1:4">
      <c r="A112" t="s">
        <v>11159</v>
      </c>
      <c r="B112" t="s">
        <v>11096</v>
      </c>
      <c r="C112" t="s">
        <v>11229</v>
      </c>
      <c r="D112" t="s">
        <v>11229</v>
      </c>
    </row>
    <row r="113" spans="1:4">
      <c r="A113" t="s">
        <v>11160</v>
      </c>
      <c r="B113" t="s">
        <v>11097</v>
      </c>
      <c r="C113" t="s">
        <v>11230</v>
      </c>
      <c r="D113" t="s">
        <v>11230</v>
      </c>
    </row>
    <row r="114" spans="1:4">
      <c r="A114" t="s">
        <v>11161</v>
      </c>
      <c r="B114" t="s">
        <v>11098</v>
      </c>
      <c r="C114" t="s">
        <v>11231</v>
      </c>
      <c r="D114" t="s">
        <v>11231</v>
      </c>
    </row>
    <row r="115" spans="1:4">
      <c r="A115" t="s">
        <v>11162</v>
      </c>
      <c r="B115" t="s">
        <v>11099</v>
      </c>
      <c r="C115" t="s">
        <v>11232</v>
      </c>
      <c r="D115" t="s">
        <v>11232</v>
      </c>
    </row>
    <row r="116" spans="1:4">
      <c r="A116" t="s">
        <v>11163</v>
      </c>
      <c r="B116" t="s">
        <v>11100</v>
      </c>
      <c r="C116" t="s">
        <v>11233</v>
      </c>
      <c r="D116" t="s">
        <v>11233</v>
      </c>
    </row>
    <row r="117" spans="1:4">
      <c r="A117" t="s">
        <v>11164</v>
      </c>
      <c r="B117" t="s">
        <v>11101</v>
      </c>
      <c r="C117" t="s">
        <v>11235</v>
      </c>
      <c r="D117" t="s">
        <v>11235</v>
      </c>
    </row>
    <row r="118" spans="1:4">
      <c r="A118" t="s">
        <v>11165</v>
      </c>
      <c r="B118" t="s">
        <v>11103</v>
      </c>
      <c r="C118" t="s">
        <v>11236</v>
      </c>
      <c r="D118" t="s">
        <v>11236</v>
      </c>
    </row>
    <row r="119" spans="1:4">
      <c r="A119" t="s">
        <v>11166</v>
      </c>
      <c r="B119" t="s">
        <v>11104</v>
      </c>
      <c r="C119" t="s">
        <v>11237</v>
      </c>
      <c r="D119" t="s">
        <v>11237</v>
      </c>
    </row>
    <row r="120" spans="1:4">
      <c r="A120" t="s">
        <v>11167</v>
      </c>
      <c r="B120" t="s">
        <v>11105</v>
      </c>
      <c r="C120" t="s">
        <v>11238</v>
      </c>
      <c r="D120" t="s">
        <v>11238</v>
      </c>
    </row>
    <row r="121" spans="1:4">
      <c r="A121" t="s">
        <v>11168</v>
      </c>
      <c r="B121" t="s">
        <v>11106</v>
      </c>
      <c r="C121" t="s">
        <v>11239</v>
      </c>
      <c r="D121" t="s">
        <v>11239</v>
      </c>
    </row>
    <row r="122" spans="1:4">
      <c r="A122" t="s">
        <v>11169</v>
      </c>
      <c r="B122" t="s">
        <v>11107</v>
      </c>
      <c r="C122" t="s">
        <v>11240</v>
      </c>
      <c r="D122" t="s">
        <v>11240</v>
      </c>
    </row>
    <row r="123" spans="1:4">
      <c r="A123" t="s">
        <v>11170</v>
      </c>
      <c r="B123" t="s">
        <v>11108</v>
      </c>
      <c r="C123" t="s">
        <v>11242</v>
      </c>
      <c r="D123" t="s">
        <v>11242</v>
      </c>
    </row>
    <row r="124" spans="1:4">
      <c r="A124" t="s">
        <v>11171</v>
      </c>
      <c r="B124" t="s">
        <v>11110</v>
      </c>
      <c r="C124" t="s">
        <v>11243</v>
      </c>
      <c r="D124" t="s">
        <v>11243</v>
      </c>
    </row>
    <row r="125" spans="1:4">
      <c r="A125" t="s">
        <v>11172</v>
      </c>
      <c r="B125" t="s">
        <v>11111</v>
      </c>
      <c r="C125" t="s">
        <v>11244</v>
      </c>
      <c r="D125" t="s">
        <v>11244</v>
      </c>
    </row>
    <row r="126" spans="1:4">
      <c r="A126" t="s">
        <v>11173</v>
      </c>
      <c r="B126" t="s">
        <v>11112</v>
      </c>
      <c r="C126" t="s">
        <v>11245</v>
      </c>
      <c r="D126" t="s">
        <v>11245</v>
      </c>
    </row>
    <row r="127" spans="1:4">
      <c r="A127" t="s">
        <v>11174</v>
      </c>
      <c r="B127" t="s">
        <v>11113</v>
      </c>
      <c r="C127" t="s">
        <v>11246</v>
      </c>
      <c r="D127" t="s">
        <v>11246</v>
      </c>
    </row>
    <row r="128" spans="1:4">
      <c r="A128" t="s">
        <v>6162</v>
      </c>
      <c r="B128" t="s">
        <v>11183</v>
      </c>
      <c r="C128" t="s">
        <v>11256</v>
      </c>
      <c r="D128" t="s">
        <v>11256</v>
      </c>
    </row>
    <row r="129" spans="1:4">
      <c r="A129" t="s">
        <v>7753</v>
      </c>
      <c r="B129" t="s">
        <v>11184</v>
      </c>
    </row>
    <row r="130" spans="1:4">
      <c r="A130" t="s">
        <v>6620</v>
      </c>
      <c r="B130" t="s">
        <v>11185</v>
      </c>
    </row>
    <row r="131" spans="1:4">
      <c r="A131" t="s">
        <v>6171</v>
      </c>
      <c r="B131" t="s">
        <v>11186</v>
      </c>
    </row>
    <row r="132" spans="1:4">
      <c r="A132" t="s">
        <v>11175</v>
      </c>
      <c r="B132" t="s">
        <v>11114</v>
      </c>
      <c r="C132" t="s">
        <v>11247</v>
      </c>
      <c r="D132" t="s">
        <v>11247</v>
      </c>
    </row>
    <row r="133" spans="1:4">
      <c r="A133" t="s">
        <v>11176</v>
      </c>
      <c r="B133" t="s">
        <v>11115</v>
      </c>
      <c r="C133" t="s">
        <v>11248</v>
      </c>
      <c r="D133" t="s">
        <v>11248</v>
      </c>
    </row>
    <row r="134" spans="1:4">
      <c r="A134" t="s">
        <v>11177</v>
      </c>
      <c r="B134" t="s">
        <v>11116</v>
      </c>
      <c r="C134" t="s">
        <v>11249</v>
      </c>
      <c r="D134" t="s">
        <v>11249</v>
      </c>
    </row>
    <row r="135" spans="1:4">
      <c r="A135" t="s">
        <v>11178</v>
      </c>
      <c r="B135" t="s">
        <v>11117</v>
      </c>
      <c r="C135" t="s">
        <v>11250</v>
      </c>
      <c r="D135" t="s">
        <v>11250</v>
      </c>
    </row>
    <row r="136" spans="1:4">
      <c r="A136" t="s">
        <v>11179</v>
      </c>
      <c r="B136" t="s">
        <v>11118</v>
      </c>
      <c r="C136" t="s">
        <v>11252</v>
      </c>
      <c r="D136" t="s">
        <v>11252</v>
      </c>
    </row>
    <row r="137" spans="1:4">
      <c r="A137" t="s">
        <v>11180</v>
      </c>
      <c r="B137" t="s">
        <v>11120</v>
      </c>
      <c r="C137" t="s">
        <v>11254</v>
      </c>
      <c r="D137" t="s">
        <v>11254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EE29E-3CDD-4864-AD94-87EEF49326BF}">
  <dimension ref="A1:F69"/>
  <sheetViews>
    <sheetView workbookViewId="0">
      <selection activeCell="F1" sqref="F1"/>
    </sheetView>
  </sheetViews>
  <sheetFormatPr defaultRowHeight="15"/>
  <sheetData>
    <row r="1" spans="1:6">
      <c r="D1" s="47" t="s">
        <v>11189</v>
      </c>
      <c r="E1">
        <v>1494</v>
      </c>
    </row>
    <row r="2" spans="1:6">
      <c r="A2" t="s">
        <v>11188</v>
      </c>
      <c r="B2" t="s">
        <v>11057</v>
      </c>
      <c r="D2" s="47" t="s">
        <v>11189</v>
      </c>
      <c r="E2">
        <f>+E1+1</f>
        <v>1495</v>
      </c>
      <c r="F2" t="str">
        <f>+D2&amp;E2</f>
        <v>G000001495</v>
      </c>
    </row>
    <row r="3" spans="1:6">
      <c r="A3" t="s">
        <v>11188</v>
      </c>
      <c r="B3" t="s">
        <v>11058</v>
      </c>
      <c r="D3" s="47" t="s">
        <v>11189</v>
      </c>
      <c r="E3">
        <f t="shared" ref="E3:E66" si="0">+E2+1</f>
        <v>1496</v>
      </c>
      <c r="F3" t="str">
        <f t="shared" ref="F3:F66" si="1">+D3&amp;E3</f>
        <v>G000001496</v>
      </c>
    </row>
    <row r="4" spans="1:6">
      <c r="A4" t="s">
        <v>11188</v>
      </c>
      <c r="B4" t="s">
        <v>11059</v>
      </c>
      <c r="D4" s="47" t="s">
        <v>11189</v>
      </c>
      <c r="E4">
        <f t="shared" si="0"/>
        <v>1497</v>
      </c>
      <c r="F4" t="str">
        <f t="shared" si="1"/>
        <v>G000001497</v>
      </c>
    </row>
    <row r="5" spans="1:6">
      <c r="A5" t="s">
        <v>11188</v>
      </c>
      <c r="B5" t="s">
        <v>11060</v>
      </c>
      <c r="D5" s="47" t="s">
        <v>11189</v>
      </c>
      <c r="E5">
        <f t="shared" si="0"/>
        <v>1498</v>
      </c>
      <c r="F5" t="str">
        <f t="shared" si="1"/>
        <v>G000001498</v>
      </c>
    </row>
    <row r="6" spans="1:6">
      <c r="A6" t="s">
        <v>11188</v>
      </c>
      <c r="B6" t="s">
        <v>11061</v>
      </c>
      <c r="D6" s="47" t="s">
        <v>11189</v>
      </c>
      <c r="E6">
        <f t="shared" si="0"/>
        <v>1499</v>
      </c>
      <c r="F6" t="str">
        <f t="shared" si="1"/>
        <v>G000001499</v>
      </c>
    </row>
    <row r="7" spans="1:6">
      <c r="A7" t="s">
        <v>11188</v>
      </c>
      <c r="B7" t="s">
        <v>11062</v>
      </c>
      <c r="D7" s="47" t="s">
        <v>11189</v>
      </c>
      <c r="E7">
        <f t="shared" si="0"/>
        <v>1500</v>
      </c>
      <c r="F7" t="str">
        <f t="shared" si="1"/>
        <v>G000001500</v>
      </c>
    </row>
    <row r="8" spans="1:6">
      <c r="A8" t="s">
        <v>11188</v>
      </c>
      <c r="B8" t="s">
        <v>11063</v>
      </c>
      <c r="D8" s="47" t="s">
        <v>11189</v>
      </c>
      <c r="E8">
        <f t="shared" si="0"/>
        <v>1501</v>
      </c>
      <c r="F8" t="str">
        <f t="shared" si="1"/>
        <v>G000001501</v>
      </c>
    </row>
    <row r="9" spans="1:6">
      <c r="A9" t="s">
        <v>11188</v>
      </c>
      <c r="B9" t="s">
        <v>11064</v>
      </c>
      <c r="D9" s="47" t="s">
        <v>11189</v>
      </c>
      <c r="E9">
        <f t="shared" si="0"/>
        <v>1502</v>
      </c>
      <c r="F9" t="str">
        <f t="shared" si="1"/>
        <v>G000001502</v>
      </c>
    </row>
    <row r="10" spans="1:6">
      <c r="A10" t="s">
        <v>11188</v>
      </c>
      <c r="B10" t="s">
        <v>11065</v>
      </c>
      <c r="D10" s="47" t="s">
        <v>11189</v>
      </c>
      <c r="E10">
        <f t="shared" si="0"/>
        <v>1503</v>
      </c>
      <c r="F10" t="str">
        <f t="shared" si="1"/>
        <v>G000001503</v>
      </c>
    </row>
    <row r="11" spans="1:6">
      <c r="A11" t="s">
        <v>11188</v>
      </c>
      <c r="B11" t="s">
        <v>11066</v>
      </c>
      <c r="D11" s="47" t="s">
        <v>11189</v>
      </c>
      <c r="E11">
        <f t="shared" si="0"/>
        <v>1504</v>
      </c>
      <c r="F11" t="str">
        <f t="shared" si="1"/>
        <v>G000001504</v>
      </c>
    </row>
    <row r="12" spans="1:6">
      <c r="A12" t="s">
        <v>11188</v>
      </c>
      <c r="B12" t="s">
        <v>11067</v>
      </c>
      <c r="D12" s="47" t="s">
        <v>11189</v>
      </c>
      <c r="E12">
        <f t="shared" si="0"/>
        <v>1505</v>
      </c>
      <c r="F12" t="str">
        <f t="shared" si="1"/>
        <v>G000001505</v>
      </c>
    </row>
    <row r="13" spans="1:6">
      <c r="A13" t="s">
        <v>11188</v>
      </c>
      <c r="B13" t="s">
        <v>11068</v>
      </c>
      <c r="D13" s="47" t="s">
        <v>11189</v>
      </c>
      <c r="E13">
        <f t="shared" si="0"/>
        <v>1506</v>
      </c>
      <c r="F13" t="str">
        <f t="shared" si="1"/>
        <v>G000001506</v>
      </c>
    </row>
    <row r="14" spans="1:6">
      <c r="A14" t="s">
        <v>11188</v>
      </c>
      <c r="B14" t="s">
        <v>11069</v>
      </c>
      <c r="D14" s="47" t="s">
        <v>11189</v>
      </c>
      <c r="E14">
        <f t="shared" si="0"/>
        <v>1507</v>
      </c>
      <c r="F14" t="str">
        <f t="shared" si="1"/>
        <v>G000001507</v>
      </c>
    </row>
    <row r="15" spans="1:6">
      <c r="A15" t="s">
        <v>11188</v>
      </c>
      <c r="B15" t="s">
        <v>11070</v>
      </c>
      <c r="D15" s="47" t="s">
        <v>11189</v>
      </c>
      <c r="E15">
        <f t="shared" si="0"/>
        <v>1508</v>
      </c>
      <c r="F15" t="str">
        <f t="shared" si="1"/>
        <v>G000001508</v>
      </c>
    </row>
    <row r="16" spans="1:6">
      <c r="A16" t="s">
        <v>11188</v>
      </c>
      <c r="B16" t="s">
        <v>11071</v>
      </c>
      <c r="D16" s="47" t="s">
        <v>11189</v>
      </c>
      <c r="E16">
        <f t="shared" si="0"/>
        <v>1509</v>
      </c>
      <c r="F16" t="str">
        <f t="shared" si="1"/>
        <v>G000001509</v>
      </c>
    </row>
    <row r="17" spans="1:6">
      <c r="A17" t="s">
        <v>11188</v>
      </c>
      <c r="B17" t="s">
        <v>11072</v>
      </c>
      <c r="D17" s="47" t="s">
        <v>11189</v>
      </c>
      <c r="E17">
        <f t="shared" si="0"/>
        <v>1510</v>
      </c>
      <c r="F17" t="str">
        <f t="shared" si="1"/>
        <v>G000001510</v>
      </c>
    </row>
    <row r="18" spans="1:6">
      <c r="A18" t="s">
        <v>11188</v>
      </c>
      <c r="B18" t="s">
        <v>11073</v>
      </c>
      <c r="D18" s="47" t="s">
        <v>11189</v>
      </c>
      <c r="E18">
        <f t="shared" si="0"/>
        <v>1511</v>
      </c>
      <c r="F18" t="str">
        <f t="shared" si="1"/>
        <v>G000001511</v>
      </c>
    </row>
    <row r="19" spans="1:6">
      <c r="A19" t="s">
        <v>11188</v>
      </c>
      <c r="B19" t="s">
        <v>11074</v>
      </c>
      <c r="D19" s="47" t="s">
        <v>11189</v>
      </c>
      <c r="E19">
        <f t="shared" si="0"/>
        <v>1512</v>
      </c>
      <c r="F19" t="str">
        <f t="shared" si="1"/>
        <v>G000001512</v>
      </c>
    </row>
    <row r="20" spans="1:6">
      <c r="A20" t="s">
        <v>11188</v>
      </c>
      <c r="B20" t="s">
        <v>11075</v>
      </c>
      <c r="D20" s="47" t="s">
        <v>11189</v>
      </c>
      <c r="E20">
        <f t="shared" si="0"/>
        <v>1513</v>
      </c>
      <c r="F20" t="str">
        <f t="shared" si="1"/>
        <v>G000001513</v>
      </c>
    </row>
    <row r="21" spans="1:6">
      <c r="A21" t="s">
        <v>11188</v>
      </c>
      <c r="B21" t="s">
        <v>11076</v>
      </c>
      <c r="D21" s="47" t="s">
        <v>11189</v>
      </c>
      <c r="E21">
        <f t="shared" si="0"/>
        <v>1514</v>
      </c>
      <c r="F21" t="str">
        <f t="shared" si="1"/>
        <v>G000001514</v>
      </c>
    </row>
    <row r="22" spans="1:6">
      <c r="A22" t="s">
        <v>11188</v>
      </c>
      <c r="B22" t="s">
        <v>11077</v>
      </c>
      <c r="D22" s="47" t="s">
        <v>11189</v>
      </c>
      <c r="E22">
        <f t="shared" si="0"/>
        <v>1515</v>
      </c>
      <c r="F22" t="str">
        <f t="shared" si="1"/>
        <v>G000001515</v>
      </c>
    </row>
    <row r="23" spans="1:6">
      <c r="A23" t="s">
        <v>11188</v>
      </c>
      <c r="B23" t="s">
        <v>11078</v>
      </c>
      <c r="D23" s="47" t="s">
        <v>11189</v>
      </c>
      <c r="E23">
        <f t="shared" si="0"/>
        <v>1516</v>
      </c>
      <c r="F23" t="str">
        <f t="shared" si="1"/>
        <v>G000001516</v>
      </c>
    </row>
    <row r="24" spans="1:6">
      <c r="A24" t="s">
        <v>11188</v>
      </c>
      <c r="B24" t="s">
        <v>11079</v>
      </c>
      <c r="D24" s="47" t="s">
        <v>11189</v>
      </c>
      <c r="E24">
        <f t="shared" si="0"/>
        <v>1517</v>
      </c>
      <c r="F24" t="str">
        <f t="shared" si="1"/>
        <v>G000001517</v>
      </c>
    </row>
    <row r="25" spans="1:6">
      <c r="A25" t="s">
        <v>11188</v>
      </c>
      <c r="B25" t="s">
        <v>11080</v>
      </c>
      <c r="D25" s="47" t="s">
        <v>11189</v>
      </c>
      <c r="E25">
        <f t="shared" si="0"/>
        <v>1518</v>
      </c>
      <c r="F25" t="str">
        <f t="shared" si="1"/>
        <v>G000001518</v>
      </c>
    </row>
    <row r="26" spans="1:6">
      <c r="A26" t="s">
        <v>11188</v>
      </c>
      <c r="B26" t="s">
        <v>11081</v>
      </c>
      <c r="D26" s="47" t="s">
        <v>11189</v>
      </c>
      <c r="E26">
        <f t="shared" si="0"/>
        <v>1519</v>
      </c>
      <c r="F26" t="str">
        <f t="shared" si="1"/>
        <v>G000001519</v>
      </c>
    </row>
    <row r="27" spans="1:6">
      <c r="A27" t="s">
        <v>11188</v>
      </c>
      <c r="B27" t="s">
        <v>11082</v>
      </c>
      <c r="D27" s="47" t="s">
        <v>11189</v>
      </c>
      <c r="E27">
        <f t="shared" si="0"/>
        <v>1520</v>
      </c>
      <c r="F27" t="str">
        <f t="shared" si="1"/>
        <v>G000001520</v>
      </c>
    </row>
    <row r="28" spans="1:6">
      <c r="A28" t="s">
        <v>11188</v>
      </c>
      <c r="B28" t="s">
        <v>11083</v>
      </c>
      <c r="D28" s="47" t="s">
        <v>11189</v>
      </c>
      <c r="E28">
        <f t="shared" si="0"/>
        <v>1521</v>
      </c>
      <c r="F28" t="str">
        <f t="shared" si="1"/>
        <v>G000001521</v>
      </c>
    </row>
    <row r="29" spans="1:6">
      <c r="A29" t="s">
        <v>11188</v>
      </c>
      <c r="B29" t="s">
        <v>11084</v>
      </c>
      <c r="D29" s="47" t="s">
        <v>11189</v>
      </c>
      <c r="E29">
        <f t="shared" si="0"/>
        <v>1522</v>
      </c>
      <c r="F29" t="str">
        <f t="shared" si="1"/>
        <v>G000001522</v>
      </c>
    </row>
    <row r="30" spans="1:6">
      <c r="A30" t="s">
        <v>11188</v>
      </c>
      <c r="B30" t="s">
        <v>11085</v>
      </c>
      <c r="D30" s="47" t="s">
        <v>11189</v>
      </c>
      <c r="E30">
        <f t="shared" si="0"/>
        <v>1523</v>
      </c>
      <c r="F30" t="str">
        <f t="shared" si="1"/>
        <v>G000001523</v>
      </c>
    </row>
    <row r="31" spans="1:6">
      <c r="A31" t="s">
        <v>11188</v>
      </c>
      <c r="B31" t="s">
        <v>11086</v>
      </c>
      <c r="D31" s="47" t="s">
        <v>11189</v>
      </c>
      <c r="E31">
        <f t="shared" si="0"/>
        <v>1524</v>
      </c>
      <c r="F31" t="str">
        <f t="shared" si="1"/>
        <v>G000001524</v>
      </c>
    </row>
    <row r="32" spans="1:6">
      <c r="A32" t="s">
        <v>11188</v>
      </c>
      <c r="B32" t="s">
        <v>11087</v>
      </c>
      <c r="D32" s="47" t="s">
        <v>11189</v>
      </c>
      <c r="E32">
        <f t="shared" si="0"/>
        <v>1525</v>
      </c>
      <c r="F32" t="str">
        <f t="shared" si="1"/>
        <v>G000001525</v>
      </c>
    </row>
    <row r="33" spans="1:6">
      <c r="A33" t="s">
        <v>11188</v>
      </c>
      <c r="B33" t="s">
        <v>11088</v>
      </c>
      <c r="D33" s="47" t="s">
        <v>11189</v>
      </c>
      <c r="E33">
        <f t="shared" si="0"/>
        <v>1526</v>
      </c>
      <c r="F33" t="str">
        <f t="shared" si="1"/>
        <v>G000001526</v>
      </c>
    </row>
    <row r="34" spans="1:6">
      <c r="A34" t="s">
        <v>11188</v>
      </c>
      <c r="B34" t="s">
        <v>11089</v>
      </c>
      <c r="D34" s="47" t="s">
        <v>11189</v>
      </c>
      <c r="E34">
        <f t="shared" si="0"/>
        <v>1527</v>
      </c>
      <c r="F34" t="str">
        <f t="shared" si="1"/>
        <v>G000001527</v>
      </c>
    </row>
    <row r="35" spans="1:6">
      <c r="A35" t="s">
        <v>11188</v>
      </c>
      <c r="B35" t="s">
        <v>11090</v>
      </c>
      <c r="D35" s="47" t="s">
        <v>11189</v>
      </c>
      <c r="E35">
        <f t="shared" si="0"/>
        <v>1528</v>
      </c>
      <c r="F35" t="str">
        <f t="shared" si="1"/>
        <v>G000001528</v>
      </c>
    </row>
    <row r="36" spans="1:6">
      <c r="A36" t="s">
        <v>11188</v>
      </c>
      <c r="B36" t="s">
        <v>11091</v>
      </c>
      <c r="D36" s="47" t="s">
        <v>11189</v>
      </c>
      <c r="E36">
        <f t="shared" si="0"/>
        <v>1529</v>
      </c>
      <c r="F36" t="str">
        <f t="shared" si="1"/>
        <v>G000001529</v>
      </c>
    </row>
    <row r="37" spans="1:6">
      <c r="A37" t="s">
        <v>11188</v>
      </c>
      <c r="B37" t="s">
        <v>11092</v>
      </c>
      <c r="D37" s="47" t="s">
        <v>11189</v>
      </c>
      <c r="E37">
        <f t="shared" si="0"/>
        <v>1530</v>
      </c>
      <c r="F37" t="str">
        <f t="shared" si="1"/>
        <v>G000001530</v>
      </c>
    </row>
    <row r="38" spans="1:6">
      <c r="A38" t="s">
        <v>11188</v>
      </c>
      <c r="B38" t="s">
        <v>11093</v>
      </c>
      <c r="D38" s="47" t="s">
        <v>11189</v>
      </c>
      <c r="E38">
        <f t="shared" si="0"/>
        <v>1531</v>
      </c>
      <c r="F38" t="str">
        <f t="shared" si="1"/>
        <v>G000001531</v>
      </c>
    </row>
    <row r="39" spans="1:6">
      <c r="A39" t="s">
        <v>11188</v>
      </c>
      <c r="B39" t="s">
        <v>11094</v>
      </c>
      <c r="D39" s="47" t="s">
        <v>11189</v>
      </c>
      <c r="E39">
        <f t="shared" si="0"/>
        <v>1532</v>
      </c>
      <c r="F39" t="str">
        <f t="shared" si="1"/>
        <v>G000001532</v>
      </c>
    </row>
    <row r="40" spans="1:6">
      <c r="A40" t="s">
        <v>11188</v>
      </c>
      <c r="B40" t="s">
        <v>11095</v>
      </c>
      <c r="D40" s="47" t="s">
        <v>11189</v>
      </c>
      <c r="E40">
        <f t="shared" si="0"/>
        <v>1533</v>
      </c>
      <c r="F40" t="str">
        <f t="shared" si="1"/>
        <v>G000001533</v>
      </c>
    </row>
    <row r="41" spans="1:6">
      <c r="A41" t="s">
        <v>11188</v>
      </c>
      <c r="B41" t="s">
        <v>11096</v>
      </c>
      <c r="D41" s="47" t="s">
        <v>11189</v>
      </c>
      <c r="E41">
        <f t="shared" si="0"/>
        <v>1534</v>
      </c>
      <c r="F41" t="str">
        <f t="shared" si="1"/>
        <v>G000001534</v>
      </c>
    </row>
    <row r="42" spans="1:6">
      <c r="A42" t="s">
        <v>11188</v>
      </c>
      <c r="B42" t="s">
        <v>11097</v>
      </c>
      <c r="D42" s="47" t="s">
        <v>11189</v>
      </c>
      <c r="E42">
        <f t="shared" si="0"/>
        <v>1535</v>
      </c>
      <c r="F42" t="str">
        <f t="shared" si="1"/>
        <v>G000001535</v>
      </c>
    </row>
    <row r="43" spans="1:6">
      <c r="A43" t="s">
        <v>11188</v>
      </c>
      <c r="B43" t="s">
        <v>11098</v>
      </c>
      <c r="D43" s="47" t="s">
        <v>11189</v>
      </c>
      <c r="E43">
        <f t="shared" si="0"/>
        <v>1536</v>
      </c>
      <c r="F43" t="str">
        <f t="shared" si="1"/>
        <v>G000001536</v>
      </c>
    </row>
    <row r="44" spans="1:6">
      <c r="A44" t="s">
        <v>11188</v>
      </c>
      <c r="B44" t="s">
        <v>11099</v>
      </c>
      <c r="D44" s="47" t="s">
        <v>11189</v>
      </c>
      <c r="E44">
        <f t="shared" si="0"/>
        <v>1537</v>
      </c>
      <c r="F44" t="str">
        <f t="shared" si="1"/>
        <v>G000001537</v>
      </c>
    </row>
    <row r="45" spans="1:6">
      <c r="A45" t="s">
        <v>11188</v>
      </c>
      <c r="B45" t="s">
        <v>11100</v>
      </c>
      <c r="D45" s="47" t="s">
        <v>11189</v>
      </c>
      <c r="E45">
        <f t="shared" si="0"/>
        <v>1538</v>
      </c>
      <c r="F45" t="str">
        <f t="shared" si="1"/>
        <v>G000001538</v>
      </c>
    </row>
    <row r="46" spans="1:6">
      <c r="A46" t="s">
        <v>11188</v>
      </c>
      <c r="B46" t="s">
        <v>11101</v>
      </c>
      <c r="D46" s="47" t="s">
        <v>11189</v>
      </c>
      <c r="E46">
        <f t="shared" si="0"/>
        <v>1539</v>
      </c>
      <c r="F46" t="str">
        <f t="shared" si="1"/>
        <v>G000001539</v>
      </c>
    </row>
    <row r="47" spans="1:6">
      <c r="A47" t="s">
        <v>11188</v>
      </c>
      <c r="B47" t="s">
        <v>11102</v>
      </c>
      <c r="D47" s="47" t="s">
        <v>11189</v>
      </c>
      <c r="E47">
        <f t="shared" si="0"/>
        <v>1540</v>
      </c>
      <c r="F47" t="str">
        <f t="shared" si="1"/>
        <v>G000001540</v>
      </c>
    </row>
    <row r="48" spans="1:6">
      <c r="A48" t="s">
        <v>11188</v>
      </c>
      <c r="B48" t="s">
        <v>11103</v>
      </c>
      <c r="D48" s="47" t="s">
        <v>11189</v>
      </c>
      <c r="E48">
        <f t="shared" si="0"/>
        <v>1541</v>
      </c>
      <c r="F48" t="str">
        <f t="shared" si="1"/>
        <v>G000001541</v>
      </c>
    </row>
    <row r="49" spans="1:6">
      <c r="A49" t="s">
        <v>11188</v>
      </c>
      <c r="B49" t="s">
        <v>11104</v>
      </c>
      <c r="D49" s="47" t="s">
        <v>11189</v>
      </c>
      <c r="E49">
        <f t="shared" si="0"/>
        <v>1542</v>
      </c>
      <c r="F49" t="str">
        <f t="shared" si="1"/>
        <v>G000001542</v>
      </c>
    </row>
    <row r="50" spans="1:6">
      <c r="A50" t="s">
        <v>11188</v>
      </c>
      <c r="B50" t="s">
        <v>11105</v>
      </c>
      <c r="D50" s="47" t="s">
        <v>11189</v>
      </c>
      <c r="E50">
        <f t="shared" si="0"/>
        <v>1543</v>
      </c>
      <c r="F50" t="str">
        <f t="shared" si="1"/>
        <v>G000001543</v>
      </c>
    </row>
    <row r="51" spans="1:6">
      <c r="A51" t="s">
        <v>11188</v>
      </c>
      <c r="B51" t="s">
        <v>11106</v>
      </c>
      <c r="D51" s="47" t="s">
        <v>11189</v>
      </c>
      <c r="E51">
        <f t="shared" si="0"/>
        <v>1544</v>
      </c>
      <c r="F51" t="str">
        <f t="shared" si="1"/>
        <v>G000001544</v>
      </c>
    </row>
    <row r="52" spans="1:6">
      <c r="A52" t="s">
        <v>11188</v>
      </c>
      <c r="B52" t="s">
        <v>11107</v>
      </c>
      <c r="D52" s="47" t="s">
        <v>11189</v>
      </c>
      <c r="E52">
        <f t="shared" si="0"/>
        <v>1545</v>
      </c>
      <c r="F52" t="str">
        <f t="shared" si="1"/>
        <v>G000001545</v>
      </c>
    </row>
    <row r="53" spans="1:6">
      <c r="A53" t="s">
        <v>11188</v>
      </c>
      <c r="B53" t="s">
        <v>11108</v>
      </c>
      <c r="D53" s="47" t="s">
        <v>11189</v>
      </c>
      <c r="E53">
        <f t="shared" si="0"/>
        <v>1546</v>
      </c>
      <c r="F53" t="str">
        <f t="shared" si="1"/>
        <v>G000001546</v>
      </c>
    </row>
    <row r="54" spans="1:6">
      <c r="A54" t="s">
        <v>11188</v>
      </c>
      <c r="B54" t="s">
        <v>11109</v>
      </c>
      <c r="D54" s="47" t="s">
        <v>11189</v>
      </c>
      <c r="E54">
        <f t="shared" si="0"/>
        <v>1547</v>
      </c>
      <c r="F54" t="str">
        <f t="shared" si="1"/>
        <v>G000001547</v>
      </c>
    </row>
    <row r="55" spans="1:6">
      <c r="A55" t="s">
        <v>11188</v>
      </c>
      <c r="B55" t="s">
        <v>11110</v>
      </c>
      <c r="D55" s="47" t="s">
        <v>11189</v>
      </c>
      <c r="E55">
        <f t="shared" si="0"/>
        <v>1548</v>
      </c>
      <c r="F55" t="str">
        <f t="shared" si="1"/>
        <v>G000001548</v>
      </c>
    </row>
    <row r="56" spans="1:6">
      <c r="A56" t="s">
        <v>11188</v>
      </c>
      <c r="B56" t="s">
        <v>11111</v>
      </c>
      <c r="D56" s="47" t="s">
        <v>11189</v>
      </c>
      <c r="E56">
        <f t="shared" si="0"/>
        <v>1549</v>
      </c>
      <c r="F56" t="str">
        <f t="shared" si="1"/>
        <v>G000001549</v>
      </c>
    </row>
    <row r="57" spans="1:6">
      <c r="A57" t="s">
        <v>11188</v>
      </c>
      <c r="B57" t="s">
        <v>11112</v>
      </c>
      <c r="D57" s="47" t="s">
        <v>11189</v>
      </c>
      <c r="E57">
        <f t="shared" si="0"/>
        <v>1550</v>
      </c>
      <c r="F57" t="str">
        <f t="shared" si="1"/>
        <v>G000001550</v>
      </c>
    </row>
    <row r="58" spans="1:6">
      <c r="A58" t="s">
        <v>11188</v>
      </c>
      <c r="B58" t="s">
        <v>11113</v>
      </c>
      <c r="D58" s="47" t="s">
        <v>11189</v>
      </c>
      <c r="E58">
        <f t="shared" si="0"/>
        <v>1551</v>
      </c>
      <c r="F58" t="str">
        <f t="shared" si="1"/>
        <v>G000001551</v>
      </c>
    </row>
    <row r="59" spans="1:6">
      <c r="A59" t="s">
        <v>11188</v>
      </c>
      <c r="B59" t="s">
        <v>11114</v>
      </c>
      <c r="D59" s="47" t="s">
        <v>11189</v>
      </c>
      <c r="E59">
        <f t="shared" si="0"/>
        <v>1552</v>
      </c>
      <c r="F59" t="str">
        <f t="shared" si="1"/>
        <v>G000001552</v>
      </c>
    </row>
    <row r="60" spans="1:6">
      <c r="A60" t="s">
        <v>11188</v>
      </c>
      <c r="B60" t="s">
        <v>11115</v>
      </c>
      <c r="D60" s="47" t="s">
        <v>11189</v>
      </c>
      <c r="E60">
        <f t="shared" si="0"/>
        <v>1553</v>
      </c>
      <c r="F60" t="str">
        <f t="shared" si="1"/>
        <v>G000001553</v>
      </c>
    </row>
    <row r="61" spans="1:6">
      <c r="A61" t="s">
        <v>11188</v>
      </c>
      <c r="B61" t="s">
        <v>11116</v>
      </c>
      <c r="D61" s="47" t="s">
        <v>11189</v>
      </c>
      <c r="E61">
        <f t="shared" si="0"/>
        <v>1554</v>
      </c>
      <c r="F61" t="str">
        <f t="shared" si="1"/>
        <v>G000001554</v>
      </c>
    </row>
    <row r="62" spans="1:6">
      <c r="A62" t="s">
        <v>11188</v>
      </c>
      <c r="B62" t="s">
        <v>11117</v>
      </c>
      <c r="D62" s="47" t="s">
        <v>11189</v>
      </c>
      <c r="E62">
        <f t="shared" si="0"/>
        <v>1555</v>
      </c>
      <c r="F62" t="str">
        <f t="shared" si="1"/>
        <v>G000001555</v>
      </c>
    </row>
    <row r="63" spans="1:6">
      <c r="A63" t="s">
        <v>11188</v>
      </c>
      <c r="B63" t="s">
        <v>11118</v>
      </c>
      <c r="D63" s="47" t="s">
        <v>11189</v>
      </c>
      <c r="E63">
        <f t="shared" si="0"/>
        <v>1556</v>
      </c>
      <c r="F63" t="str">
        <f t="shared" si="1"/>
        <v>G000001556</v>
      </c>
    </row>
    <row r="64" spans="1:6">
      <c r="A64" t="s">
        <v>11188</v>
      </c>
      <c r="B64" t="s">
        <v>11119</v>
      </c>
      <c r="D64" s="47" t="s">
        <v>11189</v>
      </c>
      <c r="E64">
        <f t="shared" si="0"/>
        <v>1557</v>
      </c>
      <c r="F64" t="str">
        <f t="shared" si="1"/>
        <v>G000001557</v>
      </c>
    </row>
    <row r="65" spans="1:6">
      <c r="A65" t="s">
        <v>11188</v>
      </c>
      <c r="B65" t="s">
        <v>11120</v>
      </c>
      <c r="D65" s="47" t="s">
        <v>11189</v>
      </c>
      <c r="E65">
        <f t="shared" si="0"/>
        <v>1558</v>
      </c>
      <c r="F65" t="str">
        <f t="shared" si="1"/>
        <v>G000001558</v>
      </c>
    </row>
    <row r="66" spans="1:6">
      <c r="A66" t="s">
        <v>11188</v>
      </c>
      <c r="B66" t="s">
        <v>11121</v>
      </c>
      <c r="D66" s="47" t="s">
        <v>11189</v>
      </c>
      <c r="E66">
        <f t="shared" si="0"/>
        <v>1559</v>
      </c>
      <c r="F66" t="str">
        <f t="shared" si="1"/>
        <v>G000001559</v>
      </c>
    </row>
    <row r="67" spans="1:6">
      <c r="A67" t="s">
        <v>11188</v>
      </c>
      <c r="B67" t="s">
        <v>11122</v>
      </c>
      <c r="D67" s="47" t="s">
        <v>11189</v>
      </c>
      <c r="E67">
        <f t="shared" ref="E67:E69" si="2">+E66+1</f>
        <v>1560</v>
      </c>
      <c r="F67" t="str">
        <f t="shared" ref="F67:F69" si="3">+D67&amp;E67</f>
        <v>G000001560</v>
      </c>
    </row>
    <row r="68" spans="1:6">
      <c r="A68" t="s">
        <v>11188</v>
      </c>
      <c r="B68" t="s">
        <v>11123</v>
      </c>
      <c r="D68" s="47" t="s">
        <v>11189</v>
      </c>
      <c r="E68">
        <f t="shared" si="2"/>
        <v>1561</v>
      </c>
      <c r="F68" t="str">
        <f t="shared" si="3"/>
        <v>G000001561</v>
      </c>
    </row>
    <row r="69" spans="1:6">
      <c r="A69" t="s">
        <v>11188</v>
      </c>
      <c r="B69" t="s">
        <v>11124</v>
      </c>
      <c r="D69" s="47" t="s">
        <v>11189</v>
      </c>
      <c r="E69">
        <f t="shared" si="2"/>
        <v>1562</v>
      </c>
      <c r="F69" t="str">
        <f t="shared" si="3"/>
        <v>G000001562</v>
      </c>
    </row>
  </sheetData>
  <conditionalFormatting sqref="D1">
    <cfRule type="duplicateValues" dxfId="8" priority="3"/>
  </conditionalFormatting>
  <conditionalFormatting sqref="D2:D69">
    <cfRule type="duplicateValues" dxfId="6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1192D-DBE2-4AB0-8583-C26F0784E240}">
  <dimension ref="A1:I155"/>
  <sheetViews>
    <sheetView topLeftCell="A125" workbookViewId="0">
      <selection activeCell="B2" sqref="B2:D155"/>
    </sheetView>
  </sheetViews>
  <sheetFormatPr defaultRowHeight="15"/>
  <cols>
    <col min="1" max="1" width="5.28515625" bestFit="1" customWidth="1"/>
    <col min="2" max="2" width="11.28515625" bestFit="1" customWidth="1"/>
    <col min="3" max="3" width="33.28515625" bestFit="1" customWidth="1"/>
    <col min="4" max="4" width="34.42578125" bestFit="1" customWidth="1"/>
    <col min="7" max="7" width="11.28515625" bestFit="1" customWidth="1"/>
  </cols>
  <sheetData>
    <row r="1" spans="1:9">
      <c r="F1" s="47" t="s">
        <v>10451</v>
      </c>
      <c r="H1" t="str">
        <f t="shared" ref="H1:H64" si="0">LEFT(C1,10)</f>
        <v/>
      </c>
    </row>
    <row r="2" spans="1:9">
      <c r="A2" t="s">
        <v>10065</v>
      </c>
      <c r="B2" t="s">
        <v>10829</v>
      </c>
      <c r="C2" t="s">
        <v>10675</v>
      </c>
      <c r="D2" t="s">
        <v>10983</v>
      </c>
      <c r="E2" s="47" t="s">
        <v>10451</v>
      </c>
      <c r="F2">
        <v>5342</v>
      </c>
      <c r="G2" t="e">
        <v>#N/A</v>
      </c>
      <c r="H2" t="str">
        <f t="shared" si="0"/>
        <v>SA - BU Ra</v>
      </c>
      <c r="I2" t="str">
        <f>LEFT(D2,10)</f>
        <v>H000003342</v>
      </c>
    </row>
    <row r="3" spans="1:9">
      <c r="A3" t="s">
        <v>10066</v>
      </c>
      <c r="B3" t="s">
        <v>10830</v>
      </c>
      <c r="C3" t="s">
        <v>10676</v>
      </c>
      <c r="D3" t="s">
        <v>10829</v>
      </c>
      <c r="E3" s="47" t="s">
        <v>10451</v>
      </c>
      <c r="F3">
        <f>+F2+1</f>
        <v>5343</v>
      </c>
      <c r="G3" t="s">
        <v>10829</v>
      </c>
      <c r="H3" t="str">
        <f t="shared" si="0"/>
        <v>SA - Field</v>
      </c>
      <c r="I3" t="str">
        <f t="shared" ref="I3:I66" si="1">LEFT(D3,10)</f>
        <v>H000005342</v>
      </c>
    </row>
    <row r="4" spans="1:9">
      <c r="A4" t="s">
        <v>10067</v>
      </c>
      <c r="B4" t="s">
        <v>10831</v>
      </c>
      <c r="C4" t="s">
        <v>10677</v>
      </c>
      <c r="D4" t="s">
        <v>10829</v>
      </c>
      <c r="E4" s="47" t="s">
        <v>10451</v>
      </c>
      <c r="F4">
        <f t="shared" ref="F4:F67" si="2">+F3+1</f>
        <v>5344</v>
      </c>
      <c r="G4" t="s">
        <v>10829</v>
      </c>
      <c r="H4" t="str">
        <f t="shared" si="0"/>
        <v>SA - Marke</v>
      </c>
      <c r="I4" t="str">
        <f t="shared" si="1"/>
        <v>H000005342</v>
      </c>
    </row>
    <row r="5" spans="1:9">
      <c r="A5" t="s">
        <v>10068</v>
      </c>
      <c r="B5" t="s">
        <v>10832</v>
      </c>
      <c r="C5" t="s">
        <v>10678</v>
      </c>
      <c r="D5" t="s">
        <v>10829</v>
      </c>
      <c r="E5" s="47" t="s">
        <v>10451</v>
      </c>
      <c r="F5">
        <f t="shared" si="2"/>
        <v>5345</v>
      </c>
      <c r="G5" t="s">
        <v>10829</v>
      </c>
      <c r="H5" t="str">
        <f t="shared" si="0"/>
        <v>SA - Sales</v>
      </c>
      <c r="I5" t="str">
        <f t="shared" si="1"/>
        <v>H000005342</v>
      </c>
    </row>
    <row r="6" spans="1:9">
      <c r="A6" t="s">
        <v>10069</v>
      </c>
      <c r="B6" t="s">
        <v>10833</v>
      </c>
      <c r="C6" t="s">
        <v>10679</v>
      </c>
      <c r="D6" t="s">
        <v>10984</v>
      </c>
      <c r="E6" s="47" t="s">
        <v>10451</v>
      </c>
      <c r="F6">
        <f t="shared" si="2"/>
        <v>5346</v>
      </c>
      <c r="G6" t="e">
        <v>#N/A</v>
      </c>
      <c r="H6" t="str">
        <f t="shared" si="0"/>
        <v>SA - Medic</v>
      </c>
      <c r="I6" t="str">
        <f t="shared" si="1"/>
        <v>H000003362</v>
      </c>
    </row>
    <row r="7" spans="1:9">
      <c r="A7" t="s">
        <v>10070</v>
      </c>
      <c r="B7" t="s">
        <v>10834</v>
      </c>
      <c r="C7" t="s">
        <v>10680</v>
      </c>
      <c r="D7" t="s">
        <v>10833</v>
      </c>
      <c r="E7" s="47" t="s">
        <v>10451</v>
      </c>
      <c r="F7">
        <f t="shared" si="2"/>
        <v>5347</v>
      </c>
      <c r="G7" t="s">
        <v>10833</v>
      </c>
      <c r="H7" t="str">
        <f t="shared" si="0"/>
        <v>SA - Medic</v>
      </c>
      <c r="I7" t="str">
        <f t="shared" si="1"/>
        <v>H000005346</v>
      </c>
    </row>
    <row r="8" spans="1:9">
      <c r="A8" t="s">
        <v>10071</v>
      </c>
      <c r="B8" t="s">
        <v>10835</v>
      </c>
      <c r="C8" t="s">
        <v>10681</v>
      </c>
      <c r="D8" t="s">
        <v>10833</v>
      </c>
      <c r="E8" s="47" t="s">
        <v>10451</v>
      </c>
      <c r="F8">
        <f t="shared" si="2"/>
        <v>5348</v>
      </c>
      <c r="G8" t="s">
        <v>10833</v>
      </c>
      <c r="H8" t="str">
        <f t="shared" si="0"/>
        <v>SA - Medic</v>
      </c>
      <c r="I8" t="str">
        <f t="shared" si="1"/>
        <v>H000005346</v>
      </c>
    </row>
    <row r="9" spans="1:9">
      <c r="A9" t="s">
        <v>10072</v>
      </c>
      <c r="B9" t="s">
        <v>10836</v>
      </c>
      <c r="C9" t="s">
        <v>10682</v>
      </c>
      <c r="D9" t="s">
        <v>10985</v>
      </c>
      <c r="E9" s="47" t="s">
        <v>10451</v>
      </c>
      <c r="F9">
        <f t="shared" si="2"/>
        <v>5349</v>
      </c>
      <c r="G9" t="e">
        <v>#N/A</v>
      </c>
      <c r="H9" t="str">
        <f t="shared" si="0"/>
        <v>AE - BU Ra</v>
      </c>
      <c r="I9" t="str">
        <f t="shared" si="1"/>
        <v>H000003513</v>
      </c>
    </row>
    <row r="10" spans="1:9">
      <c r="A10" t="s">
        <v>10073</v>
      </c>
      <c r="B10" t="s">
        <v>10837</v>
      </c>
      <c r="C10" t="s">
        <v>10683</v>
      </c>
      <c r="D10" t="s">
        <v>10836</v>
      </c>
      <c r="E10" s="47" t="s">
        <v>10451</v>
      </c>
      <c r="F10">
        <f t="shared" si="2"/>
        <v>5350</v>
      </c>
      <c r="G10" t="s">
        <v>10836</v>
      </c>
      <c r="H10" t="str">
        <f t="shared" si="0"/>
        <v>AE - Field</v>
      </c>
      <c r="I10" t="str">
        <f t="shared" si="1"/>
        <v>H000005349</v>
      </c>
    </row>
    <row r="11" spans="1:9">
      <c r="A11" t="s">
        <v>10074</v>
      </c>
      <c r="B11" t="s">
        <v>10838</v>
      </c>
      <c r="C11" t="s">
        <v>10684</v>
      </c>
      <c r="D11" t="s">
        <v>10836</v>
      </c>
      <c r="E11" s="47" t="s">
        <v>10451</v>
      </c>
      <c r="F11">
        <f t="shared" si="2"/>
        <v>5351</v>
      </c>
      <c r="G11" t="s">
        <v>10836</v>
      </c>
      <c r="H11" t="str">
        <f t="shared" si="0"/>
        <v>AE - Marke</v>
      </c>
      <c r="I11" t="str">
        <f t="shared" si="1"/>
        <v>H000005349</v>
      </c>
    </row>
    <row r="12" spans="1:9">
      <c r="A12" t="s">
        <v>10075</v>
      </c>
      <c r="B12" t="s">
        <v>10839</v>
      </c>
      <c r="C12" t="s">
        <v>10685</v>
      </c>
      <c r="D12" t="s">
        <v>10836</v>
      </c>
      <c r="E12" s="47" t="s">
        <v>10451</v>
      </c>
      <c r="F12">
        <f t="shared" si="2"/>
        <v>5352</v>
      </c>
      <c r="G12" t="s">
        <v>10836</v>
      </c>
      <c r="H12" t="str">
        <f t="shared" si="0"/>
        <v>AE - Sales</v>
      </c>
      <c r="I12" t="str">
        <f t="shared" si="1"/>
        <v>H000005349</v>
      </c>
    </row>
    <row r="13" spans="1:9">
      <c r="A13" t="s">
        <v>10076</v>
      </c>
      <c r="B13" t="s">
        <v>10840</v>
      </c>
      <c r="C13" t="s">
        <v>10686</v>
      </c>
      <c r="D13" t="s">
        <v>10986</v>
      </c>
      <c r="E13" s="47" t="s">
        <v>10451</v>
      </c>
      <c r="F13">
        <f t="shared" si="2"/>
        <v>5353</v>
      </c>
      <c r="G13" t="e">
        <v>#N/A</v>
      </c>
      <c r="H13" t="str">
        <f t="shared" si="0"/>
        <v>AE - Medic</v>
      </c>
      <c r="I13" t="str">
        <f t="shared" si="1"/>
        <v>H000003523</v>
      </c>
    </row>
    <row r="14" spans="1:9">
      <c r="A14" t="s">
        <v>10077</v>
      </c>
      <c r="B14" t="s">
        <v>10841</v>
      </c>
      <c r="C14" t="s">
        <v>10687</v>
      </c>
      <c r="D14" t="s">
        <v>10840</v>
      </c>
      <c r="E14" s="47" t="s">
        <v>10451</v>
      </c>
      <c r="F14">
        <f t="shared" si="2"/>
        <v>5354</v>
      </c>
      <c r="G14" t="s">
        <v>10840</v>
      </c>
      <c r="H14" t="str">
        <f t="shared" si="0"/>
        <v>AE - Medic</v>
      </c>
      <c r="I14" t="str">
        <f t="shared" si="1"/>
        <v>H000005353</v>
      </c>
    </row>
    <row r="15" spans="1:9">
      <c r="A15" t="s">
        <v>10078</v>
      </c>
      <c r="B15" t="s">
        <v>10842</v>
      </c>
      <c r="C15" t="s">
        <v>10688</v>
      </c>
      <c r="D15" t="s">
        <v>10840</v>
      </c>
      <c r="E15" s="47" t="s">
        <v>10451</v>
      </c>
      <c r="F15">
        <f t="shared" si="2"/>
        <v>5355</v>
      </c>
      <c r="G15" t="s">
        <v>10840</v>
      </c>
      <c r="H15" t="str">
        <f t="shared" si="0"/>
        <v>AE - Medic</v>
      </c>
      <c r="I15" t="str">
        <f t="shared" si="1"/>
        <v>H000005353</v>
      </c>
    </row>
    <row r="16" spans="1:9">
      <c r="A16" t="s">
        <v>10079</v>
      </c>
      <c r="B16" t="s">
        <v>10843</v>
      </c>
      <c r="C16" t="s">
        <v>10689</v>
      </c>
      <c r="D16" t="s">
        <v>10987</v>
      </c>
      <c r="E16" s="47" t="s">
        <v>10451</v>
      </c>
      <c r="F16">
        <f t="shared" si="2"/>
        <v>5356</v>
      </c>
      <c r="G16" t="e">
        <v>#N/A</v>
      </c>
      <c r="H16" t="str">
        <f t="shared" si="0"/>
        <v>Gu - BU Ra</v>
      </c>
      <c r="I16" t="str">
        <f t="shared" si="1"/>
        <v>H000002953</v>
      </c>
    </row>
    <row r="17" spans="1:9">
      <c r="A17" t="s">
        <v>10080</v>
      </c>
      <c r="B17" t="s">
        <v>10844</v>
      </c>
      <c r="C17" t="s">
        <v>10690</v>
      </c>
      <c r="D17" t="s">
        <v>10843</v>
      </c>
      <c r="E17" s="47" t="s">
        <v>10451</v>
      </c>
      <c r="F17">
        <f t="shared" si="2"/>
        <v>5357</v>
      </c>
      <c r="G17" t="s">
        <v>10843</v>
      </c>
      <c r="H17" t="str">
        <f t="shared" si="0"/>
        <v>Gu - Field</v>
      </c>
      <c r="I17" t="str">
        <f t="shared" si="1"/>
        <v>H000005356</v>
      </c>
    </row>
    <row r="18" spans="1:9">
      <c r="A18" t="s">
        <v>10081</v>
      </c>
      <c r="B18" t="s">
        <v>10845</v>
      </c>
      <c r="C18" t="s">
        <v>10691</v>
      </c>
      <c r="D18" t="s">
        <v>10843</v>
      </c>
      <c r="E18" s="47" t="s">
        <v>10451</v>
      </c>
      <c r="F18">
        <f t="shared" si="2"/>
        <v>5358</v>
      </c>
      <c r="G18" t="s">
        <v>10843</v>
      </c>
      <c r="H18" t="str">
        <f t="shared" si="0"/>
        <v>Gu - Marke</v>
      </c>
      <c r="I18" t="str">
        <f t="shared" si="1"/>
        <v>H000005356</v>
      </c>
    </row>
    <row r="19" spans="1:9">
      <c r="A19" t="s">
        <v>10082</v>
      </c>
      <c r="B19" t="s">
        <v>10846</v>
      </c>
      <c r="C19" t="s">
        <v>10692</v>
      </c>
      <c r="D19" t="s">
        <v>10843</v>
      </c>
      <c r="E19" s="47" t="s">
        <v>10451</v>
      </c>
      <c r="F19">
        <f t="shared" si="2"/>
        <v>5359</v>
      </c>
      <c r="G19" t="s">
        <v>10843</v>
      </c>
      <c r="H19" t="str">
        <f t="shared" si="0"/>
        <v>Gu - Sales</v>
      </c>
      <c r="I19" t="str">
        <f t="shared" si="1"/>
        <v>H000005356</v>
      </c>
    </row>
    <row r="20" spans="1:9">
      <c r="A20" t="s">
        <v>10083</v>
      </c>
      <c r="B20" t="s">
        <v>10847</v>
      </c>
      <c r="C20" t="s">
        <v>10693</v>
      </c>
      <c r="D20" t="s">
        <v>10988</v>
      </c>
      <c r="E20" s="47" t="s">
        <v>10451</v>
      </c>
      <c r="F20">
        <f t="shared" si="2"/>
        <v>5360</v>
      </c>
      <c r="G20" t="e">
        <v>#N/A</v>
      </c>
      <c r="H20" t="str">
        <f t="shared" si="0"/>
        <v>Gu - Medic</v>
      </c>
      <c r="I20" t="str">
        <f t="shared" si="1"/>
        <v>H000002970</v>
      </c>
    </row>
    <row r="21" spans="1:9">
      <c r="A21" t="s">
        <v>10084</v>
      </c>
      <c r="B21" t="s">
        <v>10848</v>
      </c>
      <c r="C21" t="s">
        <v>10694</v>
      </c>
      <c r="D21" t="s">
        <v>10847</v>
      </c>
      <c r="E21" s="47" t="s">
        <v>10451</v>
      </c>
      <c r="F21">
        <f t="shared" si="2"/>
        <v>5361</v>
      </c>
      <c r="G21" t="s">
        <v>10847</v>
      </c>
      <c r="H21" t="str">
        <f t="shared" si="0"/>
        <v>Gu - Medic</v>
      </c>
      <c r="I21" t="str">
        <f t="shared" si="1"/>
        <v>H000005360</v>
      </c>
    </row>
    <row r="22" spans="1:9">
      <c r="A22" t="s">
        <v>10085</v>
      </c>
      <c r="B22" t="s">
        <v>10849</v>
      </c>
      <c r="C22" t="s">
        <v>10695</v>
      </c>
      <c r="D22" t="s">
        <v>10847</v>
      </c>
      <c r="E22" s="47" t="s">
        <v>10451</v>
      </c>
      <c r="F22">
        <f t="shared" si="2"/>
        <v>5362</v>
      </c>
      <c r="G22" t="s">
        <v>10847</v>
      </c>
      <c r="H22" t="str">
        <f t="shared" si="0"/>
        <v>Gu - Medic</v>
      </c>
      <c r="I22" t="str">
        <f t="shared" si="1"/>
        <v>H000005360</v>
      </c>
    </row>
    <row r="23" spans="1:9">
      <c r="A23" t="s">
        <v>10086</v>
      </c>
      <c r="B23" t="s">
        <v>10850</v>
      </c>
      <c r="C23" t="s">
        <v>10696</v>
      </c>
      <c r="D23" t="s">
        <v>10989</v>
      </c>
      <c r="E23" s="47" t="s">
        <v>10451</v>
      </c>
      <c r="F23">
        <f t="shared" si="2"/>
        <v>5363</v>
      </c>
      <c r="G23" t="e">
        <v>#N/A</v>
      </c>
      <c r="H23" t="str">
        <f t="shared" si="0"/>
        <v>RU - BU Ra</v>
      </c>
      <c r="I23" t="str">
        <f t="shared" si="1"/>
        <v>H000003301</v>
      </c>
    </row>
    <row r="24" spans="1:9">
      <c r="A24" t="s">
        <v>10087</v>
      </c>
      <c r="B24" t="s">
        <v>10851</v>
      </c>
      <c r="C24" t="s">
        <v>10697</v>
      </c>
      <c r="D24" t="s">
        <v>10850</v>
      </c>
      <c r="E24" s="47" t="s">
        <v>10451</v>
      </c>
      <c r="F24">
        <f t="shared" si="2"/>
        <v>5364</v>
      </c>
      <c r="G24" t="s">
        <v>10850</v>
      </c>
      <c r="H24" t="str">
        <f t="shared" si="0"/>
        <v>RU - Field</v>
      </c>
      <c r="I24" t="str">
        <f t="shared" si="1"/>
        <v>H000005363</v>
      </c>
    </row>
    <row r="25" spans="1:9">
      <c r="A25" t="s">
        <v>10088</v>
      </c>
      <c r="B25" t="s">
        <v>10852</v>
      </c>
      <c r="C25" t="s">
        <v>10698</v>
      </c>
      <c r="D25" t="s">
        <v>10850</v>
      </c>
      <c r="E25" s="47" t="s">
        <v>10451</v>
      </c>
      <c r="F25">
        <f t="shared" si="2"/>
        <v>5365</v>
      </c>
      <c r="G25" t="s">
        <v>10850</v>
      </c>
      <c r="H25" t="str">
        <f t="shared" si="0"/>
        <v>RU - Marke</v>
      </c>
      <c r="I25" t="str">
        <f t="shared" si="1"/>
        <v>H000005363</v>
      </c>
    </row>
    <row r="26" spans="1:9">
      <c r="A26" t="s">
        <v>10089</v>
      </c>
      <c r="B26" t="s">
        <v>10853</v>
      </c>
      <c r="C26" t="s">
        <v>10699</v>
      </c>
      <c r="D26" t="s">
        <v>10850</v>
      </c>
      <c r="E26" s="47" t="s">
        <v>10451</v>
      </c>
      <c r="F26">
        <f t="shared" si="2"/>
        <v>5366</v>
      </c>
      <c r="G26" t="s">
        <v>10850</v>
      </c>
      <c r="H26" t="str">
        <f t="shared" si="0"/>
        <v>RU - Sales</v>
      </c>
      <c r="I26" t="str">
        <f t="shared" si="1"/>
        <v>H000005363</v>
      </c>
    </row>
    <row r="27" spans="1:9">
      <c r="A27" t="s">
        <v>10090</v>
      </c>
      <c r="B27" t="s">
        <v>10854</v>
      </c>
      <c r="C27" t="s">
        <v>10700</v>
      </c>
      <c r="D27" t="s">
        <v>10990</v>
      </c>
      <c r="E27" s="47" t="s">
        <v>10451</v>
      </c>
      <c r="F27">
        <f t="shared" si="2"/>
        <v>5367</v>
      </c>
      <c r="G27" t="e">
        <v>#N/A</v>
      </c>
      <c r="H27" t="str">
        <f t="shared" si="0"/>
        <v>RU - Medic</v>
      </c>
      <c r="I27" t="str">
        <f t="shared" si="1"/>
        <v>H000003320</v>
      </c>
    </row>
    <row r="28" spans="1:9">
      <c r="A28" t="s">
        <v>10091</v>
      </c>
      <c r="B28" t="s">
        <v>10855</v>
      </c>
      <c r="C28" t="s">
        <v>10701</v>
      </c>
      <c r="D28" t="s">
        <v>10854</v>
      </c>
      <c r="E28" s="47" t="s">
        <v>10451</v>
      </c>
      <c r="F28">
        <f t="shared" si="2"/>
        <v>5368</v>
      </c>
      <c r="G28" t="s">
        <v>10854</v>
      </c>
      <c r="H28" t="str">
        <f t="shared" si="0"/>
        <v>RU - Medic</v>
      </c>
      <c r="I28" t="str">
        <f t="shared" si="1"/>
        <v>H000005367</v>
      </c>
    </row>
    <row r="29" spans="1:9">
      <c r="A29" t="s">
        <v>10092</v>
      </c>
      <c r="B29" t="s">
        <v>10856</v>
      </c>
      <c r="C29" t="s">
        <v>10702</v>
      </c>
      <c r="D29" t="s">
        <v>10854</v>
      </c>
      <c r="E29" s="47" t="s">
        <v>10451</v>
      </c>
      <c r="F29">
        <f t="shared" si="2"/>
        <v>5369</v>
      </c>
      <c r="G29" t="s">
        <v>10854</v>
      </c>
      <c r="H29" t="str">
        <f t="shared" si="0"/>
        <v>RU - Medic</v>
      </c>
      <c r="I29" t="str">
        <f t="shared" si="1"/>
        <v>H000005367</v>
      </c>
    </row>
    <row r="30" spans="1:9">
      <c r="A30" t="s">
        <v>10093</v>
      </c>
      <c r="B30" t="s">
        <v>10857</v>
      </c>
      <c r="C30" t="s">
        <v>10703</v>
      </c>
      <c r="D30" t="s">
        <v>10991</v>
      </c>
      <c r="E30" s="47" t="s">
        <v>10451</v>
      </c>
      <c r="F30">
        <f t="shared" si="2"/>
        <v>5370</v>
      </c>
      <c r="G30" t="e">
        <v>#N/A</v>
      </c>
      <c r="H30" t="str">
        <f t="shared" si="0"/>
        <v>EG - BU Ra</v>
      </c>
      <c r="I30" t="str">
        <f t="shared" si="1"/>
        <v>H000002933</v>
      </c>
    </row>
    <row r="31" spans="1:9">
      <c r="A31" t="s">
        <v>10094</v>
      </c>
      <c r="B31" t="s">
        <v>10858</v>
      </c>
      <c r="C31" t="s">
        <v>10704</v>
      </c>
      <c r="D31" t="s">
        <v>10857</v>
      </c>
      <c r="E31" s="47" t="s">
        <v>10451</v>
      </c>
      <c r="F31">
        <f t="shared" si="2"/>
        <v>5371</v>
      </c>
      <c r="G31" t="s">
        <v>10857</v>
      </c>
      <c r="H31" t="str">
        <f t="shared" si="0"/>
        <v>EG - Field</v>
      </c>
      <c r="I31" t="str">
        <f t="shared" si="1"/>
        <v>H000005370</v>
      </c>
    </row>
    <row r="32" spans="1:9">
      <c r="A32" t="s">
        <v>10095</v>
      </c>
      <c r="B32" t="s">
        <v>10859</v>
      </c>
      <c r="C32" t="s">
        <v>10705</v>
      </c>
      <c r="D32" t="s">
        <v>10857</v>
      </c>
      <c r="E32" s="47" t="s">
        <v>10451</v>
      </c>
      <c r="F32">
        <f t="shared" si="2"/>
        <v>5372</v>
      </c>
      <c r="G32" t="s">
        <v>10857</v>
      </c>
      <c r="H32" t="str">
        <f t="shared" si="0"/>
        <v>EG - Marke</v>
      </c>
      <c r="I32" t="str">
        <f t="shared" si="1"/>
        <v>H000005370</v>
      </c>
    </row>
    <row r="33" spans="1:9">
      <c r="A33" t="s">
        <v>10096</v>
      </c>
      <c r="B33" t="s">
        <v>10860</v>
      </c>
      <c r="C33" t="s">
        <v>10706</v>
      </c>
      <c r="D33" t="s">
        <v>10857</v>
      </c>
      <c r="E33" s="47" t="s">
        <v>10451</v>
      </c>
      <c r="F33">
        <f t="shared" si="2"/>
        <v>5373</v>
      </c>
      <c r="G33" t="s">
        <v>10857</v>
      </c>
      <c r="H33" t="str">
        <f t="shared" si="0"/>
        <v>EG - Sales</v>
      </c>
      <c r="I33" t="str">
        <f t="shared" si="1"/>
        <v>H000005370</v>
      </c>
    </row>
    <row r="34" spans="1:9">
      <c r="A34" t="s">
        <v>10097</v>
      </c>
      <c r="B34" t="s">
        <v>10861</v>
      </c>
      <c r="C34" t="s">
        <v>10707</v>
      </c>
      <c r="D34" t="s">
        <v>10992</v>
      </c>
      <c r="E34" s="47" t="s">
        <v>10451</v>
      </c>
      <c r="F34">
        <f t="shared" si="2"/>
        <v>5374</v>
      </c>
      <c r="G34" t="e">
        <v>#N/A</v>
      </c>
      <c r="H34" t="str">
        <f t="shared" si="0"/>
        <v>EG - Medic</v>
      </c>
      <c r="I34" t="str">
        <f t="shared" si="1"/>
        <v>H000002946</v>
      </c>
    </row>
    <row r="35" spans="1:9">
      <c r="A35" t="s">
        <v>10098</v>
      </c>
      <c r="B35" t="s">
        <v>10862</v>
      </c>
      <c r="C35" t="s">
        <v>10708</v>
      </c>
      <c r="D35" t="s">
        <v>10861</v>
      </c>
      <c r="E35" s="47" t="s">
        <v>10451</v>
      </c>
      <c r="F35">
        <f t="shared" si="2"/>
        <v>5375</v>
      </c>
      <c r="G35" t="s">
        <v>10861</v>
      </c>
      <c r="H35" t="str">
        <f t="shared" si="0"/>
        <v>EG - Medic</v>
      </c>
      <c r="I35" t="str">
        <f t="shared" si="1"/>
        <v>H000005374</v>
      </c>
    </row>
    <row r="36" spans="1:9">
      <c r="A36" t="s">
        <v>10099</v>
      </c>
      <c r="B36" t="s">
        <v>10863</v>
      </c>
      <c r="C36" t="s">
        <v>10709</v>
      </c>
      <c r="D36" t="s">
        <v>10861</v>
      </c>
      <c r="E36" s="47" t="s">
        <v>10451</v>
      </c>
      <c r="F36">
        <f t="shared" si="2"/>
        <v>5376</v>
      </c>
      <c r="G36" t="s">
        <v>10861</v>
      </c>
      <c r="H36" t="str">
        <f t="shared" si="0"/>
        <v>EG - Medic</v>
      </c>
      <c r="I36" t="str">
        <f t="shared" si="1"/>
        <v>H000005374</v>
      </c>
    </row>
    <row r="37" spans="1:9">
      <c r="A37" t="s">
        <v>10100</v>
      </c>
      <c r="B37" t="s">
        <v>10864</v>
      </c>
      <c r="C37" t="s">
        <v>10710</v>
      </c>
      <c r="D37" t="s">
        <v>10993</v>
      </c>
      <c r="E37" s="47" t="s">
        <v>10451</v>
      </c>
      <c r="F37">
        <f t="shared" si="2"/>
        <v>5377</v>
      </c>
      <c r="G37" t="e">
        <v>#N/A</v>
      </c>
      <c r="H37" t="str">
        <f t="shared" si="0"/>
        <v>ZA - BU Ra</v>
      </c>
      <c r="I37" t="str">
        <f t="shared" si="1"/>
        <v>H000003383</v>
      </c>
    </row>
    <row r="38" spans="1:9">
      <c r="A38" t="s">
        <v>10101</v>
      </c>
      <c r="B38" t="s">
        <v>10865</v>
      </c>
      <c r="C38" t="s">
        <v>10711</v>
      </c>
      <c r="D38" t="s">
        <v>10864</v>
      </c>
      <c r="E38" s="47" t="s">
        <v>10451</v>
      </c>
      <c r="F38">
        <f t="shared" si="2"/>
        <v>5378</v>
      </c>
      <c r="G38" t="s">
        <v>10864</v>
      </c>
      <c r="H38" t="str">
        <f t="shared" si="0"/>
        <v>ZA - Field</v>
      </c>
      <c r="I38" t="str">
        <f t="shared" si="1"/>
        <v>H000005377</v>
      </c>
    </row>
    <row r="39" spans="1:9">
      <c r="A39" t="s">
        <v>10102</v>
      </c>
      <c r="B39" t="s">
        <v>10866</v>
      </c>
      <c r="C39" t="s">
        <v>10712</v>
      </c>
      <c r="D39" t="s">
        <v>10864</v>
      </c>
      <c r="E39" s="47" t="s">
        <v>10451</v>
      </c>
      <c r="F39">
        <f t="shared" si="2"/>
        <v>5379</v>
      </c>
      <c r="G39" t="s">
        <v>10864</v>
      </c>
      <c r="H39" t="str">
        <f t="shared" si="0"/>
        <v>ZA - Marke</v>
      </c>
      <c r="I39" t="str">
        <f t="shared" si="1"/>
        <v>H000005377</v>
      </c>
    </row>
    <row r="40" spans="1:9">
      <c r="A40" t="s">
        <v>10103</v>
      </c>
      <c r="B40" t="s">
        <v>10867</v>
      </c>
      <c r="C40" t="s">
        <v>10713</v>
      </c>
      <c r="D40" t="s">
        <v>10864</v>
      </c>
      <c r="E40" s="47" t="s">
        <v>10451</v>
      </c>
      <c r="F40">
        <f t="shared" si="2"/>
        <v>5380</v>
      </c>
      <c r="G40" t="s">
        <v>10864</v>
      </c>
      <c r="H40" t="str">
        <f t="shared" si="0"/>
        <v>ZA - Sales</v>
      </c>
      <c r="I40" t="str">
        <f t="shared" si="1"/>
        <v>H000005377</v>
      </c>
    </row>
    <row r="41" spans="1:9">
      <c r="A41" t="s">
        <v>10104</v>
      </c>
      <c r="B41" t="s">
        <v>10868</v>
      </c>
      <c r="C41" t="s">
        <v>10714</v>
      </c>
      <c r="D41" t="s">
        <v>10994</v>
      </c>
      <c r="E41" s="47" t="s">
        <v>10451</v>
      </c>
      <c r="F41">
        <f t="shared" si="2"/>
        <v>5381</v>
      </c>
      <c r="G41" t="e">
        <v>#N/A</v>
      </c>
      <c r="H41" t="str">
        <f t="shared" si="0"/>
        <v>ZA - Medic</v>
      </c>
      <c r="I41" t="str">
        <f t="shared" si="1"/>
        <v>H000003396</v>
      </c>
    </row>
    <row r="42" spans="1:9">
      <c r="A42" t="s">
        <v>10105</v>
      </c>
      <c r="B42" t="s">
        <v>10869</v>
      </c>
      <c r="C42" t="s">
        <v>10715</v>
      </c>
      <c r="D42" t="s">
        <v>10868</v>
      </c>
      <c r="E42" s="47" t="s">
        <v>10451</v>
      </c>
      <c r="F42">
        <f t="shared" si="2"/>
        <v>5382</v>
      </c>
      <c r="G42" t="s">
        <v>10868</v>
      </c>
      <c r="H42" t="str">
        <f t="shared" si="0"/>
        <v>ZA - Medic</v>
      </c>
      <c r="I42" t="str">
        <f t="shared" si="1"/>
        <v>H000005381</v>
      </c>
    </row>
    <row r="43" spans="1:9">
      <c r="A43" t="s">
        <v>10106</v>
      </c>
      <c r="B43" t="s">
        <v>10870</v>
      </c>
      <c r="C43" t="s">
        <v>10716</v>
      </c>
      <c r="D43" t="s">
        <v>10868</v>
      </c>
      <c r="E43" s="47" t="s">
        <v>10451</v>
      </c>
      <c r="F43">
        <f t="shared" si="2"/>
        <v>5383</v>
      </c>
      <c r="G43" t="s">
        <v>10868</v>
      </c>
      <c r="H43" t="str">
        <f t="shared" si="0"/>
        <v>ZA - Medic</v>
      </c>
      <c r="I43" t="str">
        <f t="shared" si="1"/>
        <v>H000005381</v>
      </c>
    </row>
    <row r="44" spans="1:9">
      <c r="A44" t="s">
        <v>10107</v>
      </c>
      <c r="B44" t="s">
        <v>10871</v>
      </c>
      <c r="C44" t="s">
        <v>10717</v>
      </c>
      <c r="D44" t="s">
        <v>10995</v>
      </c>
      <c r="E44" s="47" t="s">
        <v>10451</v>
      </c>
      <c r="F44">
        <f t="shared" si="2"/>
        <v>5384</v>
      </c>
      <c r="G44" t="e">
        <v>#N/A</v>
      </c>
      <c r="H44" t="str">
        <f t="shared" si="0"/>
        <v>IQ - BU Ra</v>
      </c>
      <c r="I44" t="str">
        <f t="shared" si="1"/>
        <v>H000003021</v>
      </c>
    </row>
    <row r="45" spans="1:9">
      <c r="A45" t="s">
        <v>10108</v>
      </c>
      <c r="B45" t="s">
        <v>10872</v>
      </c>
      <c r="C45" t="s">
        <v>10718</v>
      </c>
      <c r="D45" t="s">
        <v>10871</v>
      </c>
      <c r="E45" s="47" t="s">
        <v>10451</v>
      </c>
      <c r="F45">
        <f t="shared" si="2"/>
        <v>5385</v>
      </c>
      <c r="G45" t="s">
        <v>10871</v>
      </c>
      <c r="H45" t="str">
        <f t="shared" si="0"/>
        <v>IQ - Field</v>
      </c>
      <c r="I45" t="str">
        <f t="shared" si="1"/>
        <v>H000005384</v>
      </c>
    </row>
    <row r="46" spans="1:9">
      <c r="A46" t="s">
        <v>10109</v>
      </c>
      <c r="B46" t="s">
        <v>10873</v>
      </c>
      <c r="C46" t="s">
        <v>10719</v>
      </c>
      <c r="D46" t="s">
        <v>10871</v>
      </c>
      <c r="E46" s="47" t="s">
        <v>10451</v>
      </c>
      <c r="F46">
        <f t="shared" si="2"/>
        <v>5386</v>
      </c>
      <c r="G46" t="s">
        <v>10871</v>
      </c>
      <c r="H46" t="str">
        <f t="shared" si="0"/>
        <v>IQ - Marke</v>
      </c>
      <c r="I46" t="str">
        <f t="shared" si="1"/>
        <v>H000005384</v>
      </c>
    </row>
    <row r="47" spans="1:9">
      <c r="A47" t="s">
        <v>10110</v>
      </c>
      <c r="B47" t="s">
        <v>10874</v>
      </c>
      <c r="C47" t="s">
        <v>10720</v>
      </c>
      <c r="D47" t="s">
        <v>10871</v>
      </c>
      <c r="E47" s="47" t="s">
        <v>10451</v>
      </c>
      <c r="F47">
        <f t="shared" si="2"/>
        <v>5387</v>
      </c>
      <c r="G47" t="s">
        <v>10871</v>
      </c>
      <c r="H47" t="str">
        <f t="shared" si="0"/>
        <v>IQ - Sales</v>
      </c>
      <c r="I47" t="str">
        <f t="shared" si="1"/>
        <v>H000005384</v>
      </c>
    </row>
    <row r="48" spans="1:9">
      <c r="A48" t="s">
        <v>10111</v>
      </c>
      <c r="B48" t="s">
        <v>10875</v>
      </c>
      <c r="C48" t="s">
        <v>10721</v>
      </c>
      <c r="D48" t="s">
        <v>10996</v>
      </c>
      <c r="E48" s="47" t="s">
        <v>10451</v>
      </c>
      <c r="F48">
        <f t="shared" si="2"/>
        <v>5388</v>
      </c>
      <c r="G48" t="e">
        <v>#N/A</v>
      </c>
      <c r="H48" t="str">
        <f t="shared" si="0"/>
        <v>IQ - Medic</v>
      </c>
      <c r="I48" t="str">
        <f t="shared" si="1"/>
        <v>H000003036</v>
      </c>
    </row>
    <row r="49" spans="1:9">
      <c r="A49" t="s">
        <v>10112</v>
      </c>
      <c r="B49" t="s">
        <v>10876</v>
      </c>
      <c r="C49" t="s">
        <v>10722</v>
      </c>
      <c r="D49" t="s">
        <v>10875</v>
      </c>
      <c r="E49" s="47" t="s">
        <v>10451</v>
      </c>
      <c r="F49">
        <f t="shared" si="2"/>
        <v>5389</v>
      </c>
      <c r="G49" t="s">
        <v>10875</v>
      </c>
      <c r="H49" t="str">
        <f t="shared" si="0"/>
        <v>IQ - Medic</v>
      </c>
      <c r="I49" t="str">
        <f t="shared" si="1"/>
        <v>H000005388</v>
      </c>
    </row>
    <row r="50" spans="1:9">
      <c r="A50" t="s">
        <v>10113</v>
      </c>
      <c r="B50" t="s">
        <v>10877</v>
      </c>
      <c r="C50" t="s">
        <v>10723</v>
      </c>
      <c r="D50" t="s">
        <v>10875</v>
      </c>
      <c r="E50" s="47" t="s">
        <v>10451</v>
      </c>
      <c r="F50">
        <f t="shared" si="2"/>
        <v>5390</v>
      </c>
      <c r="G50" t="s">
        <v>10875</v>
      </c>
      <c r="H50" t="str">
        <f t="shared" si="0"/>
        <v>IQ - Medic</v>
      </c>
      <c r="I50" t="str">
        <f t="shared" si="1"/>
        <v>H000005388</v>
      </c>
    </row>
    <row r="51" spans="1:9">
      <c r="A51" t="s">
        <v>10114</v>
      </c>
      <c r="B51" t="s">
        <v>10878</v>
      </c>
      <c r="C51" t="s">
        <v>10724</v>
      </c>
      <c r="D51" t="s">
        <v>10997</v>
      </c>
      <c r="E51" s="47" t="s">
        <v>10451</v>
      </c>
      <c r="F51">
        <f t="shared" si="2"/>
        <v>5391</v>
      </c>
      <c r="G51" t="e">
        <v>#N/A</v>
      </c>
      <c r="H51" t="str">
        <f t="shared" si="0"/>
        <v>IR - BU Ra</v>
      </c>
      <c r="I51" t="str">
        <f t="shared" si="1"/>
        <v>H000002982</v>
      </c>
    </row>
    <row r="52" spans="1:9">
      <c r="A52" t="s">
        <v>10115</v>
      </c>
      <c r="B52" t="s">
        <v>10879</v>
      </c>
      <c r="C52" t="s">
        <v>10725</v>
      </c>
      <c r="D52" t="s">
        <v>10878</v>
      </c>
      <c r="E52" s="47" t="s">
        <v>10451</v>
      </c>
      <c r="F52">
        <f t="shared" si="2"/>
        <v>5392</v>
      </c>
      <c r="G52" t="s">
        <v>10878</v>
      </c>
      <c r="H52" t="str">
        <f t="shared" si="0"/>
        <v>IR - Field</v>
      </c>
      <c r="I52" t="str">
        <f t="shared" si="1"/>
        <v>H000005391</v>
      </c>
    </row>
    <row r="53" spans="1:9">
      <c r="A53" t="s">
        <v>10116</v>
      </c>
      <c r="B53" t="s">
        <v>10880</v>
      </c>
      <c r="C53" t="s">
        <v>10726</v>
      </c>
      <c r="D53" t="s">
        <v>10878</v>
      </c>
      <c r="E53" s="47" t="s">
        <v>10451</v>
      </c>
      <c r="F53">
        <f t="shared" si="2"/>
        <v>5393</v>
      </c>
      <c r="G53" t="s">
        <v>10878</v>
      </c>
      <c r="H53" t="str">
        <f t="shared" si="0"/>
        <v>IR - Marke</v>
      </c>
      <c r="I53" t="str">
        <f t="shared" si="1"/>
        <v>H000005391</v>
      </c>
    </row>
    <row r="54" spans="1:9">
      <c r="A54" t="s">
        <v>10117</v>
      </c>
      <c r="B54" t="s">
        <v>10881</v>
      </c>
      <c r="C54" t="s">
        <v>10727</v>
      </c>
      <c r="D54" t="s">
        <v>10878</v>
      </c>
      <c r="E54" s="47" t="s">
        <v>10451</v>
      </c>
      <c r="F54">
        <f t="shared" si="2"/>
        <v>5394</v>
      </c>
      <c r="G54" t="s">
        <v>10878</v>
      </c>
      <c r="H54" t="str">
        <f t="shared" si="0"/>
        <v>IR - Sales</v>
      </c>
      <c r="I54" t="str">
        <f t="shared" si="1"/>
        <v>H000005391</v>
      </c>
    </row>
    <row r="55" spans="1:9">
      <c r="A55" t="s">
        <v>10118</v>
      </c>
      <c r="B55" t="s">
        <v>10882</v>
      </c>
      <c r="C55" t="s">
        <v>10728</v>
      </c>
      <c r="D55" t="s">
        <v>10998</v>
      </c>
      <c r="E55" s="47" t="s">
        <v>10451</v>
      </c>
      <c r="F55">
        <f t="shared" si="2"/>
        <v>5395</v>
      </c>
      <c r="G55" t="e">
        <v>#N/A</v>
      </c>
      <c r="H55" t="str">
        <f t="shared" si="0"/>
        <v>IR - Medic</v>
      </c>
      <c r="I55" t="str">
        <f t="shared" si="1"/>
        <v>H000002999</v>
      </c>
    </row>
    <row r="56" spans="1:9">
      <c r="A56" t="s">
        <v>10119</v>
      </c>
      <c r="B56" t="s">
        <v>10883</v>
      </c>
      <c r="C56" t="s">
        <v>10729</v>
      </c>
      <c r="D56" t="s">
        <v>10882</v>
      </c>
      <c r="E56" s="47" t="s">
        <v>10451</v>
      </c>
      <c r="F56">
        <f t="shared" si="2"/>
        <v>5396</v>
      </c>
      <c r="G56" t="s">
        <v>10882</v>
      </c>
      <c r="H56" t="str">
        <f t="shared" si="0"/>
        <v>IR - Medic</v>
      </c>
      <c r="I56" t="str">
        <f t="shared" si="1"/>
        <v>H000005395</v>
      </c>
    </row>
    <row r="57" spans="1:9">
      <c r="A57" t="s">
        <v>10120</v>
      </c>
      <c r="B57" t="s">
        <v>10884</v>
      </c>
      <c r="C57" t="s">
        <v>10730</v>
      </c>
      <c r="D57" t="s">
        <v>10882</v>
      </c>
      <c r="E57" s="47" t="s">
        <v>10451</v>
      </c>
      <c r="F57">
        <f t="shared" si="2"/>
        <v>5397</v>
      </c>
      <c r="G57" t="s">
        <v>10882</v>
      </c>
      <c r="H57" t="str">
        <f t="shared" si="0"/>
        <v>IR - Medic</v>
      </c>
      <c r="I57" t="str">
        <f t="shared" si="1"/>
        <v>H000005395</v>
      </c>
    </row>
    <row r="58" spans="1:9">
      <c r="A58" t="s">
        <v>10121</v>
      </c>
      <c r="B58" t="s">
        <v>10885</v>
      </c>
      <c r="C58" t="s">
        <v>10731</v>
      </c>
      <c r="D58" t="s">
        <v>10999</v>
      </c>
      <c r="E58" s="47" t="s">
        <v>10451</v>
      </c>
      <c r="F58">
        <f t="shared" si="2"/>
        <v>5398</v>
      </c>
      <c r="G58" t="e">
        <v>#N/A</v>
      </c>
      <c r="H58" t="str">
        <f t="shared" si="0"/>
        <v>JO - BU Ra</v>
      </c>
      <c r="I58" t="str">
        <f t="shared" si="1"/>
        <v>H000003076</v>
      </c>
    </row>
    <row r="59" spans="1:9">
      <c r="A59" t="s">
        <v>10122</v>
      </c>
      <c r="B59" t="s">
        <v>10886</v>
      </c>
      <c r="C59" t="s">
        <v>10732</v>
      </c>
      <c r="D59" t="s">
        <v>10885</v>
      </c>
      <c r="E59" s="47" t="s">
        <v>10451</v>
      </c>
      <c r="F59">
        <f t="shared" si="2"/>
        <v>5399</v>
      </c>
      <c r="G59" t="s">
        <v>10885</v>
      </c>
      <c r="H59" t="str">
        <f t="shared" si="0"/>
        <v>JO - Field</v>
      </c>
      <c r="I59" t="str">
        <f t="shared" si="1"/>
        <v>H000005398</v>
      </c>
    </row>
    <row r="60" spans="1:9">
      <c r="A60" t="s">
        <v>10123</v>
      </c>
      <c r="B60" t="s">
        <v>10887</v>
      </c>
      <c r="C60" t="s">
        <v>10733</v>
      </c>
      <c r="D60" t="s">
        <v>10885</v>
      </c>
      <c r="E60" s="47" t="s">
        <v>10451</v>
      </c>
      <c r="F60">
        <f t="shared" si="2"/>
        <v>5400</v>
      </c>
      <c r="G60" t="s">
        <v>10885</v>
      </c>
      <c r="H60" t="str">
        <f t="shared" si="0"/>
        <v>JO - Marke</v>
      </c>
      <c r="I60" t="str">
        <f t="shared" si="1"/>
        <v>H000005398</v>
      </c>
    </row>
    <row r="61" spans="1:9">
      <c r="A61" t="s">
        <v>10124</v>
      </c>
      <c r="B61" t="s">
        <v>10888</v>
      </c>
      <c r="C61" t="s">
        <v>10734</v>
      </c>
      <c r="D61" t="s">
        <v>10885</v>
      </c>
      <c r="E61" s="47" t="s">
        <v>10451</v>
      </c>
      <c r="F61">
        <f t="shared" si="2"/>
        <v>5401</v>
      </c>
      <c r="G61" t="s">
        <v>10885</v>
      </c>
      <c r="H61" t="str">
        <f t="shared" si="0"/>
        <v>JO - Sales</v>
      </c>
      <c r="I61" t="str">
        <f t="shared" si="1"/>
        <v>H000005398</v>
      </c>
    </row>
    <row r="62" spans="1:9">
      <c r="A62" t="s">
        <v>10125</v>
      </c>
      <c r="B62" t="s">
        <v>10889</v>
      </c>
      <c r="C62" t="s">
        <v>10735</v>
      </c>
      <c r="D62" t="s">
        <v>11000</v>
      </c>
      <c r="E62" s="47" t="s">
        <v>10451</v>
      </c>
      <c r="F62">
        <f t="shared" si="2"/>
        <v>5402</v>
      </c>
      <c r="G62" t="e">
        <v>#N/A</v>
      </c>
      <c r="H62" t="str">
        <f t="shared" si="0"/>
        <v>JO - Medic</v>
      </c>
      <c r="I62" t="str">
        <f t="shared" si="1"/>
        <v>H000003090</v>
      </c>
    </row>
    <row r="63" spans="1:9">
      <c r="A63" t="s">
        <v>10126</v>
      </c>
      <c r="B63" t="s">
        <v>10890</v>
      </c>
      <c r="C63" t="s">
        <v>10736</v>
      </c>
      <c r="D63" t="s">
        <v>10889</v>
      </c>
      <c r="E63" s="47" t="s">
        <v>10451</v>
      </c>
      <c r="F63">
        <f t="shared" si="2"/>
        <v>5403</v>
      </c>
      <c r="G63" t="s">
        <v>10889</v>
      </c>
      <c r="H63" t="str">
        <f t="shared" si="0"/>
        <v>JO - Medic</v>
      </c>
      <c r="I63" t="str">
        <f t="shared" si="1"/>
        <v>H000005402</v>
      </c>
    </row>
    <row r="64" spans="1:9">
      <c r="A64" t="s">
        <v>10127</v>
      </c>
      <c r="B64" t="s">
        <v>10891</v>
      </c>
      <c r="C64" t="s">
        <v>10737</v>
      </c>
      <c r="D64" t="s">
        <v>10889</v>
      </c>
      <c r="E64" s="47" t="s">
        <v>10451</v>
      </c>
      <c r="F64">
        <f t="shared" si="2"/>
        <v>5404</v>
      </c>
      <c r="G64" t="s">
        <v>10889</v>
      </c>
      <c r="H64" t="str">
        <f t="shared" si="0"/>
        <v>JO - Medic</v>
      </c>
      <c r="I64" t="str">
        <f t="shared" si="1"/>
        <v>H000005402</v>
      </c>
    </row>
    <row r="65" spans="1:9">
      <c r="A65" t="s">
        <v>10128</v>
      </c>
      <c r="B65" t="s">
        <v>10892</v>
      </c>
      <c r="C65" t="s">
        <v>10738</v>
      </c>
      <c r="D65" t="s">
        <v>11001</v>
      </c>
      <c r="E65" s="47" t="s">
        <v>10451</v>
      </c>
      <c r="F65">
        <f t="shared" si="2"/>
        <v>5405</v>
      </c>
      <c r="G65" t="e">
        <v>#N/A</v>
      </c>
      <c r="H65" t="str">
        <f t="shared" ref="H65:H128" si="3">LEFT(C65,10)</f>
        <v>LB - BU Ra</v>
      </c>
      <c r="I65" t="str">
        <f t="shared" si="1"/>
        <v>H000003134</v>
      </c>
    </row>
    <row r="66" spans="1:9">
      <c r="A66" t="s">
        <v>10129</v>
      </c>
      <c r="B66" t="s">
        <v>10893</v>
      </c>
      <c r="C66" t="s">
        <v>10739</v>
      </c>
      <c r="D66" t="s">
        <v>10892</v>
      </c>
      <c r="E66" s="47" t="s">
        <v>10451</v>
      </c>
      <c r="F66">
        <f t="shared" si="2"/>
        <v>5406</v>
      </c>
      <c r="G66" t="s">
        <v>10892</v>
      </c>
      <c r="H66" t="str">
        <f t="shared" si="3"/>
        <v>LB - Field</v>
      </c>
      <c r="I66" t="str">
        <f t="shared" si="1"/>
        <v>H000005405</v>
      </c>
    </row>
    <row r="67" spans="1:9">
      <c r="A67" t="s">
        <v>10130</v>
      </c>
      <c r="B67" t="s">
        <v>10894</v>
      </c>
      <c r="C67" t="s">
        <v>10740</v>
      </c>
      <c r="D67" t="s">
        <v>10892</v>
      </c>
      <c r="E67" s="47" t="s">
        <v>10451</v>
      </c>
      <c r="F67">
        <f t="shared" si="2"/>
        <v>5407</v>
      </c>
      <c r="G67" t="s">
        <v>10892</v>
      </c>
      <c r="H67" t="str">
        <f t="shared" si="3"/>
        <v>LB - Marke</v>
      </c>
      <c r="I67" t="str">
        <f t="shared" ref="I67:I130" si="4">LEFT(D67,10)</f>
        <v>H000005405</v>
      </c>
    </row>
    <row r="68" spans="1:9">
      <c r="A68" t="s">
        <v>10131</v>
      </c>
      <c r="B68" t="s">
        <v>10895</v>
      </c>
      <c r="C68" t="s">
        <v>10741</v>
      </c>
      <c r="D68" t="s">
        <v>10892</v>
      </c>
      <c r="E68" s="47" t="s">
        <v>10451</v>
      </c>
      <c r="F68">
        <f t="shared" ref="F68:F131" si="5">+F67+1</f>
        <v>5408</v>
      </c>
      <c r="G68" t="s">
        <v>10892</v>
      </c>
      <c r="H68" t="str">
        <f t="shared" si="3"/>
        <v>LB - Sales</v>
      </c>
      <c r="I68" t="str">
        <f t="shared" si="4"/>
        <v>H000005405</v>
      </c>
    </row>
    <row r="69" spans="1:9">
      <c r="A69" t="s">
        <v>10132</v>
      </c>
      <c r="B69" t="s">
        <v>10896</v>
      </c>
      <c r="C69" t="s">
        <v>10742</v>
      </c>
      <c r="D69" t="s">
        <v>11002</v>
      </c>
      <c r="E69" s="47" t="s">
        <v>10451</v>
      </c>
      <c r="F69">
        <f t="shared" si="5"/>
        <v>5409</v>
      </c>
      <c r="G69" t="e">
        <v>#N/A</v>
      </c>
      <c r="H69" t="str">
        <f t="shared" si="3"/>
        <v>LB - Medic</v>
      </c>
      <c r="I69" t="str">
        <f t="shared" si="4"/>
        <v>H000003147</v>
      </c>
    </row>
    <row r="70" spans="1:9">
      <c r="A70" t="s">
        <v>10133</v>
      </c>
      <c r="B70" t="s">
        <v>10897</v>
      </c>
      <c r="C70" t="s">
        <v>10743</v>
      </c>
      <c r="D70" t="s">
        <v>10896</v>
      </c>
      <c r="E70" s="47" t="s">
        <v>10451</v>
      </c>
      <c r="F70">
        <f t="shared" si="5"/>
        <v>5410</v>
      </c>
      <c r="G70" t="s">
        <v>10896</v>
      </c>
      <c r="H70" t="str">
        <f t="shared" si="3"/>
        <v>LB - Medic</v>
      </c>
      <c r="I70" t="str">
        <f t="shared" si="4"/>
        <v>H000005409</v>
      </c>
    </row>
    <row r="71" spans="1:9">
      <c r="A71" t="s">
        <v>10134</v>
      </c>
      <c r="B71" t="s">
        <v>10898</v>
      </c>
      <c r="C71" t="s">
        <v>10744</v>
      </c>
      <c r="D71" t="s">
        <v>10896</v>
      </c>
      <c r="E71" s="47" t="s">
        <v>10451</v>
      </c>
      <c r="F71">
        <f t="shared" si="5"/>
        <v>5411</v>
      </c>
      <c r="G71" t="s">
        <v>10896</v>
      </c>
      <c r="H71" t="str">
        <f t="shared" si="3"/>
        <v>LB - Medic</v>
      </c>
      <c r="I71" t="str">
        <f t="shared" si="4"/>
        <v>H000005409</v>
      </c>
    </row>
    <row r="72" spans="1:9">
      <c r="A72" t="s">
        <v>10135</v>
      </c>
      <c r="B72" t="s">
        <v>10899</v>
      </c>
      <c r="C72" t="s">
        <v>10745</v>
      </c>
      <c r="D72" t="s">
        <v>11003</v>
      </c>
      <c r="E72" s="47" t="s">
        <v>10451</v>
      </c>
      <c r="F72">
        <f t="shared" si="5"/>
        <v>5412</v>
      </c>
      <c r="G72" t="e">
        <v>#N/A</v>
      </c>
      <c r="H72" t="str">
        <f t="shared" si="3"/>
        <v>LY - BU Ra</v>
      </c>
      <c r="I72" t="str">
        <f t="shared" si="4"/>
        <v>H000003169</v>
      </c>
    </row>
    <row r="73" spans="1:9">
      <c r="A73" t="s">
        <v>10136</v>
      </c>
      <c r="B73" t="s">
        <v>10900</v>
      </c>
      <c r="C73" t="s">
        <v>10746</v>
      </c>
      <c r="D73" t="s">
        <v>10899</v>
      </c>
      <c r="E73" s="47" t="s">
        <v>10451</v>
      </c>
      <c r="F73">
        <f t="shared" si="5"/>
        <v>5413</v>
      </c>
      <c r="G73" t="s">
        <v>10899</v>
      </c>
      <c r="H73" t="str">
        <f t="shared" si="3"/>
        <v>LY - Field</v>
      </c>
      <c r="I73" t="str">
        <f t="shared" si="4"/>
        <v>H000005412</v>
      </c>
    </row>
    <row r="74" spans="1:9">
      <c r="A74" t="s">
        <v>10137</v>
      </c>
      <c r="B74" t="s">
        <v>10901</v>
      </c>
      <c r="C74" t="s">
        <v>10747</v>
      </c>
      <c r="D74" t="s">
        <v>10899</v>
      </c>
      <c r="E74" s="47" t="s">
        <v>10451</v>
      </c>
      <c r="F74">
        <f t="shared" si="5"/>
        <v>5414</v>
      </c>
      <c r="G74" t="s">
        <v>10899</v>
      </c>
      <c r="H74" t="str">
        <f t="shared" si="3"/>
        <v>LY - Marke</v>
      </c>
      <c r="I74" t="str">
        <f t="shared" si="4"/>
        <v>H000005412</v>
      </c>
    </row>
    <row r="75" spans="1:9">
      <c r="A75" t="s">
        <v>10138</v>
      </c>
      <c r="B75" t="s">
        <v>10902</v>
      </c>
      <c r="C75" t="s">
        <v>10748</v>
      </c>
      <c r="D75" t="s">
        <v>10899</v>
      </c>
      <c r="E75" s="47" t="s">
        <v>10451</v>
      </c>
      <c r="F75">
        <f t="shared" si="5"/>
        <v>5415</v>
      </c>
      <c r="G75" t="s">
        <v>10899</v>
      </c>
      <c r="H75" t="str">
        <f t="shared" si="3"/>
        <v>LY - Sales</v>
      </c>
      <c r="I75" t="str">
        <f t="shared" si="4"/>
        <v>H000005412</v>
      </c>
    </row>
    <row r="76" spans="1:9">
      <c r="A76" t="s">
        <v>10139</v>
      </c>
      <c r="B76" t="s">
        <v>10903</v>
      </c>
      <c r="C76" t="s">
        <v>10749</v>
      </c>
      <c r="D76" t="s">
        <v>11004</v>
      </c>
      <c r="E76" s="47" t="s">
        <v>10451</v>
      </c>
      <c r="F76">
        <f t="shared" si="5"/>
        <v>5416</v>
      </c>
      <c r="G76" t="e">
        <v>#N/A</v>
      </c>
      <c r="H76" t="str">
        <f t="shared" si="3"/>
        <v>LY - Medic</v>
      </c>
      <c r="I76" t="str">
        <f t="shared" si="4"/>
        <v>H000003179</v>
      </c>
    </row>
    <row r="77" spans="1:9">
      <c r="A77" t="s">
        <v>10140</v>
      </c>
      <c r="B77" t="s">
        <v>10904</v>
      </c>
      <c r="C77" t="s">
        <v>10750</v>
      </c>
      <c r="D77" t="s">
        <v>10903</v>
      </c>
      <c r="E77" s="47" t="s">
        <v>10451</v>
      </c>
      <c r="F77">
        <f t="shared" si="5"/>
        <v>5417</v>
      </c>
      <c r="G77" t="s">
        <v>10903</v>
      </c>
      <c r="H77" t="str">
        <f t="shared" si="3"/>
        <v>LY - Medic</v>
      </c>
      <c r="I77" t="str">
        <f t="shared" si="4"/>
        <v>H000005416</v>
      </c>
    </row>
    <row r="78" spans="1:9">
      <c r="A78" t="s">
        <v>10141</v>
      </c>
      <c r="B78" t="s">
        <v>10905</v>
      </c>
      <c r="C78" t="s">
        <v>10751</v>
      </c>
      <c r="D78" t="s">
        <v>10903</v>
      </c>
      <c r="E78" s="47" t="s">
        <v>10451</v>
      </c>
      <c r="F78">
        <f t="shared" si="5"/>
        <v>5418</v>
      </c>
      <c r="G78" t="s">
        <v>10903</v>
      </c>
      <c r="H78" t="str">
        <f t="shared" si="3"/>
        <v>LY - Medic</v>
      </c>
      <c r="I78" t="str">
        <f t="shared" si="4"/>
        <v>H000005416</v>
      </c>
    </row>
    <row r="79" spans="1:9">
      <c r="A79" t="s">
        <v>10142</v>
      </c>
      <c r="B79" t="s">
        <v>10906</v>
      </c>
      <c r="C79" t="s">
        <v>10752</v>
      </c>
      <c r="D79" t="s">
        <v>11005</v>
      </c>
      <c r="E79" s="47" t="s">
        <v>10451</v>
      </c>
      <c r="F79">
        <f t="shared" si="5"/>
        <v>5419</v>
      </c>
      <c r="G79" t="e">
        <v>#N/A</v>
      </c>
      <c r="H79" t="str">
        <f t="shared" si="3"/>
        <v>PS - BU Ra</v>
      </c>
      <c r="I79" t="str">
        <f t="shared" si="4"/>
        <v>H000003254</v>
      </c>
    </row>
    <row r="80" spans="1:9">
      <c r="A80" t="s">
        <v>10143</v>
      </c>
      <c r="B80" t="s">
        <v>10907</v>
      </c>
      <c r="C80" t="s">
        <v>10753</v>
      </c>
      <c r="D80" t="s">
        <v>10906</v>
      </c>
      <c r="E80" s="47" t="s">
        <v>10451</v>
      </c>
      <c r="F80">
        <f t="shared" si="5"/>
        <v>5420</v>
      </c>
      <c r="G80" t="s">
        <v>10906</v>
      </c>
      <c r="H80" t="str">
        <f t="shared" si="3"/>
        <v>PS - Field</v>
      </c>
      <c r="I80" t="str">
        <f t="shared" si="4"/>
        <v>H000005419</v>
      </c>
    </row>
    <row r="81" spans="1:9">
      <c r="A81" t="s">
        <v>10144</v>
      </c>
      <c r="B81" t="s">
        <v>10908</v>
      </c>
      <c r="C81" t="s">
        <v>10754</v>
      </c>
      <c r="D81" t="s">
        <v>10906</v>
      </c>
      <c r="E81" s="47" t="s">
        <v>10451</v>
      </c>
      <c r="F81">
        <f t="shared" si="5"/>
        <v>5421</v>
      </c>
      <c r="G81" t="s">
        <v>10906</v>
      </c>
      <c r="H81" t="str">
        <f t="shared" si="3"/>
        <v>PS - Marke</v>
      </c>
      <c r="I81" t="str">
        <f t="shared" si="4"/>
        <v>H000005419</v>
      </c>
    </row>
    <row r="82" spans="1:9">
      <c r="A82" t="s">
        <v>10145</v>
      </c>
      <c r="B82" t="s">
        <v>10909</v>
      </c>
      <c r="C82" t="s">
        <v>10755</v>
      </c>
      <c r="D82" t="s">
        <v>10906</v>
      </c>
      <c r="E82" s="47" t="s">
        <v>10451</v>
      </c>
      <c r="F82">
        <f t="shared" si="5"/>
        <v>5422</v>
      </c>
      <c r="G82" t="s">
        <v>10906</v>
      </c>
      <c r="H82" t="str">
        <f t="shared" si="3"/>
        <v>PS - Sales</v>
      </c>
      <c r="I82" t="str">
        <f t="shared" si="4"/>
        <v>H000005419</v>
      </c>
    </row>
    <row r="83" spans="1:9">
      <c r="A83" t="s">
        <v>10146</v>
      </c>
      <c r="B83" t="s">
        <v>10910</v>
      </c>
      <c r="C83" t="s">
        <v>10756</v>
      </c>
      <c r="D83" t="s">
        <v>11006</v>
      </c>
      <c r="E83" s="47" t="s">
        <v>10451</v>
      </c>
      <c r="F83">
        <f t="shared" si="5"/>
        <v>5423</v>
      </c>
      <c r="G83" t="e">
        <v>#N/A</v>
      </c>
      <c r="H83" t="str">
        <f t="shared" si="3"/>
        <v>PS - Medic</v>
      </c>
      <c r="I83" t="str">
        <f t="shared" si="4"/>
        <v>H000003267</v>
      </c>
    </row>
    <row r="84" spans="1:9">
      <c r="A84" t="s">
        <v>10147</v>
      </c>
      <c r="B84" t="s">
        <v>10911</v>
      </c>
      <c r="C84" t="s">
        <v>10757</v>
      </c>
      <c r="D84" t="s">
        <v>10910</v>
      </c>
      <c r="E84" s="47" t="s">
        <v>10451</v>
      </c>
      <c r="F84">
        <f t="shared" si="5"/>
        <v>5424</v>
      </c>
      <c r="G84" t="s">
        <v>10910</v>
      </c>
      <c r="H84" t="str">
        <f t="shared" si="3"/>
        <v>PS - Medic</v>
      </c>
      <c r="I84" t="str">
        <f t="shared" si="4"/>
        <v>H000005423</v>
      </c>
    </row>
    <row r="85" spans="1:9">
      <c r="A85" t="s">
        <v>10148</v>
      </c>
      <c r="B85" t="s">
        <v>10912</v>
      </c>
      <c r="C85" t="s">
        <v>10758</v>
      </c>
      <c r="D85" t="s">
        <v>10910</v>
      </c>
      <c r="E85" s="47" t="s">
        <v>10451</v>
      </c>
      <c r="F85">
        <f t="shared" si="5"/>
        <v>5425</v>
      </c>
      <c r="G85" t="s">
        <v>10910</v>
      </c>
      <c r="H85" t="str">
        <f t="shared" si="3"/>
        <v>PS - Medic</v>
      </c>
      <c r="I85" t="str">
        <f t="shared" si="4"/>
        <v>H000005423</v>
      </c>
    </row>
    <row r="86" spans="1:9">
      <c r="A86" t="s">
        <v>10149</v>
      </c>
      <c r="B86" t="s">
        <v>10913</v>
      </c>
      <c r="C86" t="s">
        <v>10759</v>
      </c>
      <c r="D86" t="s">
        <v>11007</v>
      </c>
      <c r="E86" s="47" t="s">
        <v>10451</v>
      </c>
      <c r="F86">
        <f t="shared" si="5"/>
        <v>5426</v>
      </c>
      <c r="G86" t="e">
        <v>#N/A</v>
      </c>
      <c r="H86" t="str">
        <f t="shared" si="3"/>
        <v>SY - BU Ra</v>
      </c>
      <c r="I86" t="str">
        <f t="shared" si="4"/>
        <v>H000003404</v>
      </c>
    </row>
    <row r="87" spans="1:9">
      <c r="A87" t="s">
        <v>10150</v>
      </c>
      <c r="B87" t="s">
        <v>10914</v>
      </c>
      <c r="C87" t="s">
        <v>10760</v>
      </c>
      <c r="D87" t="s">
        <v>10913</v>
      </c>
      <c r="E87" s="47" t="s">
        <v>10451</v>
      </c>
      <c r="F87">
        <f t="shared" si="5"/>
        <v>5427</v>
      </c>
      <c r="G87" t="s">
        <v>10913</v>
      </c>
      <c r="H87" t="str">
        <f t="shared" si="3"/>
        <v>SY - Field</v>
      </c>
      <c r="I87" t="str">
        <f t="shared" si="4"/>
        <v>H000005426</v>
      </c>
    </row>
    <row r="88" spans="1:9">
      <c r="A88" t="s">
        <v>10151</v>
      </c>
      <c r="B88" t="s">
        <v>10915</v>
      </c>
      <c r="C88" t="s">
        <v>10761</v>
      </c>
      <c r="D88" t="s">
        <v>10913</v>
      </c>
      <c r="E88" s="47" t="s">
        <v>10451</v>
      </c>
      <c r="F88">
        <f t="shared" si="5"/>
        <v>5428</v>
      </c>
      <c r="G88" t="s">
        <v>10913</v>
      </c>
      <c r="H88" t="str">
        <f t="shared" si="3"/>
        <v>SY - Marke</v>
      </c>
      <c r="I88" t="str">
        <f t="shared" si="4"/>
        <v>H000005426</v>
      </c>
    </row>
    <row r="89" spans="1:9">
      <c r="A89" t="s">
        <v>10152</v>
      </c>
      <c r="B89" t="s">
        <v>10916</v>
      </c>
      <c r="C89" t="s">
        <v>10762</v>
      </c>
      <c r="D89" t="s">
        <v>10913</v>
      </c>
      <c r="E89" s="47" t="s">
        <v>10451</v>
      </c>
      <c r="F89">
        <f t="shared" si="5"/>
        <v>5429</v>
      </c>
      <c r="G89" t="s">
        <v>10913</v>
      </c>
      <c r="H89" t="str">
        <f t="shared" si="3"/>
        <v>SY - Sales</v>
      </c>
      <c r="I89" t="str">
        <f t="shared" si="4"/>
        <v>H000005426</v>
      </c>
    </row>
    <row r="90" spans="1:9">
      <c r="A90" t="s">
        <v>10153</v>
      </c>
      <c r="B90" t="s">
        <v>10917</v>
      </c>
      <c r="C90" t="s">
        <v>10763</v>
      </c>
      <c r="D90" t="s">
        <v>11008</v>
      </c>
      <c r="E90" s="47" t="s">
        <v>10451</v>
      </c>
      <c r="F90">
        <f t="shared" si="5"/>
        <v>5430</v>
      </c>
      <c r="G90" t="e">
        <v>#N/A</v>
      </c>
      <c r="H90" t="str">
        <f t="shared" si="3"/>
        <v>SY - Medic</v>
      </c>
      <c r="I90" t="str">
        <f t="shared" si="4"/>
        <v>H000003419</v>
      </c>
    </row>
    <row r="91" spans="1:9">
      <c r="A91" t="s">
        <v>10154</v>
      </c>
      <c r="B91" t="s">
        <v>10918</v>
      </c>
      <c r="C91" t="s">
        <v>10764</v>
      </c>
      <c r="D91" t="s">
        <v>10917</v>
      </c>
      <c r="E91" s="47" t="s">
        <v>10451</v>
      </c>
      <c r="F91">
        <f t="shared" si="5"/>
        <v>5431</v>
      </c>
      <c r="G91" t="s">
        <v>10917</v>
      </c>
      <c r="H91" t="str">
        <f t="shared" si="3"/>
        <v>SY - Medic</v>
      </c>
      <c r="I91" t="str">
        <f t="shared" si="4"/>
        <v>H000005430</v>
      </c>
    </row>
    <row r="92" spans="1:9">
      <c r="A92" t="s">
        <v>10155</v>
      </c>
      <c r="B92" t="s">
        <v>10919</v>
      </c>
      <c r="C92" t="s">
        <v>10765</v>
      </c>
      <c r="D92" t="s">
        <v>10917</v>
      </c>
      <c r="E92" s="47" t="s">
        <v>10451</v>
      </c>
      <c r="F92">
        <f t="shared" si="5"/>
        <v>5432</v>
      </c>
      <c r="G92" t="s">
        <v>10917</v>
      </c>
      <c r="H92" t="str">
        <f t="shared" si="3"/>
        <v>SY - Medic</v>
      </c>
      <c r="I92" t="str">
        <f t="shared" si="4"/>
        <v>H000005430</v>
      </c>
    </row>
    <row r="93" spans="1:9">
      <c r="A93" t="s">
        <v>10156</v>
      </c>
      <c r="B93" t="s">
        <v>10920</v>
      </c>
      <c r="C93" t="s">
        <v>10766</v>
      </c>
      <c r="D93" t="s">
        <v>11009</v>
      </c>
      <c r="E93" s="47" t="s">
        <v>10451</v>
      </c>
      <c r="F93">
        <f t="shared" si="5"/>
        <v>5433</v>
      </c>
      <c r="G93" t="e">
        <v>#N/A</v>
      </c>
      <c r="H93" t="str">
        <f t="shared" si="3"/>
        <v>NE - BU Ra</v>
      </c>
      <c r="I93" t="str">
        <f t="shared" si="4"/>
        <v>H000003209</v>
      </c>
    </row>
    <row r="94" spans="1:9">
      <c r="A94" t="s">
        <v>10157</v>
      </c>
      <c r="B94" t="s">
        <v>10921</v>
      </c>
      <c r="C94" t="s">
        <v>10767</v>
      </c>
      <c r="D94" t="s">
        <v>10920</v>
      </c>
      <c r="E94" s="47" t="s">
        <v>10451</v>
      </c>
      <c r="F94">
        <f t="shared" si="5"/>
        <v>5434</v>
      </c>
      <c r="G94" t="s">
        <v>10920</v>
      </c>
      <c r="H94" t="str">
        <f t="shared" si="3"/>
        <v>NE - Field</v>
      </c>
      <c r="I94" t="str">
        <f t="shared" si="4"/>
        <v>H000005433</v>
      </c>
    </row>
    <row r="95" spans="1:9">
      <c r="A95" t="s">
        <v>10158</v>
      </c>
      <c r="B95" t="s">
        <v>10922</v>
      </c>
      <c r="C95" t="s">
        <v>10768</v>
      </c>
      <c r="D95" t="s">
        <v>10920</v>
      </c>
      <c r="E95" s="47" t="s">
        <v>10451</v>
      </c>
      <c r="F95">
        <f t="shared" si="5"/>
        <v>5435</v>
      </c>
      <c r="G95" t="s">
        <v>10920</v>
      </c>
      <c r="H95" t="str">
        <f t="shared" si="3"/>
        <v>NE - Marke</v>
      </c>
      <c r="I95" t="str">
        <f t="shared" si="4"/>
        <v>H000005433</v>
      </c>
    </row>
    <row r="96" spans="1:9">
      <c r="A96" t="s">
        <v>10159</v>
      </c>
      <c r="B96" t="s">
        <v>10923</v>
      </c>
      <c r="C96" t="s">
        <v>10769</v>
      </c>
      <c r="D96" t="s">
        <v>10920</v>
      </c>
      <c r="E96" s="47" t="s">
        <v>10451</v>
      </c>
      <c r="F96">
        <f t="shared" si="5"/>
        <v>5436</v>
      </c>
      <c r="G96" t="s">
        <v>10920</v>
      </c>
      <c r="H96" t="str">
        <f t="shared" si="3"/>
        <v>NE - Sales</v>
      </c>
      <c r="I96" t="str">
        <f t="shared" si="4"/>
        <v>H000005433</v>
      </c>
    </row>
    <row r="97" spans="1:9">
      <c r="A97" t="s">
        <v>10160</v>
      </c>
      <c r="B97" t="s">
        <v>10924</v>
      </c>
      <c r="C97" t="s">
        <v>10770</v>
      </c>
      <c r="D97" t="s">
        <v>11010</v>
      </c>
      <c r="E97" s="47" t="s">
        <v>10451</v>
      </c>
      <c r="F97">
        <f t="shared" si="5"/>
        <v>5437</v>
      </c>
      <c r="G97" t="e">
        <v>#N/A</v>
      </c>
      <c r="H97" t="str">
        <f t="shared" si="3"/>
        <v>NE - Medic</v>
      </c>
      <c r="I97" t="str">
        <f t="shared" si="4"/>
        <v>H000003216</v>
      </c>
    </row>
    <row r="98" spans="1:9">
      <c r="A98" t="s">
        <v>10161</v>
      </c>
      <c r="B98" t="s">
        <v>10925</v>
      </c>
      <c r="C98" t="s">
        <v>10771</v>
      </c>
      <c r="D98" t="s">
        <v>10924</v>
      </c>
      <c r="E98" s="47" t="s">
        <v>10451</v>
      </c>
      <c r="F98">
        <f t="shared" si="5"/>
        <v>5438</v>
      </c>
      <c r="G98" t="s">
        <v>10924</v>
      </c>
      <c r="H98" t="str">
        <f t="shared" si="3"/>
        <v>NE - Medic</v>
      </c>
      <c r="I98" t="str">
        <f t="shared" si="4"/>
        <v>H000005437</v>
      </c>
    </row>
    <row r="99" spans="1:9">
      <c r="A99" t="s">
        <v>10162</v>
      </c>
      <c r="B99" t="s">
        <v>10926</v>
      </c>
      <c r="C99" t="s">
        <v>10772</v>
      </c>
      <c r="D99" t="s">
        <v>10924</v>
      </c>
      <c r="E99" s="47" t="s">
        <v>10451</v>
      </c>
      <c r="F99">
        <f t="shared" si="5"/>
        <v>5439</v>
      </c>
      <c r="G99" t="s">
        <v>10924</v>
      </c>
      <c r="H99" t="str">
        <f t="shared" si="3"/>
        <v>NE - Medic</v>
      </c>
      <c r="I99" t="str">
        <f t="shared" si="4"/>
        <v>H000005437</v>
      </c>
    </row>
    <row r="100" spans="1:9">
      <c r="A100" t="s">
        <v>10163</v>
      </c>
      <c r="B100" t="s">
        <v>10927</v>
      </c>
      <c r="C100" t="s">
        <v>10773</v>
      </c>
      <c r="D100" t="s">
        <v>11011</v>
      </c>
      <c r="E100" s="47" t="s">
        <v>10451</v>
      </c>
      <c r="F100">
        <f t="shared" si="5"/>
        <v>5440</v>
      </c>
      <c r="G100" t="e">
        <v>#N/A</v>
      </c>
      <c r="H100" t="str">
        <f t="shared" si="3"/>
        <v>DZ - BU Ra</v>
      </c>
      <c r="I100" t="str">
        <f t="shared" si="4"/>
        <v>H000002887</v>
      </c>
    </row>
    <row r="101" spans="1:9">
      <c r="A101" t="s">
        <v>10164</v>
      </c>
      <c r="B101" t="s">
        <v>10928</v>
      </c>
      <c r="C101" t="s">
        <v>10774</v>
      </c>
      <c r="D101" t="s">
        <v>10927</v>
      </c>
      <c r="E101" s="47" t="s">
        <v>10451</v>
      </c>
      <c r="F101">
        <f t="shared" si="5"/>
        <v>5441</v>
      </c>
      <c r="G101" t="s">
        <v>10927</v>
      </c>
      <c r="H101" t="str">
        <f t="shared" si="3"/>
        <v>DZ - Field</v>
      </c>
      <c r="I101" t="str">
        <f t="shared" si="4"/>
        <v>H000005440</v>
      </c>
    </row>
    <row r="102" spans="1:9">
      <c r="A102" t="s">
        <v>10165</v>
      </c>
      <c r="B102" t="s">
        <v>10929</v>
      </c>
      <c r="C102" t="s">
        <v>10775</v>
      </c>
      <c r="D102" t="s">
        <v>10927</v>
      </c>
      <c r="E102" s="47" t="s">
        <v>10451</v>
      </c>
      <c r="F102">
        <f t="shared" si="5"/>
        <v>5442</v>
      </c>
      <c r="G102" t="s">
        <v>10927</v>
      </c>
      <c r="H102" t="str">
        <f t="shared" si="3"/>
        <v>DZ - Marke</v>
      </c>
      <c r="I102" t="str">
        <f t="shared" si="4"/>
        <v>H000005440</v>
      </c>
    </row>
    <row r="103" spans="1:9">
      <c r="A103" t="s">
        <v>10166</v>
      </c>
      <c r="B103" t="s">
        <v>10930</v>
      </c>
      <c r="C103" t="s">
        <v>10776</v>
      </c>
      <c r="D103" t="s">
        <v>10927</v>
      </c>
      <c r="E103" s="47" t="s">
        <v>10451</v>
      </c>
      <c r="F103">
        <f t="shared" si="5"/>
        <v>5443</v>
      </c>
      <c r="G103" t="s">
        <v>10927</v>
      </c>
      <c r="H103" t="str">
        <f t="shared" si="3"/>
        <v>DZ - Sales</v>
      </c>
      <c r="I103" t="str">
        <f t="shared" si="4"/>
        <v>H000005440</v>
      </c>
    </row>
    <row r="104" spans="1:9">
      <c r="A104" t="s">
        <v>10167</v>
      </c>
      <c r="B104" t="s">
        <v>10931</v>
      </c>
      <c r="C104" t="s">
        <v>10777</v>
      </c>
      <c r="D104" t="s">
        <v>11012</v>
      </c>
      <c r="E104" s="47" t="s">
        <v>10451</v>
      </c>
      <c r="F104">
        <f t="shared" si="5"/>
        <v>5444</v>
      </c>
      <c r="G104" t="e">
        <v>#N/A</v>
      </c>
      <c r="H104" t="str">
        <f t="shared" si="3"/>
        <v>DZ - Medic</v>
      </c>
      <c r="I104" t="str">
        <f t="shared" si="4"/>
        <v>H000002902</v>
      </c>
    </row>
    <row r="105" spans="1:9">
      <c r="A105" t="s">
        <v>10168</v>
      </c>
      <c r="B105" t="s">
        <v>10932</v>
      </c>
      <c r="C105" t="s">
        <v>10778</v>
      </c>
      <c r="D105" t="s">
        <v>10931</v>
      </c>
      <c r="E105" s="47" t="s">
        <v>10451</v>
      </c>
      <c r="F105">
        <f t="shared" si="5"/>
        <v>5445</v>
      </c>
      <c r="G105" t="s">
        <v>10931</v>
      </c>
      <c r="H105" t="str">
        <f t="shared" si="3"/>
        <v>DZ - Medic</v>
      </c>
      <c r="I105" t="str">
        <f t="shared" si="4"/>
        <v>H000005444</v>
      </c>
    </row>
    <row r="106" spans="1:9">
      <c r="A106" t="s">
        <v>10169</v>
      </c>
      <c r="B106" t="s">
        <v>10933</v>
      </c>
      <c r="C106" t="s">
        <v>10779</v>
      </c>
      <c r="D106" t="s">
        <v>10931</v>
      </c>
      <c r="E106" s="47" t="s">
        <v>10451</v>
      </c>
      <c r="F106">
        <f t="shared" si="5"/>
        <v>5446</v>
      </c>
      <c r="G106" t="s">
        <v>10931</v>
      </c>
      <c r="H106" t="str">
        <f t="shared" si="3"/>
        <v>DZ - Medic</v>
      </c>
      <c r="I106" t="str">
        <f t="shared" si="4"/>
        <v>H000005444</v>
      </c>
    </row>
    <row r="107" spans="1:9">
      <c r="A107" t="s">
        <v>10170</v>
      </c>
      <c r="B107" t="s">
        <v>10934</v>
      </c>
      <c r="C107" t="s">
        <v>10780</v>
      </c>
      <c r="D107" t="s">
        <v>11013</v>
      </c>
      <c r="E107" s="47" t="s">
        <v>10451</v>
      </c>
      <c r="F107">
        <f t="shared" si="5"/>
        <v>5447</v>
      </c>
      <c r="G107" t="e">
        <v>#N/A</v>
      </c>
      <c r="H107" t="str">
        <f t="shared" si="3"/>
        <v>MA - BU Ra</v>
      </c>
      <c r="I107" t="str">
        <f t="shared" si="4"/>
        <v>H000003183</v>
      </c>
    </row>
    <row r="108" spans="1:9">
      <c r="A108" t="s">
        <v>10171</v>
      </c>
      <c r="B108" t="s">
        <v>10935</v>
      </c>
      <c r="C108" t="s">
        <v>10781</v>
      </c>
      <c r="D108" t="s">
        <v>10934</v>
      </c>
      <c r="E108" s="47" t="s">
        <v>10451</v>
      </c>
      <c r="F108">
        <f t="shared" si="5"/>
        <v>5448</v>
      </c>
      <c r="G108" t="s">
        <v>10934</v>
      </c>
      <c r="H108" t="str">
        <f t="shared" si="3"/>
        <v>MA - Field</v>
      </c>
      <c r="I108" t="str">
        <f t="shared" si="4"/>
        <v>H000005447</v>
      </c>
    </row>
    <row r="109" spans="1:9">
      <c r="A109" t="s">
        <v>10172</v>
      </c>
      <c r="B109" t="s">
        <v>10936</v>
      </c>
      <c r="C109" t="s">
        <v>10782</v>
      </c>
      <c r="D109" t="s">
        <v>10934</v>
      </c>
      <c r="E109" s="47" t="s">
        <v>10451</v>
      </c>
      <c r="F109">
        <f t="shared" si="5"/>
        <v>5449</v>
      </c>
      <c r="G109" t="s">
        <v>10934</v>
      </c>
      <c r="H109" t="str">
        <f t="shared" si="3"/>
        <v>MA - Marke</v>
      </c>
      <c r="I109" t="str">
        <f t="shared" si="4"/>
        <v>H000005447</v>
      </c>
    </row>
    <row r="110" spans="1:9">
      <c r="A110" t="s">
        <v>10173</v>
      </c>
      <c r="B110" t="s">
        <v>10937</v>
      </c>
      <c r="C110" t="s">
        <v>10783</v>
      </c>
      <c r="D110" t="s">
        <v>10934</v>
      </c>
      <c r="E110" s="47" t="s">
        <v>10451</v>
      </c>
      <c r="F110">
        <f t="shared" si="5"/>
        <v>5450</v>
      </c>
      <c r="G110" t="s">
        <v>10934</v>
      </c>
      <c r="H110" t="str">
        <f t="shared" si="3"/>
        <v>MA - Sales</v>
      </c>
      <c r="I110" t="str">
        <f t="shared" si="4"/>
        <v>H000005447</v>
      </c>
    </row>
    <row r="111" spans="1:9">
      <c r="A111" t="s">
        <v>10174</v>
      </c>
      <c r="B111" t="s">
        <v>10938</v>
      </c>
      <c r="C111" t="s">
        <v>10784</v>
      </c>
      <c r="D111" t="s">
        <v>11014</v>
      </c>
      <c r="E111" s="47" t="s">
        <v>10451</v>
      </c>
      <c r="F111">
        <f t="shared" si="5"/>
        <v>5451</v>
      </c>
      <c r="G111" t="e">
        <v>#N/A</v>
      </c>
      <c r="H111" t="str">
        <f t="shared" si="3"/>
        <v>MA - Medic</v>
      </c>
      <c r="I111" t="str">
        <f t="shared" si="4"/>
        <v>H000003197</v>
      </c>
    </row>
    <row r="112" spans="1:9">
      <c r="A112" t="s">
        <v>10175</v>
      </c>
      <c r="B112" t="s">
        <v>10939</v>
      </c>
      <c r="C112" t="s">
        <v>10785</v>
      </c>
      <c r="D112" t="s">
        <v>10938</v>
      </c>
      <c r="E112" s="47" t="s">
        <v>10451</v>
      </c>
      <c r="F112">
        <f t="shared" si="5"/>
        <v>5452</v>
      </c>
      <c r="G112" t="s">
        <v>10938</v>
      </c>
      <c r="H112" t="str">
        <f t="shared" si="3"/>
        <v>MA - Medic</v>
      </c>
      <c r="I112" t="str">
        <f t="shared" si="4"/>
        <v>H000005451</v>
      </c>
    </row>
    <row r="113" spans="1:9">
      <c r="A113" t="s">
        <v>10176</v>
      </c>
      <c r="B113" t="s">
        <v>10940</v>
      </c>
      <c r="C113" t="s">
        <v>10786</v>
      </c>
      <c r="D113" t="s">
        <v>10938</v>
      </c>
      <c r="E113" s="47" t="s">
        <v>10451</v>
      </c>
      <c r="F113">
        <f t="shared" si="5"/>
        <v>5453</v>
      </c>
      <c r="G113" t="s">
        <v>10938</v>
      </c>
      <c r="H113" t="str">
        <f t="shared" si="3"/>
        <v>MA - Medic</v>
      </c>
      <c r="I113" t="str">
        <f t="shared" si="4"/>
        <v>H000005451</v>
      </c>
    </row>
    <row r="114" spans="1:9">
      <c r="A114" t="s">
        <v>10177</v>
      </c>
      <c r="B114" t="s">
        <v>10941</v>
      </c>
      <c r="C114" t="s">
        <v>10787</v>
      </c>
      <c r="D114" t="s">
        <v>11015</v>
      </c>
      <c r="E114" s="47" t="s">
        <v>10451</v>
      </c>
      <c r="F114">
        <f t="shared" si="5"/>
        <v>5454</v>
      </c>
      <c r="G114" t="e">
        <v>#N/A</v>
      </c>
      <c r="H114" t="str">
        <f t="shared" si="3"/>
        <v>TN - BU Ra</v>
      </c>
      <c r="I114" t="str">
        <f t="shared" si="4"/>
        <v>H000003441</v>
      </c>
    </row>
    <row r="115" spans="1:9">
      <c r="A115" t="s">
        <v>10178</v>
      </c>
      <c r="B115" t="s">
        <v>10942</v>
      </c>
      <c r="C115" t="s">
        <v>10788</v>
      </c>
      <c r="D115" t="s">
        <v>10941</v>
      </c>
      <c r="E115" s="47" t="s">
        <v>10451</v>
      </c>
      <c r="F115">
        <f t="shared" si="5"/>
        <v>5455</v>
      </c>
      <c r="G115" t="s">
        <v>10941</v>
      </c>
      <c r="H115" t="str">
        <f t="shared" si="3"/>
        <v>TN - Field</v>
      </c>
      <c r="I115" t="str">
        <f t="shared" si="4"/>
        <v>H000005454</v>
      </c>
    </row>
    <row r="116" spans="1:9">
      <c r="A116" t="s">
        <v>10179</v>
      </c>
      <c r="B116" t="s">
        <v>10943</v>
      </c>
      <c r="C116" t="s">
        <v>10789</v>
      </c>
      <c r="D116" t="s">
        <v>10941</v>
      </c>
      <c r="E116" s="47" t="s">
        <v>10451</v>
      </c>
      <c r="F116">
        <f t="shared" si="5"/>
        <v>5456</v>
      </c>
      <c r="G116" t="s">
        <v>10941</v>
      </c>
      <c r="H116" t="str">
        <f t="shared" si="3"/>
        <v>TN - Marke</v>
      </c>
      <c r="I116" t="str">
        <f t="shared" si="4"/>
        <v>H000005454</v>
      </c>
    </row>
    <row r="117" spans="1:9">
      <c r="A117" t="s">
        <v>10180</v>
      </c>
      <c r="B117" t="s">
        <v>10944</v>
      </c>
      <c r="C117" t="s">
        <v>10790</v>
      </c>
      <c r="D117" t="s">
        <v>10941</v>
      </c>
      <c r="E117" s="47" t="s">
        <v>10451</v>
      </c>
      <c r="F117">
        <f t="shared" si="5"/>
        <v>5457</v>
      </c>
      <c r="G117" t="s">
        <v>10941</v>
      </c>
      <c r="H117" t="str">
        <f t="shared" si="3"/>
        <v>TN - Sales</v>
      </c>
      <c r="I117" t="str">
        <f t="shared" si="4"/>
        <v>H000005454</v>
      </c>
    </row>
    <row r="118" spans="1:9">
      <c r="A118" t="s">
        <v>10181</v>
      </c>
      <c r="B118" t="s">
        <v>10945</v>
      </c>
      <c r="C118" t="s">
        <v>10791</v>
      </c>
      <c r="D118" t="s">
        <v>11016</v>
      </c>
      <c r="E118" s="47" t="s">
        <v>10451</v>
      </c>
      <c r="F118">
        <f t="shared" si="5"/>
        <v>5458</v>
      </c>
      <c r="G118" t="e">
        <v>#N/A</v>
      </c>
      <c r="H118" t="str">
        <f t="shared" si="3"/>
        <v>TN - Medic</v>
      </c>
      <c r="I118" t="str">
        <f t="shared" si="4"/>
        <v>H000003454</v>
      </c>
    </row>
    <row r="119" spans="1:9">
      <c r="A119" t="s">
        <v>10182</v>
      </c>
      <c r="B119" t="s">
        <v>10946</v>
      </c>
      <c r="C119" t="s">
        <v>10792</v>
      </c>
      <c r="D119" t="s">
        <v>10945</v>
      </c>
      <c r="E119" s="47" t="s">
        <v>10451</v>
      </c>
      <c r="F119">
        <f t="shared" si="5"/>
        <v>5459</v>
      </c>
      <c r="G119" t="s">
        <v>10945</v>
      </c>
      <c r="H119" t="str">
        <f t="shared" si="3"/>
        <v>TN - Medic</v>
      </c>
      <c r="I119" t="str">
        <f t="shared" si="4"/>
        <v>H000005458</v>
      </c>
    </row>
    <row r="120" spans="1:9">
      <c r="A120" t="s">
        <v>10183</v>
      </c>
      <c r="B120" t="s">
        <v>10947</v>
      </c>
      <c r="C120" t="s">
        <v>10793</v>
      </c>
      <c r="D120" t="s">
        <v>10945</v>
      </c>
      <c r="E120" s="47" t="s">
        <v>10451</v>
      </c>
      <c r="F120">
        <f t="shared" si="5"/>
        <v>5460</v>
      </c>
      <c r="G120" t="s">
        <v>10945</v>
      </c>
      <c r="H120" t="str">
        <f t="shared" si="3"/>
        <v>TN - Medic</v>
      </c>
      <c r="I120" t="str">
        <f t="shared" si="4"/>
        <v>H000005458</v>
      </c>
    </row>
    <row r="121" spans="1:9">
      <c r="A121" t="s">
        <v>10184</v>
      </c>
      <c r="B121" t="s">
        <v>10948</v>
      </c>
      <c r="C121" t="s">
        <v>10794</v>
      </c>
      <c r="D121" t="s">
        <v>11017</v>
      </c>
      <c r="E121" s="47" t="s">
        <v>10451</v>
      </c>
      <c r="F121">
        <f t="shared" si="5"/>
        <v>5461</v>
      </c>
      <c r="G121" t="e">
        <v>#N/A</v>
      </c>
      <c r="H121" t="str">
        <f t="shared" si="3"/>
        <v>NA - BU Ra</v>
      </c>
      <c r="I121" t="str">
        <f t="shared" si="4"/>
        <v>H000004022</v>
      </c>
    </row>
    <row r="122" spans="1:9">
      <c r="A122" t="s">
        <v>10185</v>
      </c>
      <c r="B122" t="s">
        <v>10949</v>
      </c>
      <c r="C122" t="s">
        <v>10795</v>
      </c>
      <c r="D122" t="s">
        <v>10948</v>
      </c>
      <c r="E122" s="47" t="s">
        <v>10451</v>
      </c>
      <c r="F122">
        <f t="shared" si="5"/>
        <v>5462</v>
      </c>
      <c r="G122" t="s">
        <v>10948</v>
      </c>
      <c r="H122" t="str">
        <f t="shared" si="3"/>
        <v>NA - Field</v>
      </c>
      <c r="I122" t="str">
        <f t="shared" si="4"/>
        <v>H000005461</v>
      </c>
    </row>
    <row r="123" spans="1:9">
      <c r="A123" t="s">
        <v>10186</v>
      </c>
      <c r="B123" t="s">
        <v>10950</v>
      </c>
      <c r="C123" t="s">
        <v>10796</v>
      </c>
      <c r="D123" t="s">
        <v>10948</v>
      </c>
      <c r="E123" s="47" t="s">
        <v>10451</v>
      </c>
      <c r="F123">
        <f t="shared" si="5"/>
        <v>5463</v>
      </c>
      <c r="G123" t="s">
        <v>10948</v>
      </c>
      <c r="H123" t="str">
        <f t="shared" si="3"/>
        <v>NA - Marke</v>
      </c>
      <c r="I123" t="str">
        <f t="shared" si="4"/>
        <v>H000005461</v>
      </c>
    </row>
    <row r="124" spans="1:9">
      <c r="A124" t="s">
        <v>10187</v>
      </c>
      <c r="B124" t="s">
        <v>10951</v>
      </c>
      <c r="C124" t="s">
        <v>10797</v>
      </c>
      <c r="D124" t="s">
        <v>10948</v>
      </c>
      <c r="E124" s="47" t="s">
        <v>10451</v>
      </c>
      <c r="F124">
        <f t="shared" si="5"/>
        <v>5464</v>
      </c>
      <c r="G124" t="s">
        <v>10948</v>
      </c>
      <c r="H124" t="str">
        <f t="shared" si="3"/>
        <v>NA - Sales</v>
      </c>
      <c r="I124" t="str">
        <f t="shared" si="4"/>
        <v>H000005461</v>
      </c>
    </row>
    <row r="125" spans="1:9">
      <c r="A125" t="s">
        <v>10188</v>
      </c>
      <c r="B125" t="s">
        <v>10952</v>
      </c>
      <c r="C125" t="s">
        <v>10798</v>
      </c>
      <c r="D125" t="s">
        <v>11018</v>
      </c>
      <c r="E125" s="47" t="s">
        <v>10451</v>
      </c>
      <c r="F125">
        <f t="shared" si="5"/>
        <v>5465</v>
      </c>
      <c r="G125" t="e">
        <v>#N/A</v>
      </c>
      <c r="H125" t="str">
        <f t="shared" si="3"/>
        <v>NA - Medic</v>
      </c>
      <c r="I125" t="str">
        <f t="shared" si="4"/>
        <v>H000004027</v>
      </c>
    </row>
    <row r="126" spans="1:9">
      <c r="A126" t="s">
        <v>10189</v>
      </c>
      <c r="B126" t="s">
        <v>10953</v>
      </c>
      <c r="C126" t="s">
        <v>10799</v>
      </c>
      <c r="D126" t="s">
        <v>10952</v>
      </c>
      <c r="E126" s="47" t="s">
        <v>10451</v>
      </c>
      <c r="F126">
        <f t="shared" si="5"/>
        <v>5466</v>
      </c>
      <c r="G126" t="s">
        <v>10952</v>
      </c>
      <c r="H126" t="str">
        <f t="shared" si="3"/>
        <v>NA - Medic</v>
      </c>
      <c r="I126" t="str">
        <f t="shared" si="4"/>
        <v>H000005465</v>
      </c>
    </row>
    <row r="127" spans="1:9">
      <c r="A127" t="s">
        <v>10190</v>
      </c>
      <c r="B127" t="s">
        <v>10954</v>
      </c>
      <c r="C127" t="s">
        <v>10800</v>
      </c>
      <c r="D127" t="s">
        <v>10952</v>
      </c>
      <c r="E127" s="47" t="s">
        <v>10451</v>
      </c>
      <c r="F127">
        <f t="shared" si="5"/>
        <v>5467</v>
      </c>
      <c r="G127" t="s">
        <v>10952</v>
      </c>
      <c r="H127" t="str">
        <f t="shared" si="3"/>
        <v>NA - Medic</v>
      </c>
      <c r="I127" t="str">
        <f t="shared" si="4"/>
        <v>H000005465</v>
      </c>
    </row>
    <row r="128" spans="1:9">
      <c r="A128" t="s">
        <v>10191</v>
      </c>
      <c r="B128" t="s">
        <v>10955</v>
      </c>
      <c r="C128" t="s">
        <v>10801</v>
      </c>
      <c r="D128" t="s">
        <v>11019</v>
      </c>
      <c r="E128" s="47" t="s">
        <v>10451</v>
      </c>
      <c r="F128">
        <f t="shared" si="5"/>
        <v>5468</v>
      </c>
      <c r="G128" t="e">
        <v>#N/A</v>
      </c>
      <c r="H128" t="str">
        <f t="shared" si="3"/>
        <v>NG - BU Ra</v>
      </c>
      <c r="I128" t="str">
        <f t="shared" si="4"/>
        <v>H000003225</v>
      </c>
    </row>
    <row r="129" spans="1:9">
      <c r="A129" t="s">
        <v>10192</v>
      </c>
      <c r="B129" t="s">
        <v>10956</v>
      </c>
      <c r="C129" t="s">
        <v>10802</v>
      </c>
      <c r="D129" t="s">
        <v>10955</v>
      </c>
      <c r="E129" s="47" t="s">
        <v>10451</v>
      </c>
      <c r="F129">
        <f t="shared" si="5"/>
        <v>5469</v>
      </c>
      <c r="G129" t="s">
        <v>10955</v>
      </c>
      <c r="H129" t="str">
        <f t="shared" ref="H129:H155" si="6">LEFT(C129,10)</f>
        <v>NG - Field</v>
      </c>
      <c r="I129" t="str">
        <f t="shared" si="4"/>
        <v>H000005468</v>
      </c>
    </row>
    <row r="130" spans="1:9">
      <c r="A130" t="s">
        <v>10193</v>
      </c>
      <c r="B130" t="s">
        <v>10957</v>
      </c>
      <c r="C130" t="s">
        <v>10803</v>
      </c>
      <c r="D130" t="s">
        <v>10955</v>
      </c>
      <c r="E130" s="47" t="s">
        <v>10451</v>
      </c>
      <c r="F130">
        <f t="shared" si="5"/>
        <v>5470</v>
      </c>
      <c r="G130" t="s">
        <v>10955</v>
      </c>
      <c r="H130" t="str">
        <f t="shared" si="6"/>
        <v>NG - Marke</v>
      </c>
      <c r="I130" t="str">
        <f t="shared" si="4"/>
        <v>H000005468</v>
      </c>
    </row>
    <row r="131" spans="1:9">
      <c r="A131" t="s">
        <v>10194</v>
      </c>
      <c r="B131" t="s">
        <v>10958</v>
      </c>
      <c r="C131" t="s">
        <v>10804</v>
      </c>
      <c r="D131" t="s">
        <v>10955</v>
      </c>
      <c r="E131" s="47" t="s">
        <v>10451</v>
      </c>
      <c r="F131">
        <f t="shared" si="5"/>
        <v>5471</v>
      </c>
      <c r="G131" t="s">
        <v>10955</v>
      </c>
      <c r="H131" t="str">
        <f t="shared" si="6"/>
        <v>NG - Sales</v>
      </c>
      <c r="I131" t="str">
        <f t="shared" ref="I131:I155" si="7">LEFT(D131,10)</f>
        <v>H000005468</v>
      </c>
    </row>
    <row r="132" spans="1:9">
      <c r="A132" t="s">
        <v>10195</v>
      </c>
      <c r="B132" t="s">
        <v>10959</v>
      </c>
      <c r="C132" t="s">
        <v>10805</v>
      </c>
      <c r="D132" t="s">
        <v>11020</v>
      </c>
      <c r="E132" s="47" t="s">
        <v>10451</v>
      </c>
      <c r="F132">
        <f t="shared" ref="F132:F155" si="8">+F131+1</f>
        <v>5472</v>
      </c>
      <c r="G132" t="e">
        <v>#N/A</v>
      </c>
      <c r="H132" t="str">
        <f t="shared" si="6"/>
        <v>NG - Medic</v>
      </c>
      <c r="I132" t="str">
        <f t="shared" si="7"/>
        <v>H000003234</v>
      </c>
    </row>
    <row r="133" spans="1:9">
      <c r="A133" t="s">
        <v>10196</v>
      </c>
      <c r="B133" t="s">
        <v>10960</v>
      </c>
      <c r="C133" t="s">
        <v>10806</v>
      </c>
      <c r="D133" t="s">
        <v>10959</v>
      </c>
      <c r="E133" s="47" t="s">
        <v>10451</v>
      </c>
      <c r="F133">
        <f t="shared" si="8"/>
        <v>5473</v>
      </c>
      <c r="G133" t="s">
        <v>10959</v>
      </c>
      <c r="H133" t="str">
        <f t="shared" si="6"/>
        <v>NG - Medic</v>
      </c>
      <c r="I133" t="str">
        <f t="shared" si="7"/>
        <v>H000005472</v>
      </c>
    </row>
    <row r="134" spans="1:9">
      <c r="A134" t="s">
        <v>10197</v>
      </c>
      <c r="B134" t="s">
        <v>10961</v>
      </c>
      <c r="C134" t="s">
        <v>10807</v>
      </c>
      <c r="D134" t="s">
        <v>10959</v>
      </c>
      <c r="E134" s="47" t="s">
        <v>10451</v>
      </c>
      <c r="F134">
        <f t="shared" si="8"/>
        <v>5474</v>
      </c>
      <c r="G134" t="s">
        <v>10959</v>
      </c>
      <c r="H134" t="str">
        <f t="shared" si="6"/>
        <v>NG - Medic</v>
      </c>
      <c r="I134" t="str">
        <f t="shared" si="7"/>
        <v>H000005472</v>
      </c>
    </row>
    <row r="135" spans="1:9">
      <c r="A135" t="s">
        <v>10198</v>
      </c>
      <c r="B135" t="s">
        <v>10962</v>
      </c>
      <c r="C135" t="s">
        <v>10808</v>
      </c>
      <c r="D135" t="s">
        <v>11021</v>
      </c>
      <c r="E135" s="47" t="s">
        <v>10451</v>
      </c>
      <c r="F135">
        <f t="shared" si="8"/>
        <v>5475</v>
      </c>
      <c r="G135" t="e">
        <v>#N/A</v>
      </c>
      <c r="H135" t="str">
        <f t="shared" si="6"/>
        <v>KE - BU Ra</v>
      </c>
      <c r="I135" t="str">
        <f t="shared" si="7"/>
        <v>H000003112</v>
      </c>
    </row>
    <row r="136" spans="1:9">
      <c r="A136" t="s">
        <v>10199</v>
      </c>
      <c r="B136" t="s">
        <v>10963</v>
      </c>
      <c r="C136" t="s">
        <v>10809</v>
      </c>
      <c r="D136" t="s">
        <v>10962</v>
      </c>
      <c r="E136" s="47" t="s">
        <v>10451</v>
      </c>
      <c r="F136">
        <f t="shared" si="8"/>
        <v>5476</v>
      </c>
      <c r="G136" t="s">
        <v>10962</v>
      </c>
      <c r="H136" t="str">
        <f t="shared" si="6"/>
        <v>KE - Field</v>
      </c>
      <c r="I136" t="str">
        <f t="shared" si="7"/>
        <v>H000005475</v>
      </c>
    </row>
    <row r="137" spans="1:9">
      <c r="A137" t="s">
        <v>10200</v>
      </c>
      <c r="B137" t="s">
        <v>10964</v>
      </c>
      <c r="C137" t="s">
        <v>10810</v>
      </c>
      <c r="D137" t="s">
        <v>10962</v>
      </c>
      <c r="E137" s="47" t="s">
        <v>10451</v>
      </c>
      <c r="F137">
        <f t="shared" si="8"/>
        <v>5477</v>
      </c>
      <c r="G137" t="s">
        <v>10962</v>
      </c>
      <c r="H137" t="str">
        <f t="shared" si="6"/>
        <v>KE - Marke</v>
      </c>
      <c r="I137" t="str">
        <f t="shared" si="7"/>
        <v>H000005475</v>
      </c>
    </row>
    <row r="138" spans="1:9">
      <c r="A138" t="s">
        <v>10201</v>
      </c>
      <c r="B138" t="s">
        <v>10965</v>
      </c>
      <c r="C138" t="s">
        <v>10811</v>
      </c>
      <c r="D138" t="s">
        <v>10962</v>
      </c>
      <c r="E138" s="47" t="s">
        <v>10451</v>
      </c>
      <c r="F138">
        <f t="shared" si="8"/>
        <v>5478</v>
      </c>
      <c r="G138" t="s">
        <v>10962</v>
      </c>
      <c r="H138" t="str">
        <f t="shared" si="6"/>
        <v>KE - Sales</v>
      </c>
      <c r="I138" t="str">
        <f t="shared" si="7"/>
        <v>H000005475</v>
      </c>
    </row>
    <row r="139" spans="1:9">
      <c r="A139" t="s">
        <v>10202</v>
      </c>
      <c r="B139" t="s">
        <v>10966</v>
      </c>
      <c r="C139" t="s">
        <v>10812</v>
      </c>
      <c r="D139" t="s">
        <v>11022</v>
      </c>
      <c r="E139" s="47" t="s">
        <v>10451</v>
      </c>
      <c r="F139">
        <f t="shared" si="8"/>
        <v>5479</v>
      </c>
      <c r="G139" t="e">
        <v>#N/A</v>
      </c>
      <c r="H139" t="str">
        <f t="shared" si="6"/>
        <v>KE - Medic</v>
      </c>
      <c r="I139" t="str">
        <f t="shared" si="7"/>
        <v>H000003117</v>
      </c>
    </row>
    <row r="140" spans="1:9">
      <c r="A140" t="s">
        <v>10203</v>
      </c>
      <c r="B140" t="s">
        <v>10967</v>
      </c>
      <c r="C140" t="s">
        <v>10813</v>
      </c>
      <c r="D140" t="s">
        <v>10966</v>
      </c>
      <c r="E140" s="47" t="s">
        <v>10451</v>
      </c>
      <c r="F140">
        <f t="shared" si="8"/>
        <v>5480</v>
      </c>
      <c r="G140" t="s">
        <v>10966</v>
      </c>
      <c r="H140" t="str">
        <f t="shared" si="6"/>
        <v>KE - Medic</v>
      </c>
      <c r="I140" t="str">
        <f t="shared" si="7"/>
        <v>H000005479</v>
      </c>
    </row>
    <row r="141" spans="1:9">
      <c r="A141" t="s">
        <v>10204</v>
      </c>
      <c r="B141" t="s">
        <v>10968</v>
      </c>
      <c r="C141" t="s">
        <v>10814</v>
      </c>
      <c r="D141" t="s">
        <v>10966</v>
      </c>
      <c r="E141" s="47" t="s">
        <v>10451</v>
      </c>
      <c r="F141">
        <f t="shared" si="8"/>
        <v>5481</v>
      </c>
      <c r="G141" t="s">
        <v>10966</v>
      </c>
      <c r="H141" t="str">
        <f t="shared" si="6"/>
        <v>KE - Medic</v>
      </c>
      <c r="I141" t="str">
        <f t="shared" si="7"/>
        <v>H000005479</v>
      </c>
    </row>
    <row r="142" spans="1:9">
      <c r="A142" t="s">
        <v>10205</v>
      </c>
      <c r="B142" t="s">
        <v>10969</v>
      </c>
      <c r="C142" t="s">
        <v>10815</v>
      </c>
      <c r="D142" t="s">
        <v>11023</v>
      </c>
      <c r="E142" s="47" t="s">
        <v>10451</v>
      </c>
      <c r="F142">
        <f t="shared" si="8"/>
        <v>5482</v>
      </c>
      <c r="G142" t="e">
        <v>#N/A</v>
      </c>
      <c r="H142" t="str">
        <f t="shared" si="6"/>
        <v>AO - BU Ra</v>
      </c>
      <c r="I142" t="str">
        <f t="shared" si="7"/>
        <v>H000002911</v>
      </c>
    </row>
    <row r="143" spans="1:9">
      <c r="A143" t="s">
        <v>10206</v>
      </c>
      <c r="B143" t="s">
        <v>10970</v>
      </c>
      <c r="C143" t="s">
        <v>10816</v>
      </c>
      <c r="D143" t="s">
        <v>10969</v>
      </c>
      <c r="E143" s="47" t="s">
        <v>10451</v>
      </c>
      <c r="F143">
        <f t="shared" si="8"/>
        <v>5483</v>
      </c>
      <c r="G143" t="s">
        <v>10969</v>
      </c>
      <c r="H143" t="str">
        <f t="shared" si="6"/>
        <v>AO - Field</v>
      </c>
      <c r="I143" t="str">
        <f t="shared" si="7"/>
        <v>H000005482</v>
      </c>
    </row>
    <row r="144" spans="1:9">
      <c r="A144" t="s">
        <v>10207</v>
      </c>
      <c r="B144" t="s">
        <v>10971</v>
      </c>
      <c r="C144" t="s">
        <v>10817</v>
      </c>
      <c r="D144" t="s">
        <v>10969</v>
      </c>
      <c r="E144" s="47" t="s">
        <v>10451</v>
      </c>
      <c r="F144">
        <f t="shared" si="8"/>
        <v>5484</v>
      </c>
      <c r="G144" t="s">
        <v>10969</v>
      </c>
      <c r="H144" t="str">
        <f t="shared" si="6"/>
        <v>AO - Marke</v>
      </c>
      <c r="I144" t="str">
        <f t="shared" si="7"/>
        <v>H000005482</v>
      </c>
    </row>
    <row r="145" spans="1:9">
      <c r="A145" t="s">
        <v>10208</v>
      </c>
      <c r="B145" t="s">
        <v>10972</v>
      </c>
      <c r="C145" t="s">
        <v>10818</v>
      </c>
      <c r="D145" t="s">
        <v>10969</v>
      </c>
      <c r="E145" s="47" t="s">
        <v>10451</v>
      </c>
      <c r="F145">
        <f t="shared" si="8"/>
        <v>5485</v>
      </c>
      <c r="G145" t="s">
        <v>10969</v>
      </c>
      <c r="H145" t="str">
        <f t="shared" si="6"/>
        <v>AO - Sales</v>
      </c>
      <c r="I145" t="str">
        <f t="shared" si="7"/>
        <v>H000005482</v>
      </c>
    </row>
    <row r="146" spans="1:9">
      <c r="A146" t="s">
        <v>10209</v>
      </c>
      <c r="B146" t="s">
        <v>10973</v>
      </c>
      <c r="C146" t="s">
        <v>10819</v>
      </c>
      <c r="D146" t="s">
        <v>11024</v>
      </c>
      <c r="E146" s="47" t="s">
        <v>10451</v>
      </c>
      <c r="F146">
        <f t="shared" si="8"/>
        <v>5486</v>
      </c>
      <c r="G146" t="e">
        <v>#N/A</v>
      </c>
      <c r="H146" t="str">
        <f t="shared" si="6"/>
        <v>AO - Medic</v>
      </c>
      <c r="I146" t="str">
        <f t="shared" si="7"/>
        <v>H000002919</v>
      </c>
    </row>
    <row r="147" spans="1:9">
      <c r="A147" t="s">
        <v>10210</v>
      </c>
      <c r="B147" t="s">
        <v>10974</v>
      </c>
      <c r="C147" t="s">
        <v>10820</v>
      </c>
      <c r="D147" t="s">
        <v>10973</v>
      </c>
      <c r="E147" s="47" t="s">
        <v>10451</v>
      </c>
      <c r="F147">
        <f t="shared" si="8"/>
        <v>5487</v>
      </c>
      <c r="G147" t="s">
        <v>10973</v>
      </c>
      <c r="H147" t="str">
        <f t="shared" si="6"/>
        <v>AO - Medic</v>
      </c>
      <c r="I147" t="str">
        <f t="shared" si="7"/>
        <v>H000005486</v>
      </c>
    </row>
    <row r="148" spans="1:9">
      <c r="A148" t="s">
        <v>10211</v>
      </c>
      <c r="B148" t="s">
        <v>10975</v>
      </c>
      <c r="C148" t="s">
        <v>10821</v>
      </c>
      <c r="D148" t="s">
        <v>10973</v>
      </c>
      <c r="E148" s="47" t="s">
        <v>10451</v>
      </c>
      <c r="F148">
        <f t="shared" si="8"/>
        <v>5488</v>
      </c>
      <c r="G148" t="s">
        <v>10973</v>
      </c>
      <c r="H148" t="str">
        <f t="shared" si="6"/>
        <v>AO - Medic</v>
      </c>
      <c r="I148" t="str">
        <f t="shared" si="7"/>
        <v>H000005486</v>
      </c>
    </row>
    <row r="149" spans="1:9">
      <c r="A149" t="s">
        <v>10212</v>
      </c>
      <c r="B149" t="s">
        <v>10976</v>
      </c>
      <c r="C149" t="s">
        <v>10822</v>
      </c>
      <c r="D149" t="s">
        <v>11025</v>
      </c>
      <c r="E149" s="47" t="s">
        <v>10451</v>
      </c>
      <c r="F149">
        <f t="shared" si="8"/>
        <v>5489</v>
      </c>
      <c r="G149" t="e">
        <v>#N/A</v>
      </c>
      <c r="H149" t="str">
        <f t="shared" si="6"/>
        <v>DM - BU Ra</v>
      </c>
      <c r="I149" t="str">
        <f t="shared" si="7"/>
        <v>H000004036</v>
      </c>
    </row>
    <row r="150" spans="1:9">
      <c r="A150" t="s">
        <v>10213</v>
      </c>
      <c r="B150" t="s">
        <v>10977</v>
      </c>
      <c r="C150" t="s">
        <v>10823</v>
      </c>
      <c r="D150" t="s">
        <v>10976</v>
      </c>
      <c r="E150" s="47" t="s">
        <v>10451</v>
      </c>
      <c r="F150">
        <f t="shared" si="8"/>
        <v>5490</v>
      </c>
      <c r="G150" t="s">
        <v>10976</v>
      </c>
      <c r="H150" t="str">
        <f t="shared" si="6"/>
        <v>DM - Field</v>
      </c>
      <c r="I150" t="str">
        <f t="shared" si="7"/>
        <v>H000005489</v>
      </c>
    </row>
    <row r="151" spans="1:9">
      <c r="A151" t="s">
        <v>10214</v>
      </c>
      <c r="B151" t="s">
        <v>10978</v>
      </c>
      <c r="C151" t="s">
        <v>10824</v>
      </c>
      <c r="D151" t="s">
        <v>10976</v>
      </c>
      <c r="E151" s="47" t="s">
        <v>10451</v>
      </c>
      <c r="F151">
        <f t="shared" si="8"/>
        <v>5491</v>
      </c>
      <c r="G151" t="s">
        <v>10976</v>
      </c>
      <c r="H151" t="str">
        <f t="shared" si="6"/>
        <v>DM - Marke</v>
      </c>
      <c r="I151" t="str">
        <f t="shared" si="7"/>
        <v>H000005489</v>
      </c>
    </row>
    <row r="152" spans="1:9">
      <c r="A152" t="s">
        <v>10215</v>
      </c>
      <c r="B152" t="s">
        <v>10979</v>
      </c>
      <c r="C152" t="s">
        <v>10825</v>
      </c>
      <c r="D152" t="s">
        <v>10976</v>
      </c>
      <c r="E152" s="47" t="s">
        <v>10451</v>
      </c>
      <c r="F152">
        <f t="shared" si="8"/>
        <v>5492</v>
      </c>
      <c r="G152" t="s">
        <v>10976</v>
      </c>
      <c r="H152" t="str">
        <f t="shared" si="6"/>
        <v>DM - Sales</v>
      </c>
      <c r="I152" t="str">
        <f t="shared" si="7"/>
        <v>H000005489</v>
      </c>
    </row>
    <row r="153" spans="1:9">
      <c r="A153" t="s">
        <v>10216</v>
      </c>
      <c r="B153" t="s">
        <v>10980</v>
      </c>
      <c r="C153" t="s">
        <v>10826</v>
      </c>
      <c r="D153" t="s">
        <v>11026</v>
      </c>
      <c r="E153" s="47" t="s">
        <v>10451</v>
      </c>
      <c r="F153">
        <f t="shared" si="8"/>
        <v>5493</v>
      </c>
      <c r="G153" t="e">
        <v>#N/A</v>
      </c>
      <c r="H153" t="str">
        <f t="shared" si="6"/>
        <v>DM - Medic</v>
      </c>
      <c r="I153" t="str">
        <f t="shared" si="7"/>
        <v>H000004040</v>
      </c>
    </row>
    <row r="154" spans="1:9">
      <c r="A154" t="s">
        <v>10217</v>
      </c>
      <c r="B154" t="s">
        <v>10981</v>
      </c>
      <c r="C154" t="s">
        <v>10827</v>
      </c>
      <c r="D154" t="s">
        <v>10980</v>
      </c>
      <c r="E154" s="47" t="s">
        <v>10451</v>
      </c>
      <c r="F154">
        <f t="shared" si="8"/>
        <v>5494</v>
      </c>
      <c r="G154" t="s">
        <v>10980</v>
      </c>
      <c r="H154" t="str">
        <f t="shared" si="6"/>
        <v>DM - Medic</v>
      </c>
      <c r="I154" t="str">
        <f t="shared" si="7"/>
        <v>H000005493</v>
      </c>
    </row>
    <row r="155" spans="1:9">
      <c r="A155" t="s">
        <v>10218</v>
      </c>
      <c r="B155" t="s">
        <v>10982</v>
      </c>
      <c r="C155" t="s">
        <v>10828</v>
      </c>
      <c r="D155" t="s">
        <v>10980</v>
      </c>
      <c r="E155" s="47" t="s">
        <v>10451</v>
      </c>
      <c r="F155">
        <f t="shared" si="8"/>
        <v>5495</v>
      </c>
      <c r="G155" t="s">
        <v>10980</v>
      </c>
      <c r="H155" t="str">
        <f t="shared" si="6"/>
        <v>DM - Medic</v>
      </c>
      <c r="I155" t="str">
        <f t="shared" si="7"/>
        <v>H000005493</v>
      </c>
    </row>
  </sheetData>
  <conditionalFormatting sqref="F1">
    <cfRule type="duplicateValues" dxfId="5" priority="2"/>
  </conditionalFormatting>
  <conditionalFormatting sqref="E2:E155">
    <cfRule type="duplicateValues" dxfId="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BEF14-6CBE-4350-9428-EF0D5E155E1B}">
  <dimension ref="A1:C224"/>
  <sheetViews>
    <sheetView topLeftCell="A193" workbookViewId="0">
      <selection activeCell="C2" sqref="C2:C224"/>
    </sheetView>
  </sheetViews>
  <sheetFormatPr defaultRowHeight="15"/>
  <cols>
    <col min="1" max="1" width="11.28515625" bestFit="1" customWidth="1"/>
  </cols>
  <sheetData>
    <row r="1" spans="1:3">
      <c r="A1" t="s">
        <v>10064</v>
      </c>
      <c r="B1">
        <v>5118</v>
      </c>
    </row>
    <row r="2" spans="1:3">
      <c r="A2" t="s">
        <v>10451</v>
      </c>
      <c r="B2">
        <f>+B1+1</f>
        <v>5119</v>
      </c>
      <c r="C2" t="str">
        <f>A2&amp;B2</f>
        <v>H000005119</v>
      </c>
    </row>
    <row r="3" spans="1:3">
      <c r="A3" t="s">
        <v>10451</v>
      </c>
      <c r="B3">
        <f t="shared" ref="B3:B66" si="0">+B2+1</f>
        <v>5120</v>
      </c>
      <c r="C3" t="str">
        <f t="shared" ref="C3:C66" si="1">A3&amp;B3</f>
        <v>H000005120</v>
      </c>
    </row>
    <row r="4" spans="1:3">
      <c r="A4" t="s">
        <v>10451</v>
      </c>
      <c r="B4">
        <f t="shared" si="0"/>
        <v>5121</v>
      </c>
      <c r="C4" t="str">
        <f t="shared" si="1"/>
        <v>H000005121</v>
      </c>
    </row>
    <row r="5" spans="1:3">
      <c r="A5" t="s">
        <v>10451</v>
      </c>
      <c r="B5">
        <f t="shared" si="0"/>
        <v>5122</v>
      </c>
      <c r="C5" t="str">
        <f t="shared" si="1"/>
        <v>H000005122</v>
      </c>
    </row>
    <row r="6" spans="1:3">
      <c r="A6" t="s">
        <v>10451</v>
      </c>
      <c r="B6">
        <f t="shared" si="0"/>
        <v>5123</v>
      </c>
      <c r="C6" t="str">
        <f t="shared" si="1"/>
        <v>H000005123</v>
      </c>
    </row>
    <row r="7" spans="1:3">
      <c r="A7" t="s">
        <v>10451</v>
      </c>
      <c r="B7">
        <f t="shared" si="0"/>
        <v>5124</v>
      </c>
      <c r="C7" t="str">
        <f t="shared" si="1"/>
        <v>H000005124</v>
      </c>
    </row>
    <row r="8" spans="1:3">
      <c r="A8" t="s">
        <v>10451</v>
      </c>
      <c r="B8">
        <f t="shared" si="0"/>
        <v>5125</v>
      </c>
      <c r="C8" t="str">
        <f t="shared" si="1"/>
        <v>H000005125</v>
      </c>
    </row>
    <row r="9" spans="1:3">
      <c r="A9" t="s">
        <v>10451</v>
      </c>
      <c r="B9">
        <f t="shared" si="0"/>
        <v>5126</v>
      </c>
      <c r="C9" t="str">
        <f t="shared" si="1"/>
        <v>H000005126</v>
      </c>
    </row>
    <row r="10" spans="1:3">
      <c r="A10" t="s">
        <v>10451</v>
      </c>
      <c r="B10">
        <f t="shared" si="0"/>
        <v>5127</v>
      </c>
      <c r="C10" t="str">
        <f t="shared" si="1"/>
        <v>H000005127</v>
      </c>
    </row>
    <row r="11" spans="1:3">
      <c r="A11" t="s">
        <v>10451</v>
      </c>
      <c r="B11">
        <f t="shared" si="0"/>
        <v>5128</v>
      </c>
      <c r="C11" t="str">
        <f t="shared" si="1"/>
        <v>H000005128</v>
      </c>
    </row>
    <row r="12" spans="1:3">
      <c r="A12" t="s">
        <v>10451</v>
      </c>
      <c r="B12">
        <f t="shared" si="0"/>
        <v>5129</v>
      </c>
      <c r="C12" t="str">
        <f t="shared" si="1"/>
        <v>H000005129</v>
      </c>
    </row>
    <row r="13" spans="1:3">
      <c r="A13" t="s">
        <v>10451</v>
      </c>
      <c r="B13">
        <f t="shared" si="0"/>
        <v>5130</v>
      </c>
      <c r="C13" t="str">
        <f t="shared" si="1"/>
        <v>H000005130</v>
      </c>
    </row>
    <row r="14" spans="1:3">
      <c r="A14" t="s">
        <v>10451</v>
      </c>
      <c r="B14">
        <f t="shared" si="0"/>
        <v>5131</v>
      </c>
      <c r="C14" t="str">
        <f t="shared" si="1"/>
        <v>H000005131</v>
      </c>
    </row>
    <row r="15" spans="1:3">
      <c r="A15" t="s">
        <v>10451</v>
      </c>
      <c r="B15">
        <f t="shared" si="0"/>
        <v>5132</v>
      </c>
      <c r="C15" t="str">
        <f t="shared" si="1"/>
        <v>H000005132</v>
      </c>
    </row>
    <row r="16" spans="1:3">
      <c r="A16" t="s">
        <v>10451</v>
      </c>
      <c r="B16">
        <f t="shared" si="0"/>
        <v>5133</v>
      </c>
      <c r="C16" t="str">
        <f t="shared" si="1"/>
        <v>H000005133</v>
      </c>
    </row>
    <row r="17" spans="1:3">
      <c r="A17" t="s">
        <v>10451</v>
      </c>
      <c r="B17">
        <f t="shared" si="0"/>
        <v>5134</v>
      </c>
      <c r="C17" t="str">
        <f t="shared" si="1"/>
        <v>H000005134</v>
      </c>
    </row>
    <row r="18" spans="1:3">
      <c r="A18" t="s">
        <v>10451</v>
      </c>
      <c r="B18">
        <f t="shared" si="0"/>
        <v>5135</v>
      </c>
      <c r="C18" t="str">
        <f t="shared" si="1"/>
        <v>H000005135</v>
      </c>
    </row>
    <row r="19" spans="1:3">
      <c r="A19" t="s">
        <v>10451</v>
      </c>
      <c r="B19">
        <f t="shared" si="0"/>
        <v>5136</v>
      </c>
      <c r="C19" t="str">
        <f t="shared" si="1"/>
        <v>H000005136</v>
      </c>
    </row>
    <row r="20" spans="1:3">
      <c r="A20" t="s">
        <v>10451</v>
      </c>
      <c r="B20">
        <f t="shared" si="0"/>
        <v>5137</v>
      </c>
      <c r="C20" t="str">
        <f t="shared" si="1"/>
        <v>H000005137</v>
      </c>
    </row>
    <row r="21" spans="1:3">
      <c r="A21" t="s">
        <v>10451</v>
      </c>
      <c r="B21">
        <f t="shared" si="0"/>
        <v>5138</v>
      </c>
      <c r="C21" t="str">
        <f t="shared" si="1"/>
        <v>H000005138</v>
      </c>
    </row>
    <row r="22" spans="1:3">
      <c r="A22" t="s">
        <v>10451</v>
      </c>
      <c r="B22">
        <f t="shared" si="0"/>
        <v>5139</v>
      </c>
      <c r="C22" t="str">
        <f t="shared" si="1"/>
        <v>H000005139</v>
      </c>
    </row>
    <row r="23" spans="1:3">
      <c r="A23" t="s">
        <v>10451</v>
      </c>
      <c r="B23">
        <f t="shared" si="0"/>
        <v>5140</v>
      </c>
      <c r="C23" t="str">
        <f t="shared" si="1"/>
        <v>H000005140</v>
      </c>
    </row>
    <row r="24" spans="1:3">
      <c r="A24" t="s">
        <v>10451</v>
      </c>
      <c r="B24">
        <f t="shared" si="0"/>
        <v>5141</v>
      </c>
      <c r="C24" t="str">
        <f t="shared" si="1"/>
        <v>H000005141</v>
      </c>
    </row>
    <row r="25" spans="1:3">
      <c r="A25" t="s">
        <v>10451</v>
      </c>
      <c r="B25">
        <f t="shared" si="0"/>
        <v>5142</v>
      </c>
      <c r="C25" t="str">
        <f t="shared" si="1"/>
        <v>H000005142</v>
      </c>
    </row>
    <row r="26" spans="1:3">
      <c r="A26" t="s">
        <v>10451</v>
      </c>
      <c r="B26">
        <f t="shared" si="0"/>
        <v>5143</v>
      </c>
      <c r="C26" t="str">
        <f t="shared" si="1"/>
        <v>H000005143</v>
      </c>
    </row>
    <row r="27" spans="1:3">
      <c r="A27" t="s">
        <v>10451</v>
      </c>
      <c r="B27">
        <f t="shared" si="0"/>
        <v>5144</v>
      </c>
      <c r="C27" t="str">
        <f t="shared" si="1"/>
        <v>H000005144</v>
      </c>
    </row>
    <row r="28" spans="1:3">
      <c r="A28" t="s">
        <v>10451</v>
      </c>
      <c r="B28">
        <f t="shared" si="0"/>
        <v>5145</v>
      </c>
      <c r="C28" t="str">
        <f t="shared" si="1"/>
        <v>H000005145</v>
      </c>
    </row>
    <row r="29" spans="1:3">
      <c r="A29" t="s">
        <v>10451</v>
      </c>
      <c r="B29">
        <f t="shared" si="0"/>
        <v>5146</v>
      </c>
      <c r="C29" t="str">
        <f t="shared" si="1"/>
        <v>H000005146</v>
      </c>
    </row>
    <row r="30" spans="1:3">
      <c r="A30" t="s">
        <v>10451</v>
      </c>
      <c r="B30">
        <f t="shared" si="0"/>
        <v>5147</v>
      </c>
      <c r="C30" t="str">
        <f t="shared" si="1"/>
        <v>H000005147</v>
      </c>
    </row>
    <row r="31" spans="1:3">
      <c r="A31" t="s">
        <v>10451</v>
      </c>
      <c r="B31">
        <f t="shared" si="0"/>
        <v>5148</v>
      </c>
      <c r="C31" t="str">
        <f t="shared" si="1"/>
        <v>H000005148</v>
      </c>
    </row>
    <row r="32" spans="1:3">
      <c r="A32" t="s">
        <v>10451</v>
      </c>
      <c r="B32">
        <f t="shared" si="0"/>
        <v>5149</v>
      </c>
      <c r="C32" t="str">
        <f t="shared" si="1"/>
        <v>H000005149</v>
      </c>
    </row>
    <row r="33" spans="1:3">
      <c r="A33" t="s">
        <v>10451</v>
      </c>
      <c r="B33">
        <f t="shared" si="0"/>
        <v>5150</v>
      </c>
      <c r="C33" t="str">
        <f t="shared" si="1"/>
        <v>H000005150</v>
      </c>
    </row>
    <row r="34" spans="1:3">
      <c r="A34" t="s">
        <v>10451</v>
      </c>
      <c r="B34">
        <f t="shared" si="0"/>
        <v>5151</v>
      </c>
      <c r="C34" t="str">
        <f t="shared" si="1"/>
        <v>H000005151</v>
      </c>
    </row>
    <row r="35" spans="1:3">
      <c r="A35" t="s">
        <v>10451</v>
      </c>
      <c r="B35">
        <f t="shared" si="0"/>
        <v>5152</v>
      </c>
      <c r="C35" t="str">
        <f t="shared" si="1"/>
        <v>H000005152</v>
      </c>
    </row>
    <row r="36" spans="1:3">
      <c r="A36" t="s">
        <v>10451</v>
      </c>
      <c r="B36">
        <f t="shared" si="0"/>
        <v>5153</v>
      </c>
      <c r="C36" t="str">
        <f t="shared" si="1"/>
        <v>H000005153</v>
      </c>
    </row>
    <row r="37" spans="1:3">
      <c r="A37" t="s">
        <v>10451</v>
      </c>
      <c r="B37">
        <f t="shared" si="0"/>
        <v>5154</v>
      </c>
      <c r="C37" t="str">
        <f t="shared" si="1"/>
        <v>H000005154</v>
      </c>
    </row>
    <row r="38" spans="1:3">
      <c r="A38" t="s">
        <v>10451</v>
      </c>
      <c r="B38">
        <f t="shared" si="0"/>
        <v>5155</v>
      </c>
      <c r="C38" t="str">
        <f t="shared" si="1"/>
        <v>H000005155</v>
      </c>
    </row>
    <row r="39" spans="1:3">
      <c r="A39" t="s">
        <v>10451</v>
      </c>
      <c r="B39">
        <f t="shared" si="0"/>
        <v>5156</v>
      </c>
      <c r="C39" t="str">
        <f t="shared" si="1"/>
        <v>H000005156</v>
      </c>
    </row>
    <row r="40" spans="1:3">
      <c r="A40" t="s">
        <v>10451</v>
      </c>
      <c r="B40">
        <f t="shared" si="0"/>
        <v>5157</v>
      </c>
      <c r="C40" t="str">
        <f t="shared" si="1"/>
        <v>H000005157</v>
      </c>
    </row>
    <row r="41" spans="1:3">
      <c r="A41" t="s">
        <v>10451</v>
      </c>
      <c r="B41">
        <f t="shared" si="0"/>
        <v>5158</v>
      </c>
      <c r="C41" t="str">
        <f t="shared" si="1"/>
        <v>H000005158</v>
      </c>
    </row>
    <row r="42" spans="1:3">
      <c r="A42" t="s">
        <v>10451</v>
      </c>
      <c r="B42">
        <f t="shared" si="0"/>
        <v>5159</v>
      </c>
      <c r="C42" t="str">
        <f t="shared" si="1"/>
        <v>H000005159</v>
      </c>
    </row>
    <row r="43" spans="1:3">
      <c r="A43" t="s">
        <v>10451</v>
      </c>
      <c r="B43">
        <f t="shared" si="0"/>
        <v>5160</v>
      </c>
      <c r="C43" t="str">
        <f t="shared" si="1"/>
        <v>H000005160</v>
      </c>
    </row>
    <row r="44" spans="1:3">
      <c r="A44" t="s">
        <v>10451</v>
      </c>
      <c r="B44">
        <f t="shared" si="0"/>
        <v>5161</v>
      </c>
      <c r="C44" t="str">
        <f t="shared" si="1"/>
        <v>H000005161</v>
      </c>
    </row>
    <row r="45" spans="1:3">
      <c r="A45" t="s">
        <v>10451</v>
      </c>
      <c r="B45">
        <f t="shared" si="0"/>
        <v>5162</v>
      </c>
      <c r="C45" t="str">
        <f t="shared" si="1"/>
        <v>H000005162</v>
      </c>
    </row>
    <row r="46" spans="1:3">
      <c r="A46" t="s">
        <v>10451</v>
      </c>
      <c r="B46">
        <f t="shared" si="0"/>
        <v>5163</v>
      </c>
      <c r="C46" t="str">
        <f t="shared" si="1"/>
        <v>H000005163</v>
      </c>
    </row>
    <row r="47" spans="1:3">
      <c r="A47" t="s">
        <v>10451</v>
      </c>
      <c r="B47">
        <f t="shared" si="0"/>
        <v>5164</v>
      </c>
      <c r="C47" t="str">
        <f t="shared" si="1"/>
        <v>H000005164</v>
      </c>
    </row>
    <row r="48" spans="1:3">
      <c r="A48" t="s">
        <v>10451</v>
      </c>
      <c r="B48">
        <f t="shared" si="0"/>
        <v>5165</v>
      </c>
      <c r="C48" t="str">
        <f t="shared" si="1"/>
        <v>H000005165</v>
      </c>
    </row>
    <row r="49" spans="1:3">
      <c r="A49" t="s">
        <v>10451</v>
      </c>
      <c r="B49">
        <f t="shared" si="0"/>
        <v>5166</v>
      </c>
      <c r="C49" t="str">
        <f t="shared" si="1"/>
        <v>H000005166</v>
      </c>
    </row>
    <row r="50" spans="1:3">
      <c r="A50" t="s">
        <v>10451</v>
      </c>
      <c r="B50">
        <f t="shared" si="0"/>
        <v>5167</v>
      </c>
      <c r="C50" t="str">
        <f t="shared" si="1"/>
        <v>H000005167</v>
      </c>
    </row>
    <row r="51" spans="1:3">
      <c r="A51" t="s">
        <v>10451</v>
      </c>
      <c r="B51">
        <f t="shared" si="0"/>
        <v>5168</v>
      </c>
      <c r="C51" t="str">
        <f t="shared" si="1"/>
        <v>H000005168</v>
      </c>
    </row>
    <row r="52" spans="1:3">
      <c r="A52" t="s">
        <v>10451</v>
      </c>
      <c r="B52">
        <f t="shared" si="0"/>
        <v>5169</v>
      </c>
      <c r="C52" t="str">
        <f t="shared" si="1"/>
        <v>H000005169</v>
      </c>
    </row>
    <row r="53" spans="1:3">
      <c r="A53" t="s">
        <v>10451</v>
      </c>
      <c r="B53">
        <f t="shared" si="0"/>
        <v>5170</v>
      </c>
      <c r="C53" t="str">
        <f t="shared" si="1"/>
        <v>H000005170</v>
      </c>
    </row>
    <row r="54" spans="1:3">
      <c r="A54" t="s">
        <v>10451</v>
      </c>
      <c r="B54">
        <f t="shared" si="0"/>
        <v>5171</v>
      </c>
      <c r="C54" t="str">
        <f t="shared" si="1"/>
        <v>H000005171</v>
      </c>
    </row>
    <row r="55" spans="1:3">
      <c r="A55" t="s">
        <v>10451</v>
      </c>
      <c r="B55">
        <f t="shared" si="0"/>
        <v>5172</v>
      </c>
      <c r="C55" t="str">
        <f t="shared" si="1"/>
        <v>H000005172</v>
      </c>
    </row>
    <row r="56" spans="1:3">
      <c r="A56" t="s">
        <v>10451</v>
      </c>
      <c r="B56">
        <f t="shared" si="0"/>
        <v>5173</v>
      </c>
      <c r="C56" t="str">
        <f t="shared" si="1"/>
        <v>H000005173</v>
      </c>
    </row>
    <row r="57" spans="1:3">
      <c r="A57" t="s">
        <v>10451</v>
      </c>
      <c r="B57">
        <f t="shared" si="0"/>
        <v>5174</v>
      </c>
      <c r="C57" t="str">
        <f t="shared" si="1"/>
        <v>H000005174</v>
      </c>
    </row>
    <row r="58" spans="1:3">
      <c r="A58" t="s">
        <v>10451</v>
      </c>
      <c r="B58">
        <f t="shared" si="0"/>
        <v>5175</v>
      </c>
      <c r="C58" t="str">
        <f t="shared" si="1"/>
        <v>H000005175</v>
      </c>
    </row>
    <row r="59" spans="1:3">
      <c r="A59" t="s">
        <v>10451</v>
      </c>
      <c r="B59">
        <f t="shared" si="0"/>
        <v>5176</v>
      </c>
      <c r="C59" t="str">
        <f t="shared" si="1"/>
        <v>H000005176</v>
      </c>
    </row>
    <row r="60" spans="1:3">
      <c r="A60" t="s">
        <v>10451</v>
      </c>
      <c r="B60">
        <f t="shared" si="0"/>
        <v>5177</v>
      </c>
      <c r="C60" t="str">
        <f t="shared" si="1"/>
        <v>H000005177</v>
      </c>
    </row>
    <row r="61" spans="1:3">
      <c r="A61" t="s">
        <v>10451</v>
      </c>
      <c r="B61">
        <f t="shared" si="0"/>
        <v>5178</v>
      </c>
      <c r="C61" t="str">
        <f t="shared" si="1"/>
        <v>H000005178</v>
      </c>
    </row>
    <row r="62" spans="1:3">
      <c r="A62" t="s">
        <v>10451</v>
      </c>
      <c r="B62">
        <f t="shared" si="0"/>
        <v>5179</v>
      </c>
      <c r="C62" t="str">
        <f t="shared" si="1"/>
        <v>H000005179</v>
      </c>
    </row>
    <row r="63" spans="1:3">
      <c r="A63" t="s">
        <v>10451</v>
      </c>
      <c r="B63">
        <f t="shared" si="0"/>
        <v>5180</v>
      </c>
      <c r="C63" t="str">
        <f t="shared" si="1"/>
        <v>H000005180</v>
      </c>
    </row>
    <row r="64" spans="1:3">
      <c r="A64" t="s">
        <v>10451</v>
      </c>
      <c r="B64">
        <f t="shared" si="0"/>
        <v>5181</v>
      </c>
      <c r="C64" t="str">
        <f t="shared" si="1"/>
        <v>H000005181</v>
      </c>
    </row>
    <row r="65" spans="1:3">
      <c r="A65" t="s">
        <v>10451</v>
      </c>
      <c r="B65">
        <f t="shared" si="0"/>
        <v>5182</v>
      </c>
      <c r="C65" t="str">
        <f t="shared" si="1"/>
        <v>H000005182</v>
      </c>
    </row>
    <row r="66" spans="1:3">
      <c r="A66" t="s">
        <v>10451</v>
      </c>
      <c r="B66">
        <f t="shared" si="0"/>
        <v>5183</v>
      </c>
      <c r="C66" t="str">
        <f t="shared" si="1"/>
        <v>H000005183</v>
      </c>
    </row>
    <row r="67" spans="1:3">
      <c r="A67" t="s">
        <v>10451</v>
      </c>
      <c r="B67">
        <f t="shared" ref="B67:B130" si="2">+B66+1</f>
        <v>5184</v>
      </c>
      <c r="C67" t="str">
        <f t="shared" ref="C67:C130" si="3">A67&amp;B67</f>
        <v>H000005184</v>
      </c>
    </row>
    <row r="68" spans="1:3">
      <c r="A68" t="s">
        <v>10451</v>
      </c>
      <c r="B68">
        <f t="shared" si="2"/>
        <v>5185</v>
      </c>
      <c r="C68" t="str">
        <f t="shared" si="3"/>
        <v>H000005185</v>
      </c>
    </row>
    <row r="69" spans="1:3">
      <c r="A69" t="s">
        <v>10451</v>
      </c>
      <c r="B69">
        <f t="shared" si="2"/>
        <v>5186</v>
      </c>
      <c r="C69" t="str">
        <f t="shared" si="3"/>
        <v>H000005186</v>
      </c>
    </row>
    <row r="70" spans="1:3">
      <c r="A70" t="s">
        <v>10451</v>
      </c>
      <c r="B70">
        <f t="shared" si="2"/>
        <v>5187</v>
      </c>
      <c r="C70" t="str">
        <f t="shared" si="3"/>
        <v>H000005187</v>
      </c>
    </row>
    <row r="71" spans="1:3">
      <c r="A71" t="s">
        <v>10451</v>
      </c>
      <c r="B71">
        <f t="shared" si="2"/>
        <v>5188</v>
      </c>
      <c r="C71" t="str">
        <f t="shared" si="3"/>
        <v>H000005188</v>
      </c>
    </row>
    <row r="72" spans="1:3">
      <c r="A72" t="s">
        <v>10451</v>
      </c>
      <c r="B72">
        <f t="shared" si="2"/>
        <v>5189</v>
      </c>
      <c r="C72" t="str">
        <f t="shared" si="3"/>
        <v>H000005189</v>
      </c>
    </row>
    <row r="73" spans="1:3">
      <c r="A73" t="s">
        <v>10451</v>
      </c>
      <c r="B73">
        <f t="shared" si="2"/>
        <v>5190</v>
      </c>
      <c r="C73" t="str">
        <f t="shared" si="3"/>
        <v>H000005190</v>
      </c>
    </row>
    <row r="74" spans="1:3">
      <c r="A74" t="s">
        <v>10451</v>
      </c>
      <c r="B74">
        <f t="shared" si="2"/>
        <v>5191</v>
      </c>
      <c r="C74" t="str">
        <f t="shared" si="3"/>
        <v>H000005191</v>
      </c>
    </row>
    <row r="75" spans="1:3">
      <c r="A75" t="s">
        <v>10451</v>
      </c>
      <c r="B75">
        <f t="shared" si="2"/>
        <v>5192</v>
      </c>
      <c r="C75" t="str">
        <f t="shared" si="3"/>
        <v>H000005192</v>
      </c>
    </row>
    <row r="76" spans="1:3">
      <c r="A76" t="s">
        <v>10451</v>
      </c>
      <c r="B76">
        <f t="shared" si="2"/>
        <v>5193</v>
      </c>
      <c r="C76" t="str">
        <f t="shared" si="3"/>
        <v>H000005193</v>
      </c>
    </row>
    <row r="77" spans="1:3">
      <c r="A77" t="s">
        <v>10451</v>
      </c>
      <c r="B77">
        <f t="shared" si="2"/>
        <v>5194</v>
      </c>
      <c r="C77" t="str">
        <f t="shared" si="3"/>
        <v>H000005194</v>
      </c>
    </row>
    <row r="78" spans="1:3">
      <c r="A78" t="s">
        <v>10451</v>
      </c>
      <c r="B78">
        <f t="shared" si="2"/>
        <v>5195</v>
      </c>
      <c r="C78" t="str">
        <f t="shared" si="3"/>
        <v>H000005195</v>
      </c>
    </row>
    <row r="79" spans="1:3">
      <c r="A79" t="s">
        <v>10451</v>
      </c>
      <c r="B79">
        <f t="shared" si="2"/>
        <v>5196</v>
      </c>
      <c r="C79" t="str">
        <f t="shared" si="3"/>
        <v>H000005196</v>
      </c>
    </row>
    <row r="80" spans="1:3">
      <c r="A80" t="s">
        <v>10451</v>
      </c>
      <c r="B80">
        <f t="shared" si="2"/>
        <v>5197</v>
      </c>
      <c r="C80" t="str">
        <f t="shared" si="3"/>
        <v>H000005197</v>
      </c>
    </row>
    <row r="81" spans="1:3">
      <c r="A81" t="s">
        <v>10451</v>
      </c>
      <c r="B81">
        <f t="shared" si="2"/>
        <v>5198</v>
      </c>
      <c r="C81" t="str">
        <f t="shared" si="3"/>
        <v>H000005198</v>
      </c>
    </row>
    <row r="82" spans="1:3">
      <c r="A82" t="s">
        <v>10451</v>
      </c>
      <c r="B82">
        <f t="shared" si="2"/>
        <v>5199</v>
      </c>
      <c r="C82" t="str">
        <f t="shared" si="3"/>
        <v>H000005199</v>
      </c>
    </row>
    <row r="83" spans="1:3">
      <c r="A83" t="s">
        <v>10451</v>
      </c>
      <c r="B83">
        <f t="shared" si="2"/>
        <v>5200</v>
      </c>
      <c r="C83" t="str">
        <f t="shared" si="3"/>
        <v>H000005200</v>
      </c>
    </row>
    <row r="84" spans="1:3">
      <c r="A84" t="s">
        <v>10451</v>
      </c>
      <c r="B84">
        <f t="shared" si="2"/>
        <v>5201</v>
      </c>
      <c r="C84" t="str">
        <f t="shared" si="3"/>
        <v>H000005201</v>
      </c>
    </row>
    <row r="85" spans="1:3">
      <c r="A85" t="s">
        <v>10451</v>
      </c>
      <c r="B85">
        <f t="shared" si="2"/>
        <v>5202</v>
      </c>
      <c r="C85" t="str">
        <f t="shared" si="3"/>
        <v>H000005202</v>
      </c>
    </row>
    <row r="86" spans="1:3">
      <c r="A86" t="s">
        <v>10451</v>
      </c>
      <c r="B86">
        <f t="shared" si="2"/>
        <v>5203</v>
      </c>
      <c r="C86" t="str">
        <f t="shared" si="3"/>
        <v>H000005203</v>
      </c>
    </row>
    <row r="87" spans="1:3">
      <c r="A87" t="s">
        <v>10451</v>
      </c>
      <c r="B87">
        <f t="shared" si="2"/>
        <v>5204</v>
      </c>
      <c r="C87" t="str">
        <f t="shared" si="3"/>
        <v>H000005204</v>
      </c>
    </row>
    <row r="88" spans="1:3">
      <c r="A88" t="s">
        <v>10451</v>
      </c>
      <c r="B88">
        <f t="shared" si="2"/>
        <v>5205</v>
      </c>
      <c r="C88" t="str">
        <f t="shared" si="3"/>
        <v>H000005205</v>
      </c>
    </row>
    <row r="89" spans="1:3">
      <c r="A89" t="s">
        <v>10451</v>
      </c>
      <c r="B89">
        <f t="shared" si="2"/>
        <v>5206</v>
      </c>
      <c r="C89" t="str">
        <f t="shared" si="3"/>
        <v>H000005206</v>
      </c>
    </row>
    <row r="90" spans="1:3">
      <c r="A90" t="s">
        <v>10451</v>
      </c>
      <c r="B90">
        <f t="shared" si="2"/>
        <v>5207</v>
      </c>
      <c r="C90" t="str">
        <f t="shared" si="3"/>
        <v>H000005207</v>
      </c>
    </row>
    <row r="91" spans="1:3">
      <c r="A91" t="s">
        <v>10451</v>
      </c>
      <c r="B91">
        <f t="shared" si="2"/>
        <v>5208</v>
      </c>
      <c r="C91" t="str">
        <f t="shared" si="3"/>
        <v>H000005208</v>
      </c>
    </row>
    <row r="92" spans="1:3">
      <c r="A92" t="s">
        <v>10451</v>
      </c>
      <c r="B92">
        <f t="shared" si="2"/>
        <v>5209</v>
      </c>
      <c r="C92" t="str">
        <f t="shared" si="3"/>
        <v>H000005209</v>
      </c>
    </row>
    <row r="93" spans="1:3">
      <c r="A93" t="s">
        <v>10451</v>
      </c>
      <c r="B93">
        <f t="shared" si="2"/>
        <v>5210</v>
      </c>
      <c r="C93" t="str">
        <f t="shared" si="3"/>
        <v>H000005210</v>
      </c>
    </row>
    <row r="94" spans="1:3">
      <c r="A94" t="s">
        <v>10451</v>
      </c>
      <c r="B94">
        <f t="shared" si="2"/>
        <v>5211</v>
      </c>
      <c r="C94" t="str">
        <f t="shared" si="3"/>
        <v>H000005211</v>
      </c>
    </row>
    <row r="95" spans="1:3">
      <c r="A95" t="s">
        <v>10451</v>
      </c>
      <c r="B95">
        <f t="shared" si="2"/>
        <v>5212</v>
      </c>
      <c r="C95" t="str">
        <f t="shared" si="3"/>
        <v>H000005212</v>
      </c>
    </row>
    <row r="96" spans="1:3">
      <c r="A96" t="s">
        <v>10451</v>
      </c>
      <c r="B96">
        <f t="shared" si="2"/>
        <v>5213</v>
      </c>
      <c r="C96" t="str">
        <f t="shared" si="3"/>
        <v>H000005213</v>
      </c>
    </row>
    <row r="97" spans="1:3">
      <c r="A97" t="s">
        <v>10451</v>
      </c>
      <c r="B97">
        <f t="shared" si="2"/>
        <v>5214</v>
      </c>
      <c r="C97" t="str">
        <f t="shared" si="3"/>
        <v>H000005214</v>
      </c>
    </row>
    <row r="98" spans="1:3">
      <c r="A98" t="s">
        <v>10451</v>
      </c>
      <c r="B98">
        <f t="shared" si="2"/>
        <v>5215</v>
      </c>
      <c r="C98" t="str">
        <f t="shared" si="3"/>
        <v>H000005215</v>
      </c>
    </row>
    <row r="99" spans="1:3">
      <c r="A99" t="s">
        <v>10451</v>
      </c>
      <c r="B99">
        <f t="shared" si="2"/>
        <v>5216</v>
      </c>
      <c r="C99" t="str">
        <f t="shared" si="3"/>
        <v>H000005216</v>
      </c>
    </row>
    <row r="100" spans="1:3">
      <c r="A100" t="s">
        <v>10451</v>
      </c>
      <c r="B100">
        <f t="shared" si="2"/>
        <v>5217</v>
      </c>
      <c r="C100" t="str">
        <f t="shared" si="3"/>
        <v>H000005217</v>
      </c>
    </row>
    <row r="101" spans="1:3">
      <c r="A101" t="s">
        <v>10451</v>
      </c>
      <c r="B101">
        <f t="shared" si="2"/>
        <v>5218</v>
      </c>
      <c r="C101" t="str">
        <f t="shared" si="3"/>
        <v>H000005218</v>
      </c>
    </row>
    <row r="102" spans="1:3">
      <c r="A102" t="s">
        <v>10451</v>
      </c>
      <c r="B102">
        <f t="shared" si="2"/>
        <v>5219</v>
      </c>
      <c r="C102" t="str">
        <f t="shared" si="3"/>
        <v>H000005219</v>
      </c>
    </row>
    <row r="103" spans="1:3">
      <c r="A103" t="s">
        <v>10451</v>
      </c>
      <c r="B103">
        <f t="shared" si="2"/>
        <v>5220</v>
      </c>
      <c r="C103" t="str">
        <f t="shared" si="3"/>
        <v>H000005220</v>
      </c>
    </row>
    <row r="104" spans="1:3">
      <c r="A104" t="s">
        <v>10451</v>
      </c>
      <c r="B104">
        <f t="shared" si="2"/>
        <v>5221</v>
      </c>
      <c r="C104" t="str">
        <f t="shared" si="3"/>
        <v>H000005221</v>
      </c>
    </row>
    <row r="105" spans="1:3">
      <c r="A105" t="s">
        <v>10451</v>
      </c>
      <c r="B105">
        <f t="shared" si="2"/>
        <v>5222</v>
      </c>
      <c r="C105" t="str">
        <f t="shared" si="3"/>
        <v>H000005222</v>
      </c>
    </row>
    <row r="106" spans="1:3">
      <c r="A106" t="s">
        <v>10451</v>
      </c>
      <c r="B106">
        <f t="shared" si="2"/>
        <v>5223</v>
      </c>
      <c r="C106" t="str">
        <f t="shared" si="3"/>
        <v>H000005223</v>
      </c>
    </row>
    <row r="107" spans="1:3">
      <c r="A107" t="s">
        <v>10451</v>
      </c>
      <c r="B107">
        <f t="shared" si="2"/>
        <v>5224</v>
      </c>
      <c r="C107" t="str">
        <f t="shared" si="3"/>
        <v>H000005224</v>
      </c>
    </row>
    <row r="108" spans="1:3">
      <c r="A108" t="s">
        <v>10451</v>
      </c>
      <c r="B108">
        <f t="shared" si="2"/>
        <v>5225</v>
      </c>
      <c r="C108" t="str">
        <f t="shared" si="3"/>
        <v>H000005225</v>
      </c>
    </row>
    <row r="109" spans="1:3">
      <c r="A109" t="s">
        <v>10451</v>
      </c>
      <c r="B109">
        <f t="shared" si="2"/>
        <v>5226</v>
      </c>
      <c r="C109" t="str">
        <f t="shared" si="3"/>
        <v>H000005226</v>
      </c>
    </row>
    <row r="110" spans="1:3">
      <c r="A110" t="s">
        <v>10451</v>
      </c>
      <c r="B110">
        <f t="shared" si="2"/>
        <v>5227</v>
      </c>
      <c r="C110" t="str">
        <f t="shared" si="3"/>
        <v>H000005227</v>
      </c>
    </row>
    <row r="111" spans="1:3">
      <c r="A111" t="s">
        <v>10451</v>
      </c>
      <c r="B111">
        <f t="shared" si="2"/>
        <v>5228</v>
      </c>
      <c r="C111" t="str">
        <f t="shared" si="3"/>
        <v>H000005228</v>
      </c>
    </row>
    <row r="112" spans="1:3">
      <c r="A112" t="s">
        <v>10451</v>
      </c>
      <c r="B112">
        <f t="shared" si="2"/>
        <v>5229</v>
      </c>
      <c r="C112" t="str">
        <f t="shared" si="3"/>
        <v>H000005229</v>
      </c>
    </row>
    <row r="113" spans="1:3">
      <c r="A113" t="s">
        <v>10451</v>
      </c>
      <c r="B113">
        <f t="shared" si="2"/>
        <v>5230</v>
      </c>
      <c r="C113" t="str">
        <f t="shared" si="3"/>
        <v>H000005230</v>
      </c>
    </row>
    <row r="114" spans="1:3">
      <c r="A114" t="s">
        <v>10451</v>
      </c>
      <c r="B114">
        <f t="shared" si="2"/>
        <v>5231</v>
      </c>
      <c r="C114" t="str">
        <f t="shared" si="3"/>
        <v>H000005231</v>
      </c>
    </row>
    <row r="115" spans="1:3">
      <c r="A115" t="s">
        <v>10451</v>
      </c>
      <c r="B115">
        <f t="shared" si="2"/>
        <v>5232</v>
      </c>
      <c r="C115" t="str">
        <f t="shared" si="3"/>
        <v>H000005232</v>
      </c>
    </row>
    <row r="116" spans="1:3">
      <c r="A116" t="s">
        <v>10451</v>
      </c>
      <c r="B116">
        <f t="shared" si="2"/>
        <v>5233</v>
      </c>
      <c r="C116" t="str">
        <f t="shared" si="3"/>
        <v>H000005233</v>
      </c>
    </row>
    <row r="117" spans="1:3">
      <c r="A117" t="s">
        <v>10451</v>
      </c>
      <c r="B117">
        <f t="shared" si="2"/>
        <v>5234</v>
      </c>
      <c r="C117" t="str">
        <f t="shared" si="3"/>
        <v>H000005234</v>
      </c>
    </row>
    <row r="118" spans="1:3">
      <c r="A118" t="s">
        <v>10451</v>
      </c>
      <c r="B118">
        <f t="shared" si="2"/>
        <v>5235</v>
      </c>
      <c r="C118" t="str">
        <f t="shared" si="3"/>
        <v>H000005235</v>
      </c>
    </row>
    <row r="119" spans="1:3">
      <c r="A119" t="s">
        <v>10451</v>
      </c>
      <c r="B119">
        <f t="shared" si="2"/>
        <v>5236</v>
      </c>
      <c r="C119" t="str">
        <f t="shared" si="3"/>
        <v>H000005236</v>
      </c>
    </row>
    <row r="120" spans="1:3">
      <c r="A120" t="s">
        <v>10451</v>
      </c>
      <c r="B120">
        <f t="shared" si="2"/>
        <v>5237</v>
      </c>
      <c r="C120" t="str">
        <f t="shared" si="3"/>
        <v>H000005237</v>
      </c>
    </row>
    <row r="121" spans="1:3">
      <c r="A121" t="s">
        <v>10451</v>
      </c>
      <c r="B121">
        <f t="shared" si="2"/>
        <v>5238</v>
      </c>
      <c r="C121" t="str">
        <f t="shared" si="3"/>
        <v>H000005238</v>
      </c>
    </row>
    <row r="122" spans="1:3">
      <c r="A122" t="s">
        <v>10451</v>
      </c>
      <c r="B122">
        <f t="shared" si="2"/>
        <v>5239</v>
      </c>
      <c r="C122" t="str">
        <f t="shared" si="3"/>
        <v>H000005239</v>
      </c>
    </row>
    <row r="123" spans="1:3">
      <c r="A123" t="s">
        <v>10451</v>
      </c>
      <c r="B123">
        <f t="shared" si="2"/>
        <v>5240</v>
      </c>
      <c r="C123" t="str">
        <f t="shared" si="3"/>
        <v>H000005240</v>
      </c>
    </row>
    <row r="124" spans="1:3">
      <c r="A124" t="s">
        <v>10451</v>
      </c>
      <c r="B124">
        <f t="shared" si="2"/>
        <v>5241</v>
      </c>
      <c r="C124" t="str">
        <f t="shared" si="3"/>
        <v>H000005241</v>
      </c>
    </row>
    <row r="125" spans="1:3">
      <c r="A125" t="s">
        <v>10451</v>
      </c>
      <c r="B125">
        <f t="shared" si="2"/>
        <v>5242</v>
      </c>
      <c r="C125" t="str">
        <f t="shared" si="3"/>
        <v>H000005242</v>
      </c>
    </row>
    <row r="126" spans="1:3">
      <c r="A126" t="s">
        <v>10451</v>
      </c>
      <c r="B126">
        <f t="shared" si="2"/>
        <v>5243</v>
      </c>
      <c r="C126" t="str">
        <f t="shared" si="3"/>
        <v>H000005243</v>
      </c>
    </row>
    <row r="127" spans="1:3">
      <c r="A127" t="s">
        <v>10451</v>
      </c>
      <c r="B127">
        <f t="shared" si="2"/>
        <v>5244</v>
      </c>
      <c r="C127" t="str">
        <f t="shared" si="3"/>
        <v>H000005244</v>
      </c>
    </row>
    <row r="128" spans="1:3">
      <c r="A128" t="s">
        <v>10451</v>
      </c>
      <c r="B128">
        <f t="shared" si="2"/>
        <v>5245</v>
      </c>
      <c r="C128" t="str">
        <f t="shared" si="3"/>
        <v>H000005245</v>
      </c>
    </row>
    <row r="129" spans="1:3">
      <c r="A129" t="s">
        <v>10451</v>
      </c>
      <c r="B129">
        <f t="shared" si="2"/>
        <v>5246</v>
      </c>
      <c r="C129" t="str">
        <f t="shared" si="3"/>
        <v>H000005246</v>
      </c>
    </row>
    <row r="130" spans="1:3">
      <c r="A130" t="s">
        <v>10451</v>
      </c>
      <c r="B130">
        <f t="shared" si="2"/>
        <v>5247</v>
      </c>
      <c r="C130" t="str">
        <f t="shared" si="3"/>
        <v>H000005247</v>
      </c>
    </row>
    <row r="131" spans="1:3">
      <c r="A131" t="s">
        <v>10451</v>
      </c>
      <c r="B131">
        <f t="shared" ref="B131:B194" si="4">+B130+1</f>
        <v>5248</v>
      </c>
      <c r="C131" t="str">
        <f t="shared" ref="C131:C194" si="5">A131&amp;B131</f>
        <v>H000005248</v>
      </c>
    </row>
    <row r="132" spans="1:3">
      <c r="A132" t="s">
        <v>10451</v>
      </c>
      <c r="B132">
        <f t="shared" si="4"/>
        <v>5249</v>
      </c>
      <c r="C132" t="str">
        <f t="shared" si="5"/>
        <v>H000005249</v>
      </c>
    </row>
    <row r="133" spans="1:3">
      <c r="A133" t="s">
        <v>10451</v>
      </c>
      <c r="B133">
        <f t="shared" si="4"/>
        <v>5250</v>
      </c>
      <c r="C133" t="str">
        <f t="shared" si="5"/>
        <v>H000005250</v>
      </c>
    </row>
    <row r="134" spans="1:3">
      <c r="A134" t="s">
        <v>10451</v>
      </c>
      <c r="B134">
        <f t="shared" si="4"/>
        <v>5251</v>
      </c>
      <c r="C134" t="str">
        <f t="shared" si="5"/>
        <v>H000005251</v>
      </c>
    </row>
    <row r="135" spans="1:3">
      <c r="A135" t="s">
        <v>10451</v>
      </c>
      <c r="B135">
        <f t="shared" si="4"/>
        <v>5252</v>
      </c>
      <c r="C135" t="str">
        <f t="shared" si="5"/>
        <v>H000005252</v>
      </c>
    </row>
    <row r="136" spans="1:3">
      <c r="A136" t="s">
        <v>10451</v>
      </c>
      <c r="B136">
        <f t="shared" si="4"/>
        <v>5253</v>
      </c>
      <c r="C136" t="str">
        <f t="shared" si="5"/>
        <v>H000005253</v>
      </c>
    </row>
    <row r="137" spans="1:3">
      <c r="A137" t="s">
        <v>10451</v>
      </c>
      <c r="B137">
        <f t="shared" si="4"/>
        <v>5254</v>
      </c>
      <c r="C137" t="str">
        <f t="shared" si="5"/>
        <v>H000005254</v>
      </c>
    </row>
    <row r="138" spans="1:3">
      <c r="A138" t="s">
        <v>10451</v>
      </c>
      <c r="B138">
        <f t="shared" si="4"/>
        <v>5255</v>
      </c>
      <c r="C138" t="str">
        <f t="shared" si="5"/>
        <v>H000005255</v>
      </c>
    </row>
    <row r="139" spans="1:3">
      <c r="A139" t="s">
        <v>10451</v>
      </c>
      <c r="B139">
        <f t="shared" si="4"/>
        <v>5256</v>
      </c>
      <c r="C139" t="str">
        <f t="shared" si="5"/>
        <v>H000005256</v>
      </c>
    </row>
    <row r="140" spans="1:3">
      <c r="A140" t="s">
        <v>10451</v>
      </c>
      <c r="B140">
        <f t="shared" si="4"/>
        <v>5257</v>
      </c>
      <c r="C140" t="str">
        <f t="shared" si="5"/>
        <v>H000005257</v>
      </c>
    </row>
    <row r="141" spans="1:3">
      <c r="A141" t="s">
        <v>10451</v>
      </c>
      <c r="B141">
        <f t="shared" si="4"/>
        <v>5258</v>
      </c>
      <c r="C141" t="str">
        <f t="shared" si="5"/>
        <v>H000005258</v>
      </c>
    </row>
    <row r="142" spans="1:3">
      <c r="A142" t="s">
        <v>10451</v>
      </c>
      <c r="B142">
        <f t="shared" si="4"/>
        <v>5259</v>
      </c>
      <c r="C142" t="str">
        <f t="shared" si="5"/>
        <v>H000005259</v>
      </c>
    </row>
    <row r="143" spans="1:3">
      <c r="A143" t="s">
        <v>10451</v>
      </c>
      <c r="B143">
        <f t="shared" si="4"/>
        <v>5260</v>
      </c>
      <c r="C143" t="str">
        <f t="shared" si="5"/>
        <v>H000005260</v>
      </c>
    </row>
    <row r="144" spans="1:3">
      <c r="A144" t="s">
        <v>10451</v>
      </c>
      <c r="B144">
        <f t="shared" si="4"/>
        <v>5261</v>
      </c>
      <c r="C144" t="str">
        <f t="shared" si="5"/>
        <v>H000005261</v>
      </c>
    </row>
    <row r="145" spans="1:3">
      <c r="A145" t="s">
        <v>10451</v>
      </c>
      <c r="B145">
        <f t="shared" si="4"/>
        <v>5262</v>
      </c>
      <c r="C145" t="str">
        <f t="shared" si="5"/>
        <v>H000005262</v>
      </c>
    </row>
    <row r="146" spans="1:3">
      <c r="A146" t="s">
        <v>10451</v>
      </c>
      <c r="B146">
        <f t="shared" si="4"/>
        <v>5263</v>
      </c>
      <c r="C146" t="str">
        <f t="shared" si="5"/>
        <v>H000005263</v>
      </c>
    </row>
    <row r="147" spans="1:3">
      <c r="A147" t="s">
        <v>10451</v>
      </c>
      <c r="B147">
        <f t="shared" si="4"/>
        <v>5264</v>
      </c>
      <c r="C147" t="str">
        <f t="shared" si="5"/>
        <v>H000005264</v>
      </c>
    </row>
    <row r="148" spans="1:3">
      <c r="A148" t="s">
        <v>10451</v>
      </c>
      <c r="B148">
        <f t="shared" si="4"/>
        <v>5265</v>
      </c>
      <c r="C148" t="str">
        <f t="shared" si="5"/>
        <v>H000005265</v>
      </c>
    </row>
    <row r="149" spans="1:3">
      <c r="A149" t="s">
        <v>10451</v>
      </c>
      <c r="B149">
        <f t="shared" si="4"/>
        <v>5266</v>
      </c>
      <c r="C149" t="str">
        <f t="shared" si="5"/>
        <v>H000005266</v>
      </c>
    </row>
    <row r="150" spans="1:3">
      <c r="A150" t="s">
        <v>10451</v>
      </c>
      <c r="B150">
        <f t="shared" si="4"/>
        <v>5267</v>
      </c>
      <c r="C150" t="str">
        <f t="shared" si="5"/>
        <v>H000005267</v>
      </c>
    </row>
    <row r="151" spans="1:3">
      <c r="A151" t="s">
        <v>10451</v>
      </c>
      <c r="B151">
        <f t="shared" si="4"/>
        <v>5268</v>
      </c>
      <c r="C151" t="str">
        <f t="shared" si="5"/>
        <v>H000005268</v>
      </c>
    </row>
    <row r="152" spans="1:3">
      <c r="A152" t="s">
        <v>10451</v>
      </c>
      <c r="B152">
        <f t="shared" si="4"/>
        <v>5269</v>
      </c>
      <c r="C152" t="str">
        <f t="shared" si="5"/>
        <v>H000005269</v>
      </c>
    </row>
    <row r="153" spans="1:3">
      <c r="A153" t="s">
        <v>10451</v>
      </c>
      <c r="B153">
        <f t="shared" si="4"/>
        <v>5270</v>
      </c>
      <c r="C153" t="str">
        <f t="shared" si="5"/>
        <v>H000005270</v>
      </c>
    </row>
    <row r="154" spans="1:3">
      <c r="A154" t="s">
        <v>10451</v>
      </c>
      <c r="B154">
        <f t="shared" si="4"/>
        <v>5271</v>
      </c>
      <c r="C154" t="str">
        <f t="shared" si="5"/>
        <v>H000005271</v>
      </c>
    </row>
    <row r="155" spans="1:3">
      <c r="A155" t="s">
        <v>10451</v>
      </c>
      <c r="B155">
        <f t="shared" si="4"/>
        <v>5272</v>
      </c>
      <c r="C155" t="str">
        <f t="shared" si="5"/>
        <v>H000005272</v>
      </c>
    </row>
    <row r="156" spans="1:3">
      <c r="A156" t="s">
        <v>10451</v>
      </c>
      <c r="B156">
        <f t="shared" si="4"/>
        <v>5273</v>
      </c>
      <c r="C156" t="str">
        <f t="shared" si="5"/>
        <v>H000005273</v>
      </c>
    </row>
    <row r="157" spans="1:3">
      <c r="A157" t="s">
        <v>10451</v>
      </c>
      <c r="B157">
        <f t="shared" si="4"/>
        <v>5274</v>
      </c>
      <c r="C157" t="str">
        <f t="shared" si="5"/>
        <v>H000005274</v>
      </c>
    </row>
    <row r="158" spans="1:3">
      <c r="A158" t="s">
        <v>10451</v>
      </c>
      <c r="B158">
        <f t="shared" si="4"/>
        <v>5275</v>
      </c>
      <c r="C158" t="str">
        <f t="shared" si="5"/>
        <v>H000005275</v>
      </c>
    </row>
    <row r="159" spans="1:3">
      <c r="A159" t="s">
        <v>10451</v>
      </c>
      <c r="B159">
        <f t="shared" si="4"/>
        <v>5276</v>
      </c>
      <c r="C159" t="str">
        <f t="shared" si="5"/>
        <v>H000005276</v>
      </c>
    </row>
    <row r="160" spans="1:3">
      <c r="A160" t="s">
        <v>10451</v>
      </c>
      <c r="B160">
        <f t="shared" si="4"/>
        <v>5277</v>
      </c>
      <c r="C160" t="str">
        <f t="shared" si="5"/>
        <v>H000005277</v>
      </c>
    </row>
    <row r="161" spans="1:3">
      <c r="A161" t="s">
        <v>10451</v>
      </c>
      <c r="B161">
        <f t="shared" si="4"/>
        <v>5278</v>
      </c>
      <c r="C161" t="str">
        <f t="shared" si="5"/>
        <v>H000005278</v>
      </c>
    </row>
    <row r="162" spans="1:3">
      <c r="A162" t="s">
        <v>10451</v>
      </c>
      <c r="B162">
        <f t="shared" si="4"/>
        <v>5279</v>
      </c>
      <c r="C162" t="str">
        <f t="shared" si="5"/>
        <v>H000005279</v>
      </c>
    </row>
    <row r="163" spans="1:3">
      <c r="A163" t="s">
        <v>10451</v>
      </c>
      <c r="B163">
        <f t="shared" si="4"/>
        <v>5280</v>
      </c>
      <c r="C163" t="str">
        <f t="shared" si="5"/>
        <v>H000005280</v>
      </c>
    </row>
    <row r="164" spans="1:3">
      <c r="A164" t="s">
        <v>10451</v>
      </c>
      <c r="B164">
        <f t="shared" si="4"/>
        <v>5281</v>
      </c>
      <c r="C164" t="str">
        <f t="shared" si="5"/>
        <v>H000005281</v>
      </c>
    </row>
    <row r="165" spans="1:3">
      <c r="A165" t="s">
        <v>10451</v>
      </c>
      <c r="B165">
        <f t="shared" si="4"/>
        <v>5282</v>
      </c>
      <c r="C165" t="str">
        <f t="shared" si="5"/>
        <v>H000005282</v>
      </c>
    </row>
    <row r="166" spans="1:3">
      <c r="A166" t="s">
        <v>10451</v>
      </c>
      <c r="B166">
        <f t="shared" si="4"/>
        <v>5283</v>
      </c>
      <c r="C166" t="str">
        <f t="shared" si="5"/>
        <v>H000005283</v>
      </c>
    </row>
    <row r="167" spans="1:3">
      <c r="A167" t="s">
        <v>10451</v>
      </c>
      <c r="B167">
        <f t="shared" si="4"/>
        <v>5284</v>
      </c>
      <c r="C167" t="str">
        <f t="shared" si="5"/>
        <v>H000005284</v>
      </c>
    </row>
    <row r="168" spans="1:3">
      <c r="A168" t="s">
        <v>10451</v>
      </c>
      <c r="B168">
        <f t="shared" si="4"/>
        <v>5285</v>
      </c>
      <c r="C168" t="str">
        <f t="shared" si="5"/>
        <v>H000005285</v>
      </c>
    </row>
    <row r="169" spans="1:3">
      <c r="A169" t="s">
        <v>10451</v>
      </c>
      <c r="B169">
        <f t="shared" si="4"/>
        <v>5286</v>
      </c>
      <c r="C169" t="str">
        <f t="shared" si="5"/>
        <v>H000005286</v>
      </c>
    </row>
    <row r="170" spans="1:3">
      <c r="A170" t="s">
        <v>10451</v>
      </c>
      <c r="B170">
        <f t="shared" si="4"/>
        <v>5287</v>
      </c>
      <c r="C170" t="str">
        <f t="shared" si="5"/>
        <v>H000005287</v>
      </c>
    </row>
    <row r="171" spans="1:3">
      <c r="A171" t="s">
        <v>10451</v>
      </c>
      <c r="B171">
        <f t="shared" si="4"/>
        <v>5288</v>
      </c>
      <c r="C171" t="str">
        <f t="shared" si="5"/>
        <v>H000005288</v>
      </c>
    </row>
    <row r="172" spans="1:3">
      <c r="A172" t="s">
        <v>10451</v>
      </c>
      <c r="B172">
        <f t="shared" si="4"/>
        <v>5289</v>
      </c>
      <c r="C172" t="str">
        <f t="shared" si="5"/>
        <v>H000005289</v>
      </c>
    </row>
    <row r="173" spans="1:3">
      <c r="A173" t="s">
        <v>10451</v>
      </c>
      <c r="B173">
        <f t="shared" si="4"/>
        <v>5290</v>
      </c>
      <c r="C173" t="str">
        <f t="shared" si="5"/>
        <v>H000005290</v>
      </c>
    </row>
    <row r="174" spans="1:3">
      <c r="A174" t="s">
        <v>10451</v>
      </c>
      <c r="B174">
        <f t="shared" si="4"/>
        <v>5291</v>
      </c>
      <c r="C174" t="str">
        <f t="shared" si="5"/>
        <v>H000005291</v>
      </c>
    </row>
    <row r="175" spans="1:3">
      <c r="A175" t="s">
        <v>10451</v>
      </c>
      <c r="B175">
        <f t="shared" si="4"/>
        <v>5292</v>
      </c>
      <c r="C175" t="str">
        <f t="shared" si="5"/>
        <v>H000005292</v>
      </c>
    </row>
    <row r="176" spans="1:3">
      <c r="A176" t="s">
        <v>10451</v>
      </c>
      <c r="B176">
        <f t="shared" si="4"/>
        <v>5293</v>
      </c>
      <c r="C176" t="str">
        <f t="shared" si="5"/>
        <v>H000005293</v>
      </c>
    </row>
    <row r="177" spans="1:3">
      <c r="A177" t="s">
        <v>10451</v>
      </c>
      <c r="B177">
        <f t="shared" si="4"/>
        <v>5294</v>
      </c>
      <c r="C177" t="str">
        <f t="shared" si="5"/>
        <v>H000005294</v>
      </c>
    </row>
    <row r="178" spans="1:3">
      <c r="A178" t="s">
        <v>10451</v>
      </c>
      <c r="B178">
        <f t="shared" si="4"/>
        <v>5295</v>
      </c>
      <c r="C178" t="str">
        <f t="shared" si="5"/>
        <v>H000005295</v>
      </c>
    </row>
    <row r="179" spans="1:3">
      <c r="A179" t="s">
        <v>10451</v>
      </c>
      <c r="B179">
        <f t="shared" si="4"/>
        <v>5296</v>
      </c>
      <c r="C179" t="str">
        <f t="shared" si="5"/>
        <v>H000005296</v>
      </c>
    </row>
    <row r="180" spans="1:3">
      <c r="A180" t="s">
        <v>10451</v>
      </c>
      <c r="B180">
        <f t="shared" si="4"/>
        <v>5297</v>
      </c>
      <c r="C180" t="str">
        <f t="shared" si="5"/>
        <v>H000005297</v>
      </c>
    </row>
    <row r="181" spans="1:3">
      <c r="A181" t="s">
        <v>10451</v>
      </c>
      <c r="B181">
        <f t="shared" si="4"/>
        <v>5298</v>
      </c>
      <c r="C181" t="str">
        <f t="shared" si="5"/>
        <v>H000005298</v>
      </c>
    </row>
    <row r="182" spans="1:3">
      <c r="A182" t="s">
        <v>10451</v>
      </c>
      <c r="B182">
        <f t="shared" si="4"/>
        <v>5299</v>
      </c>
      <c r="C182" t="str">
        <f t="shared" si="5"/>
        <v>H000005299</v>
      </c>
    </row>
    <row r="183" spans="1:3">
      <c r="A183" t="s">
        <v>10451</v>
      </c>
      <c r="B183">
        <f t="shared" si="4"/>
        <v>5300</v>
      </c>
      <c r="C183" t="str">
        <f t="shared" si="5"/>
        <v>H000005300</v>
      </c>
    </row>
    <row r="184" spans="1:3">
      <c r="A184" t="s">
        <v>10451</v>
      </c>
      <c r="B184">
        <f t="shared" si="4"/>
        <v>5301</v>
      </c>
      <c r="C184" t="str">
        <f t="shared" si="5"/>
        <v>H000005301</v>
      </c>
    </row>
    <row r="185" spans="1:3">
      <c r="A185" t="s">
        <v>10451</v>
      </c>
      <c r="B185">
        <f t="shared" si="4"/>
        <v>5302</v>
      </c>
      <c r="C185" t="str">
        <f t="shared" si="5"/>
        <v>H000005302</v>
      </c>
    </row>
    <row r="186" spans="1:3">
      <c r="A186" t="s">
        <v>10451</v>
      </c>
      <c r="B186">
        <f t="shared" si="4"/>
        <v>5303</v>
      </c>
      <c r="C186" t="str">
        <f t="shared" si="5"/>
        <v>H000005303</v>
      </c>
    </row>
    <row r="187" spans="1:3">
      <c r="A187" t="s">
        <v>10451</v>
      </c>
      <c r="B187">
        <f t="shared" si="4"/>
        <v>5304</v>
      </c>
      <c r="C187" t="str">
        <f t="shared" si="5"/>
        <v>H000005304</v>
      </c>
    </row>
    <row r="188" spans="1:3">
      <c r="A188" t="s">
        <v>10451</v>
      </c>
      <c r="B188">
        <f t="shared" si="4"/>
        <v>5305</v>
      </c>
      <c r="C188" t="str">
        <f t="shared" si="5"/>
        <v>H000005305</v>
      </c>
    </row>
    <row r="189" spans="1:3">
      <c r="A189" t="s">
        <v>10451</v>
      </c>
      <c r="B189">
        <f t="shared" si="4"/>
        <v>5306</v>
      </c>
      <c r="C189" t="str">
        <f t="shared" si="5"/>
        <v>H000005306</v>
      </c>
    </row>
    <row r="190" spans="1:3">
      <c r="A190" t="s">
        <v>10451</v>
      </c>
      <c r="B190">
        <f t="shared" si="4"/>
        <v>5307</v>
      </c>
      <c r="C190" t="str">
        <f t="shared" si="5"/>
        <v>H000005307</v>
      </c>
    </row>
    <row r="191" spans="1:3">
      <c r="A191" t="s">
        <v>10451</v>
      </c>
      <c r="B191">
        <f t="shared" si="4"/>
        <v>5308</v>
      </c>
      <c r="C191" t="str">
        <f t="shared" si="5"/>
        <v>H000005308</v>
      </c>
    </row>
    <row r="192" spans="1:3">
      <c r="A192" t="s">
        <v>10451</v>
      </c>
      <c r="B192">
        <f t="shared" si="4"/>
        <v>5309</v>
      </c>
      <c r="C192" t="str">
        <f t="shared" si="5"/>
        <v>H000005309</v>
      </c>
    </row>
    <row r="193" spans="1:3">
      <c r="A193" t="s">
        <v>10451</v>
      </c>
      <c r="B193">
        <f t="shared" si="4"/>
        <v>5310</v>
      </c>
      <c r="C193" t="str">
        <f t="shared" si="5"/>
        <v>H000005310</v>
      </c>
    </row>
    <row r="194" spans="1:3">
      <c r="A194" t="s">
        <v>10451</v>
      </c>
      <c r="B194">
        <f t="shared" si="4"/>
        <v>5311</v>
      </c>
      <c r="C194" t="str">
        <f t="shared" si="5"/>
        <v>H000005311</v>
      </c>
    </row>
    <row r="195" spans="1:3">
      <c r="A195" t="s">
        <v>10451</v>
      </c>
      <c r="B195">
        <f t="shared" ref="B195:B224" si="6">+B194+1</f>
        <v>5312</v>
      </c>
      <c r="C195" t="str">
        <f t="shared" ref="C195:C224" si="7">A195&amp;B195</f>
        <v>H000005312</v>
      </c>
    </row>
    <row r="196" spans="1:3">
      <c r="A196" t="s">
        <v>10451</v>
      </c>
      <c r="B196">
        <f t="shared" si="6"/>
        <v>5313</v>
      </c>
      <c r="C196" t="str">
        <f t="shared" si="7"/>
        <v>H000005313</v>
      </c>
    </row>
    <row r="197" spans="1:3">
      <c r="A197" t="s">
        <v>10451</v>
      </c>
      <c r="B197">
        <f t="shared" si="6"/>
        <v>5314</v>
      </c>
      <c r="C197" t="str">
        <f t="shared" si="7"/>
        <v>H000005314</v>
      </c>
    </row>
    <row r="198" spans="1:3">
      <c r="A198" t="s">
        <v>10451</v>
      </c>
      <c r="B198">
        <f t="shared" si="6"/>
        <v>5315</v>
      </c>
      <c r="C198" t="str">
        <f t="shared" si="7"/>
        <v>H000005315</v>
      </c>
    </row>
    <row r="199" spans="1:3">
      <c r="A199" t="s">
        <v>10451</v>
      </c>
      <c r="B199">
        <f t="shared" si="6"/>
        <v>5316</v>
      </c>
      <c r="C199" t="str">
        <f t="shared" si="7"/>
        <v>H000005316</v>
      </c>
    </row>
    <row r="200" spans="1:3">
      <c r="A200" t="s">
        <v>10451</v>
      </c>
      <c r="B200">
        <f t="shared" si="6"/>
        <v>5317</v>
      </c>
      <c r="C200" t="str">
        <f t="shared" si="7"/>
        <v>H000005317</v>
      </c>
    </row>
    <row r="201" spans="1:3">
      <c r="A201" t="s">
        <v>10451</v>
      </c>
      <c r="B201">
        <f t="shared" si="6"/>
        <v>5318</v>
      </c>
      <c r="C201" t="str">
        <f t="shared" si="7"/>
        <v>H000005318</v>
      </c>
    </row>
    <row r="202" spans="1:3">
      <c r="A202" t="s">
        <v>10451</v>
      </c>
      <c r="B202">
        <f t="shared" si="6"/>
        <v>5319</v>
      </c>
      <c r="C202" t="str">
        <f t="shared" si="7"/>
        <v>H000005319</v>
      </c>
    </row>
    <row r="203" spans="1:3">
      <c r="A203" t="s">
        <v>10451</v>
      </c>
      <c r="B203">
        <f t="shared" si="6"/>
        <v>5320</v>
      </c>
      <c r="C203" t="str">
        <f t="shared" si="7"/>
        <v>H000005320</v>
      </c>
    </row>
    <row r="204" spans="1:3">
      <c r="A204" t="s">
        <v>10451</v>
      </c>
      <c r="B204">
        <f t="shared" si="6"/>
        <v>5321</v>
      </c>
      <c r="C204" t="str">
        <f t="shared" si="7"/>
        <v>H000005321</v>
      </c>
    </row>
    <row r="205" spans="1:3">
      <c r="A205" t="s">
        <v>10451</v>
      </c>
      <c r="B205">
        <f t="shared" si="6"/>
        <v>5322</v>
      </c>
      <c r="C205" t="str">
        <f t="shared" si="7"/>
        <v>H000005322</v>
      </c>
    </row>
    <row r="206" spans="1:3">
      <c r="A206" t="s">
        <v>10451</v>
      </c>
      <c r="B206">
        <f t="shared" si="6"/>
        <v>5323</v>
      </c>
      <c r="C206" t="str">
        <f t="shared" si="7"/>
        <v>H000005323</v>
      </c>
    </row>
    <row r="207" spans="1:3">
      <c r="A207" t="s">
        <v>10451</v>
      </c>
      <c r="B207">
        <f t="shared" si="6"/>
        <v>5324</v>
      </c>
      <c r="C207" t="str">
        <f t="shared" si="7"/>
        <v>H000005324</v>
      </c>
    </row>
    <row r="208" spans="1:3">
      <c r="A208" t="s">
        <v>10451</v>
      </c>
      <c r="B208">
        <f t="shared" si="6"/>
        <v>5325</v>
      </c>
      <c r="C208" t="str">
        <f t="shared" si="7"/>
        <v>H000005325</v>
      </c>
    </row>
    <row r="209" spans="1:3">
      <c r="A209" t="s">
        <v>10451</v>
      </c>
      <c r="B209">
        <f t="shared" si="6"/>
        <v>5326</v>
      </c>
      <c r="C209" t="str">
        <f t="shared" si="7"/>
        <v>H000005326</v>
      </c>
    </row>
    <row r="210" spans="1:3">
      <c r="A210" t="s">
        <v>10451</v>
      </c>
      <c r="B210">
        <f t="shared" si="6"/>
        <v>5327</v>
      </c>
      <c r="C210" t="str">
        <f t="shared" si="7"/>
        <v>H000005327</v>
      </c>
    </row>
    <row r="211" spans="1:3">
      <c r="A211" t="s">
        <v>10451</v>
      </c>
      <c r="B211">
        <f t="shared" si="6"/>
        <v>5328</v>
      </c>
      <c r="C211" t="str">
        <f t="shared" si="7"/>
        <v>H000005328</v>
      </c>
    </row>
    <row r="212" spans="1:3">
      <c r="A212" t="s">
        <v>10451</v>
      </c>
      <c r="B212">
        <f t="shared" si="6"/>
        <v>5329</v>
      </c>
      <c r="C212" t="str">
        <f t="shared" si="7"/>
        <v>H000005329</v>
      </c>
    </row>
    <row r="213" spans="1:3">
      <c r="A213" t="s">
        <v>10451</v>
      </c>
      <c r="B213">
        <f t="shared" si="6"/>
        <v>5330</v>
      </c>
      <c r="C213" t="str">
        <f t="shared" si="7"/>
        <v>H000005330</v>
      </c>
    </row>
    <row r="214" spans="1:3">
      <c r="A214" t="s">
        <v>10451</v>
      </c>
      <c r="B214">
        <f t="shared" si="6"/>
        <v>5331</v>
      </c>
      <c r="C214" t="str">
        <f t="shared" si="7"/>
        <v>H000005331</v>
      </c>
    </row>
    <row r="215" spans="1:3">
      <c r="A215" t="s">
        <v>10451</v>
      </c>
      <c r="B215">
        <f t="shared" si="6"/>
        <v>5332</v>
      </c>
      <c r="C215" t="str">
        <f t="shared" si="7"/>
        <v>H000005332</v>
      </c>
    </row>
    <row r="216" spans="1:3">
      <c r="A216" t="s">
        <v>10451</v>
      </c>
      <c r="B216">
        <f t="shared" si="6"/>
        <v>5333</v>
      </c>
      <c r="C216" t="str">
        <f t="shared" si="7"/>
        <v>H000005333</v>
      </c>
    </row>
    <row r="217" spans="1:3">
      <c r="A217" t="s">
        <v>10451</v>
      </c>
      <c r="B217">
        <f t="shared" si="6"/>
        <v>5334</v>
      </c>
      <c r="C217" t="str">
        <f t="shared" si="7"/>
        <v>H000005334</v>
      </c>
    </row>
    <row r="218" spans="1:3">
      <c r="A218" t="s">
        <v>10451</v>
      </c>
      <c r="B218">
        <f t="shared" si="6"/>
        <v>5335</v>
      </c>
      <c r="C218" t="str">
        <f t="shared" si="7"/>
        <v>H000005335</v>
      </c>
    </row>
    <row r="219" spans="1:3">
      <c r="A219" t="s">
        <v>10451</v>
      </c>
      <c r="B219">
        <f t="shared" si="6"/>
        <v>5336</v>
      </c>
      <c r="C219" t="str">
        <f t="shared" si="7"/>
        <v>H000005336</v>
      </c>
    </row>
    <row r="220" spans="1:3">
      <c r="A220" t="s">
        <v>10451</v>
      </c>
      <c r="B220">
        <f t="shared" si="6"/>
        <v>5337</v>
      </c>
      <c r="C220" t="str">
        <f t="shared" si="7"/>
        <v>H000005337</v>
      </c>
    </row>
    <row r="221" spans="1:3">
      <c r="A221" t="s">
        <v>10451</v>
      </c>
      <c r="B221">
        <f t="shared" si="6"/>
        <v>5338</v>
      </c>
      <c r="C221" t="str">
        <f t="shared" si="7"/>
        <v>H000005338</v>
      </c>
    </row>
    <row r="222" spans="1:3">
      <c r="A222" t="s">
        <v>10451</v>
      </c>
      <c r="B222">
        <f t="shared" si="6"/>
        <v>5339</v>
      </c>
      <c r="C222" t="str">
        <f t="shared" si="7"/>
        <v>H000005339</v>
      </c>
    </row>
    <row r="223" spans="1:3">
      <c r="A223" t="s">
        <v>10451</v>
      </c>
      <c r="B223">
        <f t="shared" si="6"/>
        <v>5340</v>
      </c>
      <c r="C223" t="str">
        <f t="shared" si="7"/>
        <v>H000005340</v>
      </c>
    </row>
    <row r="224" spans="1:3">
      <c r="A224" t="s">
        <v>10451</v>
      </c>
      <c r="B224">
        <f t="shared" si="6"/>
        <v>5341</v>
      </c>
      <c r="C224" t="str">
        <f t="shared" si="7"/>
        <v>H000005341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6A40-AB2C-4DD8-8716-061D8BC26803}">
  <dimension ref="A1:D71"/>
  <sheetViews>
    <sheetView workbookViewId="0">
      <selection activeCell="D49" sqref="D1:D49"/>
    </sheetView>
  </sheetViews>
  <sheetFormatPr defaultRowHeight="15"/>
  <cols>
    <col min="1" max="1" width="11.140625" bestFit="1" customWidth="1"/>
    <col min="2" max="2" width="34.28515625" bestFit="1" customWidth="1"/>
    <col min="3" max="3" width="11.140625" bestFit="1" customWidth="1"/>
    <col min="4" max="4" width="24.28515625" bestFit="1" customWidth="1"/>
  </cols>
  <sheetData>
    <row r="1" spans="1:4">
      <c r="A1" t="s">
        <v>9995</v>
      </c>
      <c r="B1" t="s">
        <v>9936</v>
      </c>
      <c r="C1" t="s">
        <v>9995</v>
      </c>
      <c r="D1" t="s">
        <v>4367</v>
      </c>
    </row>
    <row r="2" spans="1:4">
      <c r="A2" t="s">
        <v>9997</v>
      </c>
      <c r="B2" t="s">
        <v>9937</v>
      </c>
      <c r="C2" t="s">
        <v>9997</v>
      </c>
      <c r="D2" t="s">
        <v>2433</v>
      </c>
    </row>
    <row r="3" spans="1:4">
      <c r="A3" t="s">
        <v>9998</v>
      </c>
      <c r="B3" t="s">
        <v>9938</v>
      </c>
      <c r="C3" t="s">
        <v>9998</v>
      </c>
      <c r="D3" t="s">
        <v>2433</v>
      </c>
    </row>
    <row r="4" spans="1:4">
      <c r="A4" t="s">
        <v>9999</v>
      </c>
      <c r="B4" t="s">
        <v>9939</v>
      </c>
      <c r="C4" t="s">
        <v>9999</v>
      </c>
      <c r="D4" t="s">
        <v>2688</v>
      </c>
    </row>
    <row r="5" spans="1:4">
      <c r="A5" t="s">
        <v>10000</v>
      </c>
      <c r="B5" t="s">
        <v>9940</v>
      </c>
      <c r="C5" t="s">
        <v>10000</v>
      </c>
      <c r="D5" t="s">
        <v>8771</v>
      </c>
    </row>
    <row r="6" spans="1:4">
      <c r="A6" t="s">
        <v>10001</v>
      </c>
      <c r="B6" t="s">
        <v>9941</v>
      </c>
      <c r="C6" t="s">
        <v>10001</v>
      </c>
      <c r="D6" t="s">
        <v>8772</v>
      </c>
    </row>
    <row r="7" spans="1:4">
      <c r="A7" t="s">
        <v>10002</v>
      </c>
      <c r="B7" t="s">
        <v>9942</v>
      </c>
      <c r="C7" t="s">
        <v>10002</v>
      </c>
      <c r="D7" t="s">
        <v>2433</v>
      </c>
    </row>
    <row r="8" spans="1:4">
      <c r="A8" t="s">
        <v>10003</v>
      </c>
      <c r="B8" t="s">
        <v>9943</v>
      </c>
      <c r="C8" t="s">
        <v>10003</v>
      </c>
      <c r="D8" t="s">
        <v>8049</v>
      </c>
    </row>
    <row r="9" spans="1:4">
      <c r="A9" t="s">
        <v>10004</v>
      </c>
      <c r="B9" t="s">
        <v>9944</v>
      </c>
      <c r="C9" t="s">
        <v>10004</v>
      </c>
      <c r="D9" t="s">
        <v>2234</v>
      </c>
    </row>
    <row r="10" spans="1:4">
      <c r="A10" t="s">
        <v>10005</v>
      </c>
      <c r="B10" t="s">
        <v>9945</v>
      </c>
      <c r="C10" t="s">
        <v>10005</v>
      </c>
      <c r="D10" t="s">
        <v>4210</v>
      </c>
    </row>
    <row r="11" spans="1:4">
      <c r="A11" t="s">
        <v>10006</v>
      </c>
      <c r="B11" t="s">
        <v>9946</v>
      </c>
      <c r="C11" t="s">
        <v>10006</v>
      </c>
      <c r="D11" t="s">
        <v>4210</v>
      </c>
    </row>
    <row r="12" spans="1:4">
      <c r="A12" t="s">
        <v>10007</v>
      </c>
      <c r="B12" t="s">
        <v>9947</v>
      </c>
      <c r="C12" t="s">
        <v>10007</v>
      </c>
      <c r="D12" t="s">
        <v>4210</v>
      </c>
    </row>
    <row r="13" spans="1:4">
      <c r="A13" t="s">
        <v>10008</v>
      </c>
      <c r="B13" t="s">
        <v>9948</v>
      </c>
      <c r="C13" t="s">
        <v>10008</v>
      </c>
      <c r="D13" t="s">
        <v>4210</v>
      </c>
    </row>
    <row r="14" spans="1:4">
      <c r="A14" t="s">
        <v>10009</v>
      </c>
      <c r="B14" t="s">
        <v>9949</v>
      </c>
      <c r="C14" t="s">
        <v>10009</v>
      </c>
      <c r="D14" t="s">
        <v>4433</v>
      </c>
    </row>
    <row r="15" spans="1:4">
      <c r="A15" t="s">
        <v>10010</v>
      </c>
      <c r="B15" t="s">
        <v>9950</v>
      </c>
      <c r="C15" t="s">
        <v>10010</v>
      </c>
      <c r="D15" t="s">
        <v>4433</v>
      </c>
    </row>
    <row r="16" spans="1:4">
      <c r="A16" t="s">
        <v>10011</v>
      </c>
      <c r="B16" t="s">
        <v>9951</v>
      </c>
      <c r="C16" t="s">
        <v>10011</v>
      </c>
      <c r="D16" t="s">
        <v>4433</v>
      </c>
    </row>
    <row r="17" spans="1:4">
      <c r="A17" t="s">
        <v>10012</v>
      </c>
      <c r="B17" t="s">
        <v>9952</v>
      </c>
      <c r="C17" t="s">
        <v>10012</v>
      </c>
      <c r="D17" t="s">
        <v>4433</v>
      </c>
    </row>
    <row r="18" spans="1:4">
      <c r="A18" t="s">
        <v>10013</v>
      </c>
      <c r="B18" t="s">
        <v>9953</v>
      </c>
      <c r="C18" t="s">
        <v>10013</v>
      </c>
      <c r="D18" t="s">
        <v>9999</v>
      </c>
    </row>
    <row r="19" spans="1:4">
      <c r="A19" t="s">
        <v>10014</v>
      </c>
      <c r="B19" t="s">
        <v>9954</v>
      </c>
      <c r="C19" t="s">
        <v>10014</v>
      </c>
      <c r="D19" t="s">
        <v>9999</v>
      </c>
    </row>
    <row r="20" spans="1:4">
      <c r="A20" t="s">
        <v>10015</v>
      </c>
      <c r="B20" t="s">
        <v>9955</v>
      </c>
      <c r="C20" t="s">
        <v>10015</v>
      </c>
      <c r="D20" t="s">
        <v>9999</v>
      </c>
    </row>
    <row r="21" spans="1:4">
      <c r="A21" t="s">
        <v>10016</v>
      </c>
      <c r="B21" t="s">
        <v>9956</v>
      </c>
      <c r="C21" t="s">
        <v>10016</v>
      </c>
      <c r="D21" t="s">
        <v>9999</v>
      </c>
    </row>
    <row r="22" spans="1:4">
      <c r="A22" t="s">
        <v>10017</v>
      </c>
      <c r="B22" t="s">
        <v>9957</v>
      </c>
      <c r="C22" t="s">
        <v>10017</v>
      </c>
      <c r="D22" t="s">
        <v>9999</v>
      </c>
    </row>
    <row r="23" spans="1:4">
      <c r="A23" t="s">
        <v>10018</v>
      </c>
      <c r="B23" t="s">
        <v>9958</v>
      </c>
      <c r="C23" t="s">
        <v>10018</v>
      </c>
      <c r="D23" t="s">
        <v>10000</v>
      </c>
    </row>
    <row r="24" spans="1:4">
      <c r="A24" t="s">
        <v>10019</v>
      </c>
      <c r="B24" t="s">
        <v>9959</v>
      </c>
      <c r="C24" t="s">
        <v>10019</v>
      </c>
      <c r="D24" t="s">
        <v>10000</v>
      </c>
    </row>
    <row r="25" spans="1:4">
      <c r="A25" t="s">
        <v>10020</v>
      </c>
      <c r="B25" t="s">
        <v>9960</v>
      </c>
      <c r="C25" t="s">
        <v>10020</v>
      </c>
      <c r="D25" t="s">
        <v>10000</v>
      </c>
    </row>
    <row r="26" spans="1:4">
      <c r="A26" t="s">
        <v>10021</v>
      </c>
      <c r="B26" t="s">
        <v>9961</v>
      </c>
      <c r="C26" t="s">
        <v>10021</v>
      </c>
      <c r="D26" t="s">
        <v>10000</v>
      </c>
    </row>
    <row r="27" spans="1:4">
      <c r="A27" t="s">
        <v>10022</v>
      </c>
      <c r="B27" t="s">
        <v>9962</v>
      </c>
      <c r="C27" t="s">
        <v>10022</v>
      </c>
      <c r="D27" t="s">
        <v>10000</v>
      </c>
    </row>
    <row r="28" spans="1:4">
      <c r="A28" t="s">
        <v>10023</v>
      </c>
      <c r="B28" t="s">
        <v>9963</v>
      </c>
      <c r="C28" t="s">
        <v>10023</v>
      </c>
      <c r="D28" t="s">
        <v>10001</v>
      </c>
    </row>
    <row r="29" spans="1:4">
      <c r="A29" t="s">
        <v>10024</v>
      </c>
      <c r="B29" t="s">
        <v>9964</v>
      </c>
      <c r="C29" t="s">
        <v>10024</v>
      </c>
      <c r="D29" t="s">
        <v>10001</v>
      </c>
    </row>
    <row r="30" spans="1:4">
      <c r="A30" t="s">
        <v>10025</v>
      </c>
      <c r="B30" t="s">
        <v>9965</v>
      </c>
      <c r="C30" t="s">
        <v>10025</v>
      </c>
      <c r="D30" t="s">
        <v>10001</v>
      </c>
    </row>
    <row r="31" spans="1:4">
      <c r="A31" t="s">
        <v>10026</v>
      </c>
      <c r="B31" t="s">
        <v>9966</v>
      </c>
      <c r="C31" t="s">
        <v>10026</v>
      </c>
      <c r="D31" t="s">
        <v>10001</v>
      </c>
    </row>
    <row r="32" spans="1:4">
      <c r="A32" t="s">
        <v>10027</v>
      </c>
      <c r="B32" t="s">
        <v>9967</v>
      </c>
      <c r="C32" t="s">
        <v>10027</v>
      </c>
      <c r="D32" t="s">
        <v>10001</v>
      </c>
    </row>
    <row r="33" spans="1:4">
      <c r="A33" t="s">
        <v>10028</v>
      </c>
      <c r="B33" t="s">
        <v>9968</v>
      </c>
      <c r="C33" t="s">
        <v>10028</v>
      </c>
      <c r="D33" t="s">
        <v>10002</v>
      </c>
    </row>
    <row r="34" spans="1:4">
      <c r="A34" t="s">
        <v>10029</v>
      </c>
      <c r="B34" t="s">
        <v>9969</v>
      </c>
      <c r="C34" t="s">
        <v>10029</v>
      </c>
      <c r="D34" t="s">
        <v>10002</v>
      </c>
    </row>
    <row r="35" spans="1:4">
      <c r="A35" t="s">
        <v>10030</v>
      </c>
      <c r="B35" t="s">
        <v>9970</v>
      </c>
      <c r="C35" t="s">
        <v>10030</v>
      </c>
      <c r="D35" t="s">
        <v>10002</v>
      </c>
    </row>
    <row r="36" spans="1:4">
      <c r="A36" t="s">
        <v>10031</v>
      </c>
      <c r="B36" t="s">
        <v>9971</v>
      </c>
      <c r="C36" t="s">
        <v>10031</v>
      </c>
      <c r="D36" t="s">
        <v>10002</v>
      </c>
    </row>
    <row r="37" spans="1:4">
      <c r="A37" t="s">
        <v>10032</v>
      </c>
      <c r="B37" t="s">
        <v>9972</v>
      </c>
      <c r="C37" t="s">
        <v>10032</v>
      </c>
      <c r="D37" t="s">
        <v>10002</v>
      </c>
    </row>
    <row r="38" spans="1:4">
      <c r="A38" t="s">
        <v>10033</v>
      </c>
      <c r="B38" t="s">
        <v>9973</v>
      </c>
      <c r="C38" t="s">
        <v>10033</v>
      </c>
      <c r="D38" t="s">
        <v>10003</v>
      </c>
    </row>
    <row r="39" spans="1:4">
      <c r="A39" t="s">
        <v>10034</v>
      </c>
      <c r="B39" t="s">
        <v>9974</v>
      </c>
      <c r="C39" t="s">
        <v>10034</v>
      </c>
      <c r="D39" t="s">
        <v>10003</v>
      </c>
    </row>
    <row r="40" spans="1:4">
      <c r="A40" t="s">
        <v>10035</v>
      </c>
      <c r="B40" t="s">
        <v>9975</v>
      </c>
      <c r="C40" t="s">
        <v>10035</v>
      </c>
      <c r="D40" t="s">
        <v>10003</v>
      </c>
    </row>
    <row r="41" spans="1:4">
      <c r="A41" t="s">
        <v>10036</v>
      </c>
      <c r="B41" t="s">
        <v>9976</v>
      </c>
      <c r="C41" t="s">
        <v>10036</v>
      </c>
      <c r="D41" t="s">
        <v>10003</v>
      </c>
    </row>
    <row r="42" spans="1:4">
      <c r="A42" t="s">
        <v>10037</v>
      </c>
      <c r="B42" t="s">
        <v>9977</v>
      </c>
      <c r="C42" t="s">
        <v>10037</v>
      </c>
      <c r="D42" t="s">
        <v>10003</v>
      </c>
    </row>
    <row r="43" spans="1:4">
      <c r="A43" t="s">
        <v>10038</v>
      </c>
      <c r="B43" t="s">
        <v>9978</v>
      </c>
      <c r="C43" t="s">
        <v>10038</v>
      </c>
      <c r="D43" t="s">
        <v>10004</v>
      </c>
    </row>
    <row r="44" spans="1:4">
      <c r="A44" t="s">
        <v>10039</v>
      </c>
      <c r="B44" t="s">
        <v>9979</v>
      </c>
      <c r="C44" t="s">
        <v>10039</v>
      </c>
      <c r="D44" t="s">
        <v>10004</v>
      </c>
    </row>
    <row r="45" spans="1:4">
      <c r="A45" t="s">
        <v>10040</v>
      </c>
      <c r="B45" t="s">
        <v>9980</v>
      </c>
      <c r="C45" t="s">
        <v>10040</v>
      </c>
      <c r="D45" t="s">
        <v>10004</v>
      </c>
    </row>
    <row r="46" spans="1:4">
      <c r="A46" t="s">
        <v>10041</v>
      </c>
      <c r="B46" t="s">
        <v>9981</v>
      </c>
      <c r="C46" t="s">
        <v>10041</v>
      </c>
      <c r="D46" t="s">
        <v>10004</v>
      </c>
    </row>
    <row r="47" spans="1:4">
      <c r="A47" t="s">
        <v>10042</v>
      </c>
      <c r="B47" t="s">
        <v>9982</v>
      </c>
      <c r="C47" t="s">
        <v>10042</v>
      </c>
      <c r="D47" t="s">
        <v>10004</v>
      </c>
    </row>
    <row r="48" spans="1:4">
      <c r="A48" t="s">
        <v>10043</v>
      </c>
      <c r="B48" t="s">
        <v>9983</v>
      </c>
      <c r="C48" t="s">
        <v>10043</v>
      </c>
      <c r="D48" t="s">
        <v>2441</v>
      </c>
    </row>
    <row r="49" spans="1:4">
      <c r="A49" t="s">
        <v>10044</v>
      </c>
      <c r="B49" t="s">
        <v>9984</v>
      </c>
      <c r="C49" t="s">
        <v>10044</v>
      </c>
      <c r="D49" t="s">
        <v>2441</v>
      </c>
    </row>
    <row r="50" spans="1:4">
      <c r="A50" t="s">
        <v>4210</v>
      </c>
      <c r="B50" t="s">
        <v>9986</v>
      </c>
      <c r="C50" t="s">
        <v>4210</v>
      </c>
    </row>
    <row r="51" spans="1:4">
      <c r="A51" t="s">
        <v>4216</v>
      </c>
      <c r="B51" t="s">
        <v>9987</v>
      </c>
      <c r="C51" t="s">
        <v>4216</v>
      </c>
    </row>
    <row r="52" spans="1:4">
      <c r="A52" t="s">
        <v>4433</v>
      </c>
      <c r="B52" t="s">
        <v>9988</v>
      </c>
      <c r="C52" t="s">
        <v>4433</v>
      </c>
    </row>
    <row r="53" spans="1:4">
      <c r="A53" t="s">
        <v>9985</v>
      </c>
      <c r="B53" t="s">
        <v>9989</v>
      </c>
      <c r="C53" t="s">
        <v>9985</v>
      </c>
    </row>
    <row r="54" spans="1:4">
      <c r="A54" t="s">
        <v>9990</v>
      </c>
      <c r="C54" t="s">
        <v>9990</v>
      </c>
      <c r="D54" t="s">
        <v>2433</v>
      </c>
    </row>
    <row r="55" spans="1:4">
      <c r="A55" t="s">
        <v>2445</v>
      </c>
      <c r="C55" t="s">
        <v>2445</v>
      </c>
      <c r="D55" t="s">
        <v>275</v>
      </c>
    </row>
    <row r="56" spans="1:4">
      <c r="A56" t="s">
        <v>2693</v>
      </c>
      <c r="C56" t="s">
        <v>2693</v>
      </c>
      <c r="D56" t="s">
        <v>275</v>
      </c>
    </row>
    <row r="57" spans="1:4">
      <c r="A57" t="s">
        <v>9991</v>
      </c>
      <c r="C57" t="s">
        <v>9991</v>
      </c>
      <c r="D57" t="s">
        <v>275</v>
      </c>
    </row>
    <row r="58" spans="1:4">
      <c r="A58" t="s">
        <v>9992</v>
      </c>
      <c r="C58" t="s">
        <v>9992</v>
      </c>
      <c r="D58" t="s">
        <v>275</v>
      </c>
    </row>
    <row r="59" spans="1:4">
      <c r="A59" t="s">
        <v>9993</v>
      </c>
      <c r="C59" t="s">
        <v>9993</v>
      </c>
      <c r="D59" t="s">
        <v>275</v>
      </c>
    </row>
    <row r="60" spans="1:4">
      <c r="A60" t="s">
        <v>2695</v>
      </c>
      <c r="C60" t="s">
        <v>2695</v>
      </c>
      <c r="D60" t="s">
        <v>275</v>
      </c>
    </row>
    <row r="61" spans="1:4">
      <c r="A61" t="s">
        <v>2697</v>
      </c>
      <c r="C61" t="s">
        <v>2697</v>
      </c>
      <c r="D61" t="s">
        <v>275</v>
      </c>
    </row>
    <row r="62" spans="1:4">
      <c r="A62" t="s">
        <v>2466</v>
      </c>
      <c r="C62" t="s">
        <v>2466</v>
      </c>
      <c r="D62" t="s">
        <v>275</v>
      </c>
    </row>
    <row r="63" spans="1:4">
      <c r="A63" t="s">
        <v>2468</v>
      </c>
      <c r="C63" t="s">
        <v>2468</v>
      </c>
      <c r="D63" t="s">
        <v>275</v>
      </c>
    </row>
    <row r="64" spans="1:4">
      <c r="A64" t="s">
        <v>2470</v>
      </c>
      <c r="C64" t="s">
        <v>2470</v>
      </c>
      <c r="D64" t="s">
        <v>275</v>
      </c>
    </row>
    <row r="65" spans="1:4">
      <c r="A65" t="s">
        <v>9994</v>
      </c>
      <c r="C65" t="s">
        <v>9994</v>
      </c>
      <c r="D65" t="s">
        <v>275</v>
      </c>
    </row>
    <row r="66" spans="1:4">
      <c r="A66" t="s">
        <v>4859</v>
      </c>
      <c r="C66" t="s">
        <v>4859</v>
      </c>
      <c r="D66" t="s">
        <v>275</v>
      </c>
    </row>
    <row r="67" spans="1:4">
      <c r="A67" t="s">
        <v>4867</v>
      </c>
      <c r="C67" t="s">
        <v>4867</v>
      </c>
      <c r="D67" t="s">
        <v>275</v>
      </c>
    </row>
    <row r="68" spans="1:4">
      <c r="A68" t="s">
        <v>4897</v>
      </c>
      <c r="C68" t="s">
        <v>4897</v>
      </c>
      <c r="D68" t="s">
        <v>275</v>
      </c>
    </row>
    <row r="69" spans="1:4">
      <c r="A69" t="s">
        <v>4899</v>
      </c>
      <c r="C69" t="s">
        <v>4899</v>
      </c>
      <c r="D69" t="s">
        <v>275</v>
      </c>
    </row>
    <row r="70" spans="1:4">
      <c r="A70" t="s">
        <v>4901</v>
      </c>
      <c r="C70" t="s">
        <v>4901</v>
      </c>
      <c r="D70" t="s">
        <v>275</v>
      </c>
    </row>
    <row r="71" spans="1:4">
      <c r="A71" t="s">
        <v>4933</v>
      </c>
      <c r="C71" t="s">
        <v>4933</v>
      </c>
      <c r="D71" t="s">
        <v>275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985F-DF38-498C-B192-0E297B0263E1}">
  <dimension ref="A1:H11"/>
  <sheetViews>
    <sheetView workbookViewId="0">
      <selection activeCell="B2" sqref="B2:D11"/>
    </sheetView>
  </sheetViews>
  <sheetFormatPr defaultRowHeight="15"/>
  <cols>
    <col min="1" max="1" width="6.28515625" bestFit="1" customWidth="1"/>
    <col min="2" max="2" width="11.28515625" bestFit="1" customWidth="1"/>
    <col min="3" max="3" width="38.140625" bestFit="1" customWidth="1"/>
    <col min="4" max="4" width="11.28515625" bestFit="1" customWidth="1"/>
    <col min="5" max="5" width="11.28515625" customWidth="1"/>
  </cols>
  <sheetData>
    <row r="1" spans="1:8">
      <c r="F1" s="47" t="s">
        <v>10451</v>
      </c>
      <c r="G1">
        <v>5495</v>
      </c>
    </row>
    <row r="2" spans="1:8">
      <c r="A2" t="s">
        <v>10050</v>
      </c>
      <c r="B2" t="s">
        <v>11047</v>
      </c>
      <c r="C2" t="s">
        <v>11029</v>
      </c>
      <c r="D2" t="s">
        <v>11030</v>
      </c>
      <c r="E2" t="e">
        <f>VLOOKUP(D2,A:B,2,0)</f>
        <v>#N/A</v>
      </c>
      <c r="F2" s="47" t="s">
        <v>10451</v>
      </c>
      <c r="G2">
        <v>5496</v>
      </c>
      <c r="H2" t="str">
        <f>+F2&amp;G2</f>
        <v>H000005496</v>
      </c>
    </row>
    <row r="3" spans="1:8">
      <c r="A3" t="s">
        <v>10051</v>
      </c>
      <c r="B3" t="s">
        <v>11048</v>
      </c>
      <c r="C3" t="s">
        <v>11031</v>
      </c>
      <c r="D3" t="s">
        <v>11047</v>
      </c>
      <c r="E3" t="e">
        <f t="shared" ref="E3:E11" si="0">VLOOKUP(D3,A:B,2,0)</f>
        <v>#N/A</v>
      </c>
      <c r="F3" s="47" t="s">
        <v>10451</v>
      </c>
      <c r="G3">
        <f>+G2+1</f>
        <v>5497</v>
      </c>
      <c r="H3" t="str">
        <f t="shared" ref="H3:H11" si="1">+F3&amp;G3</f>
        <v>H000005497</v>
      </c>
    </row>
    <row r="4" spans="1:8">
      <c r="A4" t="s">
        <v>10052</v>
      </c>
      <c r="B4" t="s">
        <v>11049</v>
      </c>
      <c r="C4" t="s">
        <v>11032</v>
      </c>
      <c r="D4" t="s">
        <v>11047</v>
      </c>
      <c r="E4" t="e">
        <f t="shared" si="0"/>
        <v>#N/A</v>
      </c>
      <c r="F4" s="47" t="s">
        <v>10451</v>
      </c>
      <c r="G4">
        <f t="shared" ref="G4:G11" si="2">+G3+1</f>
        <v>5498</v>
      </c>
      <c r="H4" t="str">
        <f t="shared" si="1"/>
        <v>H000005498</v>
      </c>
    </row>
    <row r="5" spans="1:8">
      <c r="A5" t="s">
        <v>10053</v>
      </c>
      <c r="B5" t="s">
        <v>11050</v>
      </c>
      <c r="C5" t="s">
        <v>11033</v>
      </c>
      <c r="D5" t="s">
        <v>11047</v>
      </c>
      <c r="E5" t="e">
        <f t="shared" si="0"/>
        <v>#N/A</v>
      </c>
      <c r="F5" s="47" t="s">
        <v>10451</v>
      </c>
      <c r="G5">
        <f t="shared" si="2"/>
        <v>5499</v>
      </c>
      <c r="H5" t="str">
        <f t="shared" si="1"/>
        <v>H000005499</v>
      </c>
    </row>
    <row r="6" spans="1:8">
      <c r="A6" t="s">
        <v>11034</v>
      </c>
      <c r="B6" t="s">
        <v>11051</v>
      </c>
      <c r="C6" t="s">
        <v>11035</v>
      </c>
      <c r="D6" t="s">
        <v>11047</v>
      </c>
      <c r="E6" t="e">
        <f t="shared" si="0"/>
        <v>#N/A</v>
      </c>
      <c r="F6" s="47" t="s">
        <v>10451</v>
      </c>
      <c r="G6">
        <f t="shared" si="2"/>
        <v>5500</v>
      </c>
      <c r="H6" t="str">
        <f t="shared" si="1"/>
        <v>H000005500</v>
      </c>
    </row>
    <row r="7" spans="1:8">
      <c r="A7" t="s">
        <v>11036</v>
      </c>
      <c r="B7" t="s">
        <v>11052</v>
      </c>
      <c r="C7" t="s">
        <v>11037</v>
      </c>
      <c r="D7" t="s">
        <v>11047</v>
      </c>
      <c r="E7" t="e">
        <f t="shared" si="0"/>
        <v>#N/A</v>
      </c>
      <c r="F7" s="47" t="s">
        <v>10451</v>
      </c>
      <c r="G7">
        <f t="shared" si="2"/>
        <v>5501</v>
      </c>
      <c r="H7" t="str">
        <f t="shared" si="1"/>
        <v>H000005501</v>
      </c>
    </row>
    <row r="8" spans="1:8">
      <c r="A8" t="s">
        <v>11038</v>
      </c>
      <c r="B8" t="s">
        <v>11053</v>
      </c>
      <c r="C8" t="s">
        <v>11039</v>
      </c>
      <c r="D8" t="s">
        <v>11040</v>
      </c>
      <c r="E8" t="e">
        <f t="shared" si="0"/>
        <v>#N/A</v>
      </c>
      <c r="F8" s="47" t="s">
        <v>10451</v>
      </c>
      <c r="G8">
        <f t="shared" si="2"/>
        <v>5502</v>
      </c>
      <c r="H8" t="str">
        <f t="shared" si="1"/>
        <v>H000005502</v>
      </c>
    </row>
    <row r="9" spans="1:8">
      <c r="A9" t="s">
        <v>11041</v>
      </c>
      <c r="B9" t="s">
        <v>11054</v>
      </c>
      <c r="C9" t="s">
        <v>11042</v>
      </c>
      <c r="D9" t="s">
        <v>11053</v>
      </c>
      <c r="E9" t="e">
        <f t="shared" si="0"/>
        <v>#N/A</v>
      </c>
      <c r="F9" s="47" t="s">
        <v>10451</v>
      </c>
      <c r="G9">
        <f t="shared" si="2"/>
        <v>5503</v>
      </c>
      <c r="H9" t="str">
        <f t="shared" si="1"/>
        <v>H000005503</v>
      </c>
    </row>
    <row r="10" spans="1:8">
      <c r="A10" t="s">
        <v>11043</v>
      </c>
      <c r="B10" t="s">
        <v>11055</v>
      </c>
      <c r="C10" t="s">
        <v>11044</v>
      </c>
      <c r="D10" t="s">
        <v>11053</v>
      </c>
      <c r="E10" t="e">
        <f t="shared" si="0"/>
        <v>#N/A</v>
      </c>
      <c r="F10" s="47" t="s">
        <v>10451</v>
      </c>
      <c r="G10">
        <f t="shared" si="2"/>
        <v>5504</v>
      </c>
      <c r="H10" t="str">
        <f t="shared" si="1"/>
        <v>H000005504</v>
      </c>
    </row>
    <row r="11" spans="1:8">
      <c r="A11" t="s">
        <v>11045</v>
      </c>
      <c r="B11" t="s">
        <v>11056</v>
      </c>
      <c r="C11" t="s">
        <v>11046</v>
      </c>
      <c r="D11" t="s">
        <v>11053</v>
      </c>
      <c r="E11" t="e">
        <f t="shared" si="0"/>
        <v>#N/A</v>
      </c>
      <c r="F11" s="47" t="s">
        <v>10451</v>
      </c>
      <c r="G11">
        <f t="shared" si="2"/>
        <v>5505</v>
      </c>
      <c r="H11" t="str">
        <f t="shared" si="1"/>
        <v>H000005505</v>
      </c>
    </row>
  </sheetData>
  <conditionalFormatting sqref="F1">
    <cfRule type="duplicateValues" dxfId="3" priority="2"/>
  </conditionalFormatting>
  <conditionalFormatting sqref="F2:F11">
    <cfRule type="duplicateValues" dxfId="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E4F16-6102-4669-A5C3-8448EF104478}">
  <dimension ref="A1:E49"/>
  <sheetViews>
    <sheetView workbookViewId="0">
      <selection sqref="A1:B49"/>
    </sheetView>
  </sheetViews>
  <sheetFormatPr defaultRowHeight="15"/>
  <cols>
    <col min="1" max="1" width="11.140625" bestFit="1" customWidth="1"/>
    <col min="2" max="2" width="34.28515625" bestFit="1" customWidth="1"/>
  </cols>
  <sheetData>
    <row r="1" spans="1:5">
      <c r="A1" t="str">
        <f>+D1&amp;E1</f>
        <v>P000001487</v>
      </c>
      <c r="B1" t="s">
        <v>9936</v>
      </c>
      <c r="D1" t="s">
        <v>9996</v>
      </c>
      <c r="E1">
        <v>1487</v>
      </c>
    </row>
    <row r="2" spans="1:5">
      <c r="A2" t="str">
        <f t="shared" ref="A2:A49" si="0">+D2&amp;E2</f>
        <v>P000001488</v>
      </c>
      <c r="B2" t="s">
        <v>9937</v>
      </c>
      <c r="D2" t="s">
        <v>9996</v>
      </c>
      <c r="E2">
        <f>+E1+1</f>
        <v>1488</v>
      </c>
    </row>
    <row r="3" spans="1:5">
      <c r="A3" t="str">
        <f t="shared" si="0"/>
        <v>P000001489</v>
      </c>
      <c r="B3" t="s">
        <v>9938</v>
      </c>
      <c r="D3" t="s">
        <v>9996</v>
      </c>
      <c r="E3">
        <f t="shared" ref="E3:E49" si="1">+E2+1</f>
        <v>1489</v>
      </c>
    </row>
    <row r="4" spans="1:5">
      <c r="A4" t="str">
        <f t="shared" si="0"/>
        <v>P000001490</v>
      </c>
      <c r="B4" t="s">
        <v>9939</v>
      </c>
      <c r="D4" t="s">
        <v>9996</v>
      </c>
      <c r="E4">
        <f t="shared" si="1"/>
        <v>1490</v>
      </c>
    </row>
    <row r="5" spans="1:5">
      <c r="A5" t="str">
        <f t="shared" si="0"/>
        <v>P000001491</v>
      </c>
      <c r="B5" t="s">
        <v>9940</v>
      </c>
      <c r="D5" t="s">
        <v>9996</v>
      </c>
      <c r="E5">
        <f t="shared" si="1"/>
        <v>1491</v>
      </c>
    </row>
    <row r="6" spans="1:5">
      <c r="A6" t="str">
        <f t="shared" si="0"/>
        <v>P000001492</v>
      </c>
      <c r="B6" t="s">
        <v>9941</v>
      </c>
      <c r="D6" t="s">
        <v>9996</v>
      </c>
      <c r="E6">
        <f t="shared" si="1"/>
        <v>1492</v>
      </c>
    </row>
    <row r="7" spans="1:5">
      <c r="A7" t="str">
        <f t="shared" si="0"/>
        <v>P000001493</v>
      </c>
      <c r="B7" t="s">
        <v>9942</v>
      </c>
      <c r="D7" t="s">
        <v>9996</v>
      </c>
      <c r="E7">
        <f t="shared" si="1"/>
        <v>1493</v>
      </c>
    </row>
    <row r="8" spans="1:5">
      <c r="A8" t="str">
        <f t="shared" si="0"/>
        <v>P000001494</v>
      </c>
      <c r="B8" t="s">
        <v>9943</v>
      </c>
      <c r="D8" t="s">
        <v>9996</v>
      </c>
      <c r="E8">
        <f t="shared" si="1"/>
        <v>1494</v>
      </c>
    </row>
    <row r="9" spans="1:5">
      <c r="A9" t="str">
        <f t="shared" si="0"/>
        <v>P000001495</v>
      </c>
      <c r="B9" t="s">
        <v>9944</v>
      </c>
      <c r="D9" t="s">
        <v>9996</v>
      </c>
      <c r="E9">
        <f t="shared" si="1"/>
        <v>1495</v>
      </c>
    </row>
    <row r="10" spans="1:5">
      <c r="A10" t="str">
        <f t="shared" si="0"/>
        <v>P000001496</v>
      </c>
      <c r="B10" t="s">
        <v>9945</v>
      </c>
      <c r="D10" t="s">
        <v>9996</v>
      </c>
      <c r="E10">
        <f t="shared" si="1"/>
        <v>1496</v>
      </c>
    </row>
    <row r="11" spans="1:5">
      <c r="A11" t="str">
        <f t="shared" si="0"/>
        <v>P000001497</v>
      </c>
      <c r="B11" t="s">
        <v>9946</v>
      </c>
      <c r="D11" t="s">
        <v>9996</v>
      </c>
      <c r="E11">
        <f t="shared" si="1"/>
        <v>1497</v>
      </c>
    </row>
    <row r="12" spans="1:5">
      <c r="A12" t="str">
        <f t="shared" si="0"/>
        <v>P000001498</v>
      </c>
      <c r="B12" t="s">
        <v>9947</v>
      </c>
      <c r="D12" t="s">
        <v>9996</v>
      </c>
      <c r="E12">
        <f t="shared" si="1"/>
        <v>1498</v>
      </c>
    </row>
    <row r="13" spans="1:5">
      <c r="A13" t="str">
        <f t="shared" si="0"/>
        <v>P000001499</v>
      </c>
      <c r="B13" t="s">
        <v>9948</v>
      </c>
      <c r="D13" t="s">
        <v>9996</v>
      </c>
      <c r="E13">
        <f t="shared" si="1"/>
        <v>1499</v>
      </c>
    </row>
    <row r="14" spans="1:5">
      <c r="A14" t="str">
        <f t="shared" si="0"/>
        <v>P000001500</v>
      </c>
      <c r="B14" t="s">
        <v>9949</v>
      </c>
      <c r="D14" t="s">
        <v>9996</v>
      </c>
      <c r="E14">
        <f t="shared" si="1"/>
        <v>1500</v>
      </c>
    </row>
    <row r="15" spans="1:5">
      <c r="A15" t="str">
        <f t="shared" si="0"/>
        <v>P000001501</v>
      </c>
      <c r="B15" t="s">
        <v>9950</v>
      </c>
      <c r="D15" t="s">
        <v>9996</v>
      </c>
      <c r="E15">
        <f t="shared" si="1"/>
        <v>1501</v>
      </c>
    </row>
    <row r="16" spans="1:5">
      <c r="A16" t="str">
        <f t="shared" si="0"/>
        <v>P000001502</v>
      </c>
      <c r="B16" t="s">
        <v>9951</v>
      </c>
      <c r="D16" t="s">
        <v>9996</v>
      </c>
      <c r="E16">
        <f t="shared" si="1"/>
        <v>1502</v>
      </c>
    </row>
    <row r="17" spans="1:5">
      <c r="A17" t="str">
        <f t="shared" si="0"/>
        <v>P000001503</v>
      </c>
      <c r="B17" t="s">
        <v>9952</v>
      </c>
      <c r="D17" t="s">
        <v>9996</v>
      </c>
      <c r="E17">
        <f t="shared" si="1"/>
        <v>1503</v>
      </c>
    </row>
    <row r="18" spans="1:5">
      <c r="A18" t="str">
        <f t="shared" si="0"/>
        <v>P000001504</v>
      </c>
      <c r="B18" t="s">
        <v>9953</v>
      </c>
      <c r="D18" t="s">
        <v>9996</v>
      </c>
      <c r="E18">
        <f t="shared" si="1"/>
        <v>1504</v>
      </c>
    </row>
    <row r="19" spans="1:5">
      <c r="A19" t="str">
        <f t="shared" si="0"/>
        <v>P000001505</v>
      </c>
      <c r="B19" t="s">
        <v>9954</v>
      </c>
      <c r="D19" t="s">
        <v>9996</v>
      </c>
      <c r="E19">
        <f t="shared" si="1"/>
        <v>1505</v>
      </c>
    </row>
    <row r="20" spans="1:5">
      <c r="A20" t="str">
        <f t="shared" si="0"/>
        <v>P000001506</v>
      </c>
      <c r="B20" t="s">
        <v>9955</v>
      </c>
      <c r="D20" t="s">
        <v>9996</v>
      </c>
      <c r="E20">
        <f t="shared" si="1"/>
        <v>1506</v>
      </c>
    </row>
    <row r="21" spans="1:5">
      <c r="A21" t="str">
        <f t="shared" si="0"/>
        <v>P000001507</v>
      </c>
      <c r="B21" t="s">
        <v>9956</v>
      </c>
      <c r="D21" t="s">
        <v>9996</v>
      </c>
      <c r="E21">
        <f t="shared" si="1"/>
        <v>1507</v>
      </c>
    </row>
    <row r="22" spans="1:5">
      <c r="A22" t="str">
        <f t="shared" si="0"/>
        <v>P000001508</v>
      </c>
      <c r="B22" t="s">
        <v>9957</v>
      </c>
      <c r="D22" t="s">
        <v>9996</v>
      </c>
      <c r="E22">
        <f t="shared" si="1"/>
        <v>1508</v>
      </c>
    </row>
    <row r="23" spans="1:5">
      <c r="A23" t="str">
        <f t="shared" si="0"/>
        <v>P000001509</v>
      </c>
      <c r="B23" t="s">
        <v>9958</v>
      </c>
      <c r="D23" t="s">
        <v>9996</v>
      </c>
      <c r="E23">
        <f t="shared" si="1"/>
        <v>1509</v>
      </c>
    </row>
    <row r="24" spans="1:5">
      <c r="A24" t="str">
        <f t="shared" si="0"/>
        <v>P000001510</v>
      </c>
      <c r="B24" t="s">
        <v>9959</v>
      </c>
      <c r="D24" t="s">
        <v>9996</v>
      </c>
      <c r="E24">
        <f t="shared" si="1"/>
        <v>1510</v>
      </c>
    </row>
    <row r="25" spans="1:5">
      <c r="A25" t="str">
        <f t="shared" si="0"/>
        <v>P000001511</v>
      </c>
      <c r="B25" t="s">
        <v>9960</v>
      </c>
      <c r="D25" t="s">
        <v>9996</v>
      </c>
      <c r="E25">
        <f t="shared" si="1"/>
        <v>1511</v>
      </c>
    </row>
    <row r="26" spans="1:5">
      <c r="A26" t="str">
        <f t="shared" si="0"/>
        <v>P000001512</v>
      </c>
      <c r="B26" t="s">
        <v>9961</v>
      </c>
      <c r="D26" t="s">
        <v>9996</v>
      </c>
      <c r="E26">
        <f t="shared" si="1"/>
        <v>1512</v>
      </c>
    </row>
    <row r="27" spans="1:5">
      <c r="A27" t="str">
        <f t="shared" si="0"/>
        <v>P000001513</v>
      </c>
      <c r="B27" t="s">
        <v>9962</v>
      </c>
      <c r="D27" t="s">
        <v>9996</v>
      </c>
      <c r="E27">
        <f t="shared" si="1"/>
        <v>1513</v>
      </c>
    </row>
    <row r="28" spans="1:5">
      <c r="A28" t="str">
        <f t="shared" si="0"/>
        <v>P000001514</v>
      </c>
      <c r="B28" t="s">
        <v>9963</v>
      </c>
      <c r="D28" t="s">
        <v>9996</v>
      </c>
      <c r="E28">
        <f t="shared" si="1"/>
        <v>1514</v>
      </c>
    </row>
    <row r="29" spans="1:5">
      <c r="A29" t="str">
        <f t="shared" si="0"/>
        <v>P000001515</v>
      </c>
      <c r="B29" t="s">
        <v>9964</v>
      </c>
      <c r="D29" t="s">
        <v>9996</v>
      </c>
      <c r="E29">
        <f t="shared" si="1"/>
        <v>1515</v>
      </c>
    </row>
    <row r="30" spans="1:5">
      <c r="A30" t="str">
        <f t="shared" si="0"/>
        <v>P000001516</v>
      </c>
      <c r="B30" t="s">
        <v>9965</v>
      </c>
      <c r="D30" t="s">
        <v>9996</v>
      </c>
      <c r="E30">
        <f t="shared" si="1"/>
        <v>1516</v>
      </c>
    </row>
    <row r="31" spans="1:5">
      <c r="A31" t="str">
        <f t="shared" si="0"/>
        <v>P000001517</v>
      </c>
      <c r="B31" t="s">
        <v>9966</v>
      </c>
      <c r="D31" t="s">
        <v>9996</v>
      </c>
      <c r="E31">
        <f t="shared" si="1"/>
        <v>1517</v>
      </c>
    </row>
    <row r="32" spans="1:5">
      <c r="A32" t="str">
        <f t="shared" si="0"/>
        <v>P000001518</v>
      </c>
      <c r="B32" t="s">
        <v>9967</v>
      </c>
      <c r="D32" t="s">
        <v>9996</v>
      </c>
      <c r="E32">
        <f t="shared" si="1"/>
        <v>1518</v>
      </c>
    </row>
    <row r="33" spans="1:5">
      <c r="A33" t="str">
        <f t="shared" si="0"/>
        <v>P000001519</v>
      </c>
      <c r="B33" t="s">
        <v>9968</v>
      </c>
      <c r="D33" t="s">
        <v>9996</v>
      </c>
      <c r="E33">
        <f t="shared" si="1"/>
        <v>1519</v>
      </c>
    </row>
    <row r="34" spans="1:5">
      <c r="A34" t="str">
        <f t="shared" si="0"/>
        <v>P000001520</v>
      </c>
      <c r="B34" t="s">
        <v>9969</v>
      </c>
      <c r="D34" t="s">
        <v>9996</v>
      </c>
      <c r="E34">
        <f t="shared" si="1"/>
        <v>1520</v>
      </c>
    </row>
    <row r="35" spans="1:5">
      <c r="A35" t="str">
        <f t="shared" si="0"/>
        <v>P000001521</v>
      </c>
      <c r="B35" t="s">
        <v>9970</v>
      </c>
      <c r="D35" t="s">
        <v>9996</v>
      </c>
      <c r="E35">
        <f t="shared" si="1"/>
        <v>1521</v>
      </c>
    </row>
    <row r="36" spans="1:5">
      <c r="A36" t="str">
        <f t="shared" si="0"/>
        <v>P000001522</v>
      </c>
      <c r="B36" t="s">
        <v>9971</v>
      </c>
      <c r="D36" t="s">
        <v>9996</v>
      </c>
      <c r="E36">
        <f t="shared" si="1"/>
        <v>1522</v>
      </c>
    </row>
    <row r="37" spans="1:5">
      <c r="A37" t="str">
        <f t="shared" si="0"/>
        <v>P000001523</v>
      </c>
      <c r="B37" t="s">
        <v>9972</v>
      </c>
      <c r="D37" t="s">
        <v>9996</v>
      </c>
      <c r="E37">
        <f t="shared" si="1"/>
        <v>1523</v>
      </c>
    </row>
    <row r="38" spans="1:5">
      <c r="A38" t="str">
        <f t="shared" si="0"/>
        <v>P000001524</v>
      </c>
      <c r="B38" t="s">
        <v>9973</v>
      </c>
      <c r="D38" t="s">
        <v>9996</v>
      </c>
      <c r="E38">
        <f t="shared" si="1"/>
        <v>1524</v>
      </c>
    </row>
    <row r="39" spans="1:5">
      <c r="A39" t="str">
        <f t="shared" si="0"/>
        <v>P000001525</v>
      </c>
      <c r="B39" t="s">
        <v>9974</v>
      </c>
      <c r="D39" t="s">
        <v>9996</v>
      </c>
      <c r="E39">
        <f t="shared" si="1"/>
        <v>1525</v>
      </c>
    </row>
    <row r="40" spans="1:5">
      <c r="A40" t="str">
        <f t="shared" si="0"/>
        <v>P000001526</v>
      </c>
      <c r="B40" t="s">
        <v>9975</v>
      </c>
      <c r="D40" t="s">
        <v>9996</v>
      </c>
      <c r="E40">
        <f t="shared" si="1"/>
        <v>1526</v>
      </c>
    </row>
    <row r="41" spans="1:5">
      <c r="A41" t="str">
        <f t="shared" si="0"/>
        <v>P000001527</v>
      </c>
      <c r="B41" t="s">
        <v>9976</v>
      </c>
      <c r="D41" t="s">
        <v>9996</v>
      </c>
      <c r="E41">
        <f t="shared" si="1"/>
        <v>1527</v>
      </c>
    </row>
    <row r="42" spans="1:5">
      <c r="A42" t="str">
        <f t="shared" si="0"/>
        <v>P000001528</v>
      </c>
      <c r="B42" t="s">
        <v>9977</v>
      </c>
      <c r="D42" t="s">
        <v>9996</v>
      </c>
      <c r="E42">
        <f t="shared" si="1"/>
        <v>1528</v>
      </c>
    </row>
    <row r="43" spans="1:5">
      <c r="A43" t="str">
        <f t="shared" si="0"/>
        <v>P000001529</v>
      </c>
      <c r="B43" t="s">
        <v>9978</v>
      </c>
      <c r="D43" t="s">
        <v>9996</v>
      </c>
      <c r="E43">
        <f t="shared" si="1"/>
        <v>1529</v>
      </c>
    </row>
    <row r="44" spans="1:5">
      <c r="A44" t="str">
        <f t="shared" si="0"/>
        <v>P000001530</v>
      </c>
      <c r="B44" t="s">
        <v>9979</v>
      </c>
      <c r="D44" t="s">
        <v>9996</v>
      </c>
      <c r="E44">
        <f t="shared" si="1"/>
        <v>1530</v>
      </c>
    </row>
    <row r="45" spans="1:5">
      <c r="A45" t="str">
        <f t="shared" si="0"/>
        <v>P000001531</v>
      </c>
      <c r="B45" t="s">
        <v>9980</v>
      </c>
      <c r="D45" t="s">
        <v>9996</v>
      </c>
      <c r="E45">
        <f t="shared" si="1"/>
        <v>1531</v>
      </c>
    </row>
    <row r="46" spans="1:5">
      <c r="A46" t="str">
        <f t="shared" si="0"/>
        <v>P000001532</v>
      </c>
      <c r="B46" t="s">
        <v>9981</v>
      </c>
      <c r="D46" t="s">
        <v>9996</v>
      </c>
      <c r="E46">
        <f t="shared" si="1"/>
        <v>1532</v>
      </c>
    </row>
    <row r="47" spans="1:5">
      <c r="A47" t="str">
        <f t="shared" si="0"/>
        <v>P000001533</v>
      </c>
      <c r="B47" t="s">
        <v>9982</v>
      </c>
      <c r="D47" t="s">
        <v>9996</v>
      </c>
      <c r="E47">
        <f t="shared" si="1"/>
        <v>1533</v>
      </c>
    </row>
    <row r="48" spans="1:5">
      <c r="A48" t="str">
        <f t="shared" si="0"/>
        <v>P000001534</v>
      </c>
      <c r="B48" t="s">
        <v>9983</v>
      </c>
      <c r="D48" t="s">
        <v>9996</v>
      </c>
      <c r="E48">
        <f t="shared" si="1"/>
        <v>1534</v>
      </c>
    </row>
    <row r="49" spans="1:5">
      <c r="A49" t="str">
        <f t="shared" si="0"/>
        <v>P000001535</v>
      </c>
      <c r="B49" t="s">
        <v>9984</v>
      </c>
      <c r="D49" t="s">
        <v>9996</v>
      </c>
      <c r="E49">
        <f t="shared" si="1"/>
        <v>1535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E065E-0577-48ED-AD40-0FFB5DEF31B5}">
  <dimension ref="A1:G50"/>
  <sheetViews>
    <sheetView topLeftCell="A2" workbookViewId="0">
      <selection activeCell="Q37" sqref="Q37"/>
    </sheetView>
  </sheetViews>
  <sheetFormatPr defaultRowHeight="15"/>
  <cols>
    <col min="1" max="1" width="11.28515625" bestFit="1" customWidth="1"/>
    <col min="2" max="2" width="35.5703125" bestFit="1" customWidth="1"/>
    <col min="3" max="7" width="2.140625" bestFit="1" customWidth="1"/>
  </cols>
  <sheetData>
    <row r="1" spans="1:7">
      <c r="A1" t="s">
        <v>9922</v>
      </c>
    </row>
    <row r="3" spans="1:7">
      <c r="A3">
        <v>1000</v>
      </c>
      <c r="B3" t="s">
        <v>9921</v>
      </c>
    </row>
    <row r="4" spans="1:7">
      <c r="A4" t="s">
        <v>9903</v>
      </c>
      <c r="B4" t="s">
        <v>9900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9904</v>
      </c>
      <c r="B5" t="s">
        <v>9901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9920</v>
      </c>
      <c r="B6" t="s">
        <v>9908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>
      <c r="A7" t="s">
        <v>9919</v>
      </c>
      <c r="B7" t="s">
        <v>9909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>
      <c r="A8" t="s">
        <v>9918</v>
      </c>
      <c r="B8" t="s">
        <v>9910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>
      <c r="A9" t="s">
        <v>6098</v>
      </c>
      <c r="B9" t="s">
        <v>9911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>
      <c r="A10" t="s">
        <v>9422</v>
      </c>
      <c r="B10" t="s">
        <v>9912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>
      <c r="A11" t="s">
        <v>9659</v>
      </c>
      <c r="B11" t="s">
        <v>9916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>
      <c r="A12" t="s">
        <v>9660</v>
      </c>
      <c r="B12" t="s">
        <v>9917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5" spans="1:7">
      <c r="A15" t="s">
        <v>9924</v>
      </c>
    </row>
    <row r="17" spans="1:2">
      <c r="A17">
        <v>1000</v>
      </c>
      <c r="B17" t="s">
        <v>9921</v>
      </c>
    </row>
    <row r="18" spans="1:2">
      <c r="A18" t="s">
        <v>9035</v>
      </c>
      <c r="B18" t="s">
        <v>9903</v>
      </c>
    </row>
    <row r="19" spans="1:2">
      <c r="A19" t="s">
        <v>9035</v>
      </c>
      <c r="B19" t="s">
        <v>9904</v>
      </c>
    </row>
    <row r="20" spans="1:2">
      <c r="A20" t="s">
        <v>9421</v>
      </c>
      <c r="B20" t="s">
        <v>9920</v>
      </c>
    </row>
    <row r="21" spans="1:2">
      <c r="A21" t="s">
        <v>9421</v>
      </c>
      <c r="B21" t="s">
        <v>9919</v>
      </c>
    </row>
    <row r="22" spans="1:2">
      <c r="A22" t="s">
        <v>9421</v>
      </c>
      <c r="B22" t="s">
        <v>9918</v>
      </c>
    </row>
    <row r="25" spans="1:2">
      <c r="A25" t="s">
        <v>9923</v>
      </c>
    </row>
    <row r="27" spans="1:2">
      <c r="A27">
        <v>1000</v>
      </c>
      <c r="B27" t="s">
        <v>9921</v>
      </c>
    </row>
    <row r="28" spans="1:2">
      <c r="A28" s="104" t="s">
        <v>9890</v>
      </c>
      <c r="B28" s="103" t="s">
        <v>5416</v>
      </c>
    </row>
    <row r="29" spans="1:2">
      <c r="A29" s="105" t="s">
        <v>9889</v>
      </c>
      <c r="B29" s="102" t="s">
        <v>5419</v>
      </c>
    </row>
    <row r="30" spans="1:2">
      <c r="A30" t="s">
        <v>275</v>
      </c>
      <c r="B30" t="s">
        <v>9897</v>
      </c>
    </row>
    <row r="31" spans="1:2">
      <c r="A31" t="s">
        <v>275</v>
      </c>
      <c r="B31" t="s">
        <v>9898</v>
      </c>
    </row>
    <row r="32" spans="1:2">
      <c r="A32" t="s">
        <v>9920</v>
      </c>
      <c r="B32" t="s">
        <v>9423</v>
      </c>
    </row>
    <row r="33" spans="1:3">
      <c r="A33" t="s">
        <v>9920</v>
      </c>
      <c r="B33" t="s">
        <v>4742</v>
      </c>
    </row>
    <row r="34" spans="1:3">
      <c r="A34" t="s">
        <v>9919</v>
      </c>
      <c r="B34" t="s">
        <v>9424</v>
      </c>
    </row>
    <row r="35" spans="1:3">
      <c r="A35" t="s">
        <v>9919</v>
      </c>
      <c r="B35" t="s">
        <v>9913</v>
      </c>
    </row>
    <row r="36" spans="1:3">
      <c r="A36" t="s">
        <v>9918</v>
      </c>
      <c r="B36" t="s">
        <v>4753</v>
      </c>
    </row>
    <row r="37" spans="1:3">
      <c r="A37" t="s">
        <v>9421</v>
      </c>
      <c r="B37" t="s">
        <v>9914</v>
      </c>
    </row>
    <row r="38" spans="1:3">
      <c r="A38" t="s">
        <v>6118</v>
      </c>
      <c r="B38" t="s">
        <v>6652</v>
      </c>
    </row>
    <row r="39" spans="1:3">
      <c r="A39" t="s">
        <v>9618</v>
      </c>
      <c r="B39" t="s">
        <v>9659</v>
      </c>
    </row>
    <row r="40" spans="1:3">
      <c r="A40" t="s">
        <v>9618</v>
      </c>
      <c r="B40" t="s">
        <v>9660</v>
      </c>
    </row>
    <row r="41" spans="1:3">
      <c r="A41" t="s">
        <v>9903</v>
      </c>
      <c r="C41" t="s">
        <v>9925</v>
      </c>
    </row>
    <row r="42" spans="1:3">
      <c r="A42" t="s">
        <v>9904</v>
      </c>
      <c r="C42" t="s">
        <v>9926</v>
      </c>
    </row>
    <row r="43" spans="1:3">
      <c r="A43" t="s">
        <v>9781</v>
      </c>
      <c r="C43" t="s">
        <v>9927</v>
      </c>
    </row>
    <row r="44" spans="1:3">
      <c r="A44" t="s">
        <v>9781</v>
      </c>
      <c r="C44" t="s">
        <v>9928</v>
      </c>
    </row>
    <row r="45" spans="1:3">
      <c r="A45" t="s">
        <v>9781</v>
      </c>
      <c r="C45" t="s">
        <v>9929</v>
      </c>
    </row>
    <row r="46" spans="1:3">
      <c r="A46" t="s">
        <v>9781</v>
      </c>
      <c r="C46" t="s">
        <v>9930</v>
      </c>
    </row>
    <row r="47" spans="1:3">
      <c r="A47" t="s">
        <v>9781</v>
      </c>
      <c r="C47" t="s">
        <v>9931</v>
      </c>
    </row>
    <row r="48" spans="1:3">
      <c r="A48" t="s">
        <v>9781</v>
      </c>
      <c r="C48" t="s">
        <v>9932</v>
      </c>
    </row>
    <row r="49" spans="1:3">
      <c r="A49" t="s">
        <v>9781</v>
      </c>
      <c r="C49" t="s">
        <v>9933</v>
      </c>
    </row>
    <row r="50" spans="1:3">
      <c r="A50" t="s">
        <v>9781</v>
      </c>
      <c r="C50" t="s">
        <v>9934</v>
      </c>
    </row>
  </sheetData>
  <conditionalFormatting sqref="B28:B29">
    <cfRule type="duplicateValues" dxfId="1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>ok</v>
      </c>
      <c r="I1559" s="13" t="s">
        <v>276</v>
      </c>
      <c r="J1559" s="22" t="str">
        <f>VLOOKUP(Table2[[#This Row], [Author]],People!A:B,2,0)</f>
        <v>MGF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>ok</v>
      </c>
      <c r="I1560" s="11" t="s">
        <v>276</v>
      </c>
      <c r="J1560" s="19" t="str">
        <f>VLOOKUP(Table2[[#This Row], [Author]],People!A:B,2,0)</f>
        <v>MGF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>ok</v>
      </c>
      <c r="I1561" s="13" t="s">
        <v>276</v>
      </c>
      <c r="J1561" s="22" t="str">
        <f>VLOOKUP(Table2[[#This Row], [Author]],People!A:B,2,0)</f>
        <v>MGF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>ok</v>
      </c>
      <c r="I1562" s="11" t="s">
        <v>276</v>
      </c>
      <c r="J1562" s="19" t="str">
        <f>VLOOKUP(Table2[[#This Row], [Author]],People!A:B,2,0)</f>
        <v>MGF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>ok</v>
      </c>
      <c r="I1563" s="13" t="s">
        <v>276</v>
      </c>
      <c r="J1563" s="22" t="str">
        <f>VLOOKUP(Table2[[#This Row], [Author]],People!A:B,2,0)</f>
        <v>MGF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>ok</v>
      </c>
      <c r="I1564" s="11" t="s">
        <v>276</v>
      </c>
      <c r="J1564" s="19" t="str">
        <f>VLOOKUP(Table2[[#This Row], [Author]],People!A:B,2,0)</f>
        <v>MGF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>ok</v>
      </c>
      <c r="I1565" s="13" t="s">
        <v>276</v>
      </c>
      <c r="J1565" s="22" t="str">
        <f>VLOOKUP(Table2[[#This Row], [Author]],People!A:B,2,0)</f>
        <v>MGF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>ok</v>
      </c>
      <c r="I1566" s="11" t="s">
        <v>276</v>
      </c>
      <c r="J1566" s="19" t="str">
        <f>VLOOKUP(Table2[[#This Row], [Author]],People!A:B,2,0)</f>
        <v>MGF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>ok</v>
      </c>
      <c r="I1567" s="13" t="s">
        <v>276</v>
      </c>
      <c r="J1567" s="22" t="str">
        <f>VLOOKUP(Table2[[#This Row], [Author]],People!A:B,2,0)</f>
        <v>MGF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>ok</v>
      </c>
      <c r="I1568" s="11" t="s">
        <v>276</v>
      </c>
      <c r="J1568" s="19" t="str">
        <f>VLOOKUP(Table2[[#This Row], [Author]],People!A:B,2,0)</f>
        <v>MGF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>ok</v>
      </c>
      <c r="I1569" s="13" t="s">
        <v>276</v>
      </c>
      <c r="J1569" s="22" t="str">
        <f>VLOOKUP(Table2[[#This Row], [Author]],People!A:B,2,0)</f>
        <v>MGF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>ok</v>
      </c>
      <c r="I1570" s="11" t="s">
        <v>276</v>
      </c>
      <c r="J1570" s="19" t="str">
        <f>VLOOKUP(Table2[[#This Row], [Author]],People!A:B,2,0)</f>
        <v>MGF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>ok</v>
      </c>
      <c r="I1571" s="13" t="s">
        <v>276</v>
      </c>
      <c r="J1571" s="22" t="str">
        <f>VLOOKUP(Table2[[#This Row], [Author]],People!A:B,2,0)</f>
        <v>MGF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>ok</v>
      </c>
      <c r="I1572" s="11" t="s">
        <v>276</v>
      </c>
      <c r="J1572" s="19" t="str">
        <f>VLOOKUP(Table2[[#This Row], [Author]],People!A:B,2,0)</f>
        <v>MGF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>ok</v>
      </c>
      <c r="I1573" s="13" t="s">
        <v>276</v>
      </c>
      <c r="J1573" s="22" t="str">
        <f>VLOOKUP(Table2[[#This Row], [Author]],People!A:B,2,0)</f>
        <v>MGF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>ok</v>
      </c>
      <c r="I1574" s="11" t="s">
        <v>276</v>
      </c>
      <c r="J1574" s="19" t="str">
        <f>VLOOKUP(Table2[[#This Row], [Author]],People!A:B,2,0)</f>
        <v>MGF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>ok</v>
      </c>
      <c r="I1575" s="13" t="s">
        <v>276</v>
      </c>
      <c r="J1575" s="22" t="str">
        <f>VLOOKUP(Table2[[#This Row], [Author]],People!A:B,2,0)</f>
        <v>MGF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>ok</v>
      </c>
      <c r="I1576" s="11" t="s">
        <v>276</v>
      </c>
      <c r="J1576" s="19" t="str">
        <f>VLOOKUP(Table2[[#This Row], [Author]],People!A:B,2,0)</f>
        <v>MGF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>ok</v>
      </c>
      <c r="I1577" s="13" t="s">
        <v>276</v>
      </c>
      <c r="J1577" s="22" t="str">
        <f>VLOOKUP(Table2[[#This Row], [Author]],People!A:B,2,0)</f>
        <v>MGF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>ok</v>
      </c>
      <c r="I1578" s="11" t="s">
        <v>276</v>
      </c>
      <c r="J1578" s="19" t="str">
        <f>VLOOKUP(Table2[[#This Row], [Author]],People!A:B,2,0)</f>
        <v>MGF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>ok</v>
      </c>
      <c r="I1579" s="13" t="s">
        <v>276</v>
      </c>
      <c r="J1579" s="22" t="str">
        <f>VLOOKUP(Table2[[#This Row], [Author]],People!A:B,2,0)</f>
        <v>MGF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>ok</v>
      </c>
      <c r="I1580" s="11" t="s">
        <v>276</v>
      </c>
      <c r="J1580" s="19" t="str">
        <f>VLOOKUP(Table2[[#This Row], [Author]],People!A:B,2,0)</f>
        <v>MGF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>ok</v>
      </c>
      <c r="I1581" s="13" t="s">
        <v>276</v>
      </c>
      <c r="J1581" s="22" t="str">
        <f>VLOOKUP(Table2[[#This Row], [Author]],People!A:B,2,0)</f>
        <v>MGF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>ok</v>
      </c>
      <c r="I1582" s="11" t="s">
        <v>276</v>
      </c>
      <c r="J1582" s="19" t="str">
        <f>VLOOKUP(Table2[[#This Row], [Author]],People!A:B,2,0)</f>
        <v>MGF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>ok</v>
      </c>
      <c r="I1583" s="13" t="s">
        <v>276</v>
      </c>
      <c r="J1583" s="22" t="str">
        <f>VLOOKUP(Table2[[#This Row], [Author]],People!A:B,2,0)</f>
        <v>MGF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>ok</v>
      </c>
      <c r="I1584" s="11" t="s">
        <v>276</v>
      </c>
      <c r="J1584" s="19" t="str">
        <f>VLOOKUP(Table2[[#This Row], [Author]],People!A:B,2,0)</f>
        <v>MGF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>ok</v>
      </c>
      <c r="I1585" s="13" t="s">
        <v>276</v>
      </c>
      <c r="J1585" s="22" t="str">
        <f>VLOOKUP(Table2[[#This Row], [Author]],People!A:B,2,0)</f>
        <v>MGF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>ok</v>
      </c>
      <c r="I1586" s="11" t="s">
        <v>276</v>
      </c>
      <c r="J1586" s="19" t="str">
        <f>VLOOKUP(Table2[[#This Row], [Author]],People!A:B,2,0)</f>
        <v>MGF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>ok</v>
      </c>
      <c r="I1587" s="13" t="s">
        <v>276</v>
      </c>
      <c r="J1587" s="22" t="str">
        <f>VLOOKUP(Table2[[#This Row], [Author]],People!A:B,2,0)</f>
        <v>MGF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>ok</v>
      </c>
      <c r="I1588" s="11" t="s">
        <v>276</v>
      </c>
      <c r="J1588" s="19" t="str">
        <f>VLOOKUP(Table2[[#This Row], [Author]],People!A:B,2,0)</f>
        <v>MGF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>ok</v>
      </c>
      <c r="I1589" s="13" t="s">
        <v>276</v>
      </c>
      <c r="J1589" s="22" t="str">
        <f>VLOOKUP(Table2[[#This Row], [Author]],People!A:B,2,0)</f>
        <v>MGF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>ok</v>
      </c>
      <c r="I1590" s="11" t="s">
        <v>276</v>
      </c>
      <c r="J1590" s="19" t="str">
        <f>VLOOKUP(Table2[[#This Row], [Author]],People!A:B,2,0)</f>
        <v>MGF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>ok</v>
      </c>
      <c r="I1591" s="13" t="s">
        <v>276</v>
      </c>
      <c r="J1591" s="22" t="str">
        <f>VLOOKUP(Table2[[#This Row], [Author]],People!A:B,2,0)</f>
        <v>MGF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>ok</v>
      </c>
      <c r="I1592" s="11" t="s">
        <v>276</v>
      </c>
      <c r="J1592" s="19" t="str">
        <f>VLOOKUP(Table2[[#This Row], [Author]],People!A:B,2,0)</f>
        <v>MGF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>ok</v>
      </c>
      <c r="I1593" s="13" t="s">
        <v>276</v>
      </c>
      <c r="J1593" s="22" t="str">
        <f>VLOOKUP(Table2[[#This Row], [Author]],People!A:B,2,0)</f>
        <v>MGF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>ok</v>
      </c>
      <c r="I1594" s="11" t="s">
        <v>276</v>
      </c>
      <c r="J1594" s="19" t="str">
        <f>VLOOKUP(Table2[[#This Row], [Author]],People!A:B,2,0)</f>
        <v>MGF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>ok</v>
      </c>
      <c r="I1595" s="13" t="s">
        <v>276</v>
      </c>
      <c r="J1595" s="22" t="str">
        <f>VLOOKUP(Table2[[#This Row], [Author]],People!A:B,2,0)</f>
        <v>MGF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>ok</v>
      </c>
      <c r="I1596" s="11" t="s">
        <v>276</v>
      </c>
      <c r="J1596" s="19" t="str">
        <f>VLOOKUP(Table2[[#This Row], [Author]],People!A:B,2,0)</f>
        <v>MGF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>ok</v>
      </c>
      <c r="I1597" s="13" t="s">
        <v>276</v>
      </c>
      <c r="J1597" s="22" t="str">
        <f>VLOOKUP(Table2[[#This Row], [Author]],People!A:B,2,0)</f>
        <v>MGF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>ok</v>
      </c>
      <c r="I1598" s="11" t="s">
        <v>276</v>
      </c>
      <c r="J1598" s="19" t="str">
        <f>VLOOKUP(Table2[[#This Row], [Author]],People!A:B,2,0)</f>
        <v>MGF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>ok</v>
      </c>
      <c r="I1599" s="13" t="s">
        <v>276</v>
      </c>
      <c r="J1599" s="22" t="str">
        <f>VLOOKUP(Table2[[#This Row], [Author]],People!A:B,2,0)</f>
        <v>MGF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>ok</v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>ok</v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>ok</v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>ok</v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>ok</v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>ok</v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>ok</v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>ok</v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>ok</v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>ok</v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>ok</v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>ok</v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>ok</v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>ok</v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>ok</v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>ok</v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>ok</v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>ok</v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>ok</v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#N/A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#N/A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HC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HC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HC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HC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#N/A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#N/A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#N/A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#N/A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#N/A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#N/A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#N/A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#N/A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#N/A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#N/A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#N/A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#N/A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MGF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MGF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str">
        <f>VLOOKUP(Table2[[#This Row], [Author]],People!A:B,2,0)</f>
        <v>EL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str">
        <f>VLOOKUP(Table2[[#This Row], [Author]],People!A:B,2,0)</f>
        <v>EL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str">
        <f>VLOOKUP(Table2[[#This Row], [Author]],People!A:B,2,0)</f>
        <v>EL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str">
        <f>VLOOKUP(Table2[[#This Row], [Author]],People!A:B,2,0)</f>
        <v>EL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str">
        <f>VLOOKUP(Table2[[#This Row], [Author]],People!A:B,2,0)</f>
        <v>EL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str">
        <f>VLOOKUP(Table2[[#This Row], [Author]],People!A:B,2,0)</f>
        <v>EL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str">
        <f>VLOOKUP(Table2[[#This Row], [Author]],People!A:B,2,0)</f>
        <v>EL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str">
        <f>VLOOKUP(Table2[[#This Row], [Author]],People!A:B,2,0)</f>
        <v>EL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str">
        <f>VLOOKUP(Table2[[#This Row], [Author]],People!A:B,2,0)</f>
        <v>EL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str">
        <f>VLOOKUP(Table2[[#This Row], [Author]],People!A:B,2,0)</f>
        <v>EL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str">
        <f>VLOOKUP(Table2[[#This Row], [Author]],People!A:B,2,0)</f>
        <v>EL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str">
        <f>VLOOKUP(Table2[[#This Row], [Author]],People!A:B,2,0)</f>
        <v>EL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str">
        <f>VLOOKUP(Table2[[#This Row], [Author]],People!A:B,2,0)</f>
        <v>EL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str">
        <f>VLOOKUP(Table2[[#This Row], [Author]],People!A:B,2,0)</f>
        <v>EL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str">
        <f>VLOOKUP(Table2[[#This Row], [Author]],People!A:B,2,0)</f>
        <v>EL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str">
        <f>VLOOKUP(Table2[[#This Row], [Author]],People!A:B,2,0)</f>
        <v>EL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str">
        <f>VLOOKUP(Table2[[#This Row], [Author]],People!A:B,2,0)</f>
        <v>EL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str">
        <f>VLOOKUP(Table2[[#This Row], [Author]],People!A:B,2,0)</f>
        <v>EL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str">
        <f>VLOOKUP(Table2[[#This Row], [Author]],People!A:B,2,0)</f>
        <v>EL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str">
        <f>VLOOKUP(Table2[[#This Row], [Author]],People!A:B,2,0)</f>
        <v>EL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str">
        <f>VLOOKUP(Table2[[#This Row], [Author]],People!A:B,2,0)</f>
        <v>EL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str">
        <f>VLOOKUP(Table2[[#This Row], [Author]],People!A:B,2,0)</f>
        <v>EL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str">
        <f>VLOOKUP(Table2[[#This Row], [Author]],People!A:B,2,0)</f>
        <v>EL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str">
        <f>VLOOKUP(Table2[[#This Row], [Author]],People!A:B,2,0)</f>
        <v>EL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str">
        <f>VLOOKUP(Table2[[#This Row], [Author]],People!A:B,2,0)</f>
        <v>EL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str">
        <f>VLOOKUP(Table2[[#This Row], [Author]],People!A:B,2,0)</f>
        <v>EL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#N/A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#N/A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#N/A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#N/A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#N/A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#N/A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#N/A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#N/A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#N/A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#N/A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#N/A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#N/A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#N/A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#N/A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#N/A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#N/A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#N/A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#N/A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#N/A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#N/A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#N/A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#N/A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#N/A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#N/A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#N/A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#N/A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#N/A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#N/A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#N/A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#N/A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#N/A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#N/A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#N/A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#N/A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#N/A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#N/A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#N/A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#N/A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#N/A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#N/A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#N/A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#N/A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#N/A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#N/A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#N/A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#N/A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#N/A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#N/A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#N/A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#N/A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#N/A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#N/A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#N/A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#N/A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#N/A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#N/A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#N/A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#N/A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#N/A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#N/A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#N/A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#N/A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#N/A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#N/A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#N/A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#N/A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#N/A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#N/A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#N/A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#N/A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#N/A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#N/A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#N/A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#N/A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#N/A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#N/A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#N/A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#N/A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#N/A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#N/A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#N/A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#N/A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#N/A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#N/A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#N/A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#N/A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#N/A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#N/A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#N/A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#N/A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#N/A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#N/A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#N/A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#N/A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#N/A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#N/A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#N/A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#N/A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#N/A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#N/A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#N/A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#N/A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#N/A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#N/A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#N/A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#N/A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#N/A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#N/A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#N/A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#N/A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#N/A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#N/A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#N/A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#N/A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#N/A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#N/A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#N/A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#N/A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#N/A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#N/A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#N/A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#N/A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#N/A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#N/A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#N/A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#N/A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#N/A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#N/A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#N/A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#N/A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#N/A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#N/A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#N/A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#N/A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#N/A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#N/A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#N/A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#N/A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#N/A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#N/A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#N/A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#N/A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#N/A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#N/A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#N/A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#N/A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#N/A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#N/A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#N/A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#N/A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#N/A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#N/A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#N/A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#N/A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#N/A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#N/A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#N/A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#N/A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#N/A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#N/A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#N/A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#N/A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#N/A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#N/A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#N/A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#N/A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#N/A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#N/A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#N/A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#N/A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#N/A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#N/A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#N/A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#N/A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#N/A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#N/A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#N/A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#N/A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#N/A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#N/A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#N/A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#N/A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#N/A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#N/A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#N/A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#N/A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#N/A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#N/A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#N/A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#N/A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#N/A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#N/A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#N/A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#N/A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#N/A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#N/A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#N/A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#N/A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#N/A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#N/A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#N/A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#N/A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#N/A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#N/A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#N/A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#N/A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#N/A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#N/A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#N/A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#N/A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#N/A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#N/A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#N/A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#N/A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#N/A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#N/A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#N/A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#N/A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#N/A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#N/A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#N/A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#N/A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#N/A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#N/A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#N/A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#N/A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#N/A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#N/A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#N/A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#N/A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#N/A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#N/A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#N/A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#N/A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#N/A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#N/A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#N/A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#N/A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#N/A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#N/A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#N/A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#N/A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#N/A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#N/A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#N/A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#N/A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#N/A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#N/A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#N/A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#N/A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#N/A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#N/A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#N/A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#N/A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#N/A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#N/A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#N/A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#N/A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#N/A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#N/A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#N/A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#N/A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#N/A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#N/A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#N/A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#N/A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#N/A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#N/A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#N/A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#N/A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#N/A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#N/A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#N/A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#N/A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#N/A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#N/A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#N/A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#N/A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#N/A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#N/A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#N/A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#N/A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#N/A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#N/A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#N/A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#N/A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#N/A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#N/A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#N/A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#N/A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#N/A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#N/A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#N/A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#N/A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#N/A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#N/A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#N/A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#N/A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#N/A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#N/A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#N/A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#N/A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#N/A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#N/A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#N/A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#N/A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#N/A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#N/A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#N/A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#N/A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#N/A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#N/A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#N/A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#N/A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#N/A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#N/A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#N/A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#N/A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#N/A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#N/A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#N/A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#N/A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#N/A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#N/A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#N/A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#N/A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#N/A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#N/A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#N/A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#N/A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#N/A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#N/A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#N/A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#N/A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#N/A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#N/A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#N/A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#N/A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#N/A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#N/A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#N/A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#N/A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#N/A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#N/A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#N/A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#N/A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#N/A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#N/A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#N/A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#N/A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#N/A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#N/A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#N/A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#N/A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#N/A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#N/A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#N/A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#N/A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#N/A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#N/A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#N/A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#N/A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#N/A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#N/A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#N/A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#N/A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#N/A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#N/A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#N/A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#N/A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#N/A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#N/A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#N/A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#N/A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#N/A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#N/A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#N/A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#N/A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#N/A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#N/A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#N/A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#N/A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#N/A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#N/A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#N/A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#N/A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#N/A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#N/A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#N/A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#N/A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#N/A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#N/A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#N/A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#N/A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#N/A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#N/A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#N/A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#N/A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#N/A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#N/A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#N/A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#N/A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#N/A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#N/A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#N/A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#N/A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#N/A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#N/A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#N/A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#N/A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#N/A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#N/A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#N/A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#N/A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#N/A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#N/A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#N/A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#N/A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#N/A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#N/A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#N/A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#N/A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#N/A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#N/A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#N/A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#N/A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#N/A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#N/A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#N/A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#N/A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#N/A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#N/A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#N/A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#N/A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#N/A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#N/A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#N/A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#N/A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#N/A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#N/A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#N/A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#N/A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#N/A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#N/A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#N/A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#N/A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#N/A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#N/A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#N/A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#N/A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#N/A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#N/A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#N/A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#N/A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#N/A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#N/A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#N/A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#N/A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#N/A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#N/A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#N/A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#N/A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#N/A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#N/A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#N/A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#N/A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#N/A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#N/A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#N/A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#N/A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#N/A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#N/A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#N/A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#N/A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#N/A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#N/A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#N/A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#N/A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#N/A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#N/A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#N/A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#N/A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#N/A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#N/A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#N/A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#N/A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#N/A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#N/A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#N/A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#N/A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#N/A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#N/A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#N/A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#N/A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#N/A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#N/A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#N/A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#N/A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#N/A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#N/A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#N/A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#N/A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#N/A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#N/A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#N/A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#N/A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#N/A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#N/A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#N/A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#N/A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#N/A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#N/A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#N/A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#N/A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#N/A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#N/A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#N/A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#N/A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#N/A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#N/A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#N/A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#N/A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#N/A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#N/A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#N/A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#N/A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#N/A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#N/A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#N/A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#N/A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#N/A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#N/A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#N/A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#N/A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#N/A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#N/A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#N/A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#N/A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#N/A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#N/A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#N/A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#N/A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#N/A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#N/A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#N/A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#N/A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#N/A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#N/A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#N/A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#N/A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#N/A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#N/A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#N/A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#N/A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#N/A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#N/A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#N/A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#N/A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#N/A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#N/A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#N/A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#N/A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#N/A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#N/A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#N/A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#N/A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#N/A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#N/A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#N/A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#N/A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#N/A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#N/A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#N/A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#N/A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#N/A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#N/A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#N/A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#N/A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#N/A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#N/A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#N/A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#N/A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#N/A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#N/A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#N/A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#N/A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#N/A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#N/A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#N/A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#N/A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#N/A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#N/A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#N/A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#N/A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#N/A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#N/A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#N/A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#N/A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#N/A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#N/A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#N/A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#N/A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#N/A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#N/A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#N/A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#N/A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#N/A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#N/A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#N/A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#N/A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#N/A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#N/A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#N/A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#N/A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#N/A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#N/A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#N/A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#N/A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#N/A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#N/A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#N/A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#N/A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#N/A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#N/A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#N/A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#N/A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#N/A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#N/A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#N/A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#N/A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#N/A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#N/A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#N/A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#N/A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#N/A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#N/A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#N/A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#N/A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#N/A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#N/A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#N/A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#N/A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#N/A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#N/A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#N/A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#N/A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#N/A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#N/A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#N/A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#N/A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#N/A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#N/A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#N/A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#N/A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#N/A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#N/A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#N/A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#N/A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#N/A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#N/A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#N/A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#N/A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#N/A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#N/A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#N/A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#N/A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#N/A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#N/A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#N/A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#N/A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#N/A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#N/A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#N/A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#N/A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#N/A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#N/A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#N/A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#N/A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#N/A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#N/A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#N/A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#N/A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#N/A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#N/A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#N/A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#N/A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#N/A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#N/A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#N/A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#N/A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#N/A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#N/A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#N/A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#N/A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#N/A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#N/A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#N/A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#N/A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#N/A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#N/A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#N/A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#N/A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#N/A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#N/A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#N/A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#N/A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#N/A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#N/A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#N/A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#N/A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#N/A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#N/A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#N/A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#N/A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#N/A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#N/A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#N/A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#N/A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#N/A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#N/A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#N/A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#N/A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#N/A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#N/A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#N/A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#N/A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#N/A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#N/A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#N/A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#N/A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#N/A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#N/A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#N/A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#N/A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#N/A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#N/A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#N/A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#N/A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#N/A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#N/A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#N/A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#N/A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#N/A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#N/A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#N/A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#N/A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#N/A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#N/A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#N/A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#N/A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#N/A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#N/A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#N/A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#N/A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#N/A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#N/A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#N/A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#N/A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#N/A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#N/A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#N/A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#N/A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#N/A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#N/A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#N/A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#N/A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#N/A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#N/A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#N/A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#N/A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#N/A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#N/A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#N/A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#N/A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#N/A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#N/A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#N/A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#N/A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#N/A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#N/A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#N/A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#N/A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#N/A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#N/A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#N/A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#N/A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#N/A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#N/A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#N/A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#N/A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#N/A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#N/A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#N/A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#N/A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#N/A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#N/A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#N/A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>ok</v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>ok</v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>ok</v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>ok</v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>ok</v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>ok</v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>ok</v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>ok</v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>ok</v>
      </c>
      <c r="I1559" s="47" t="s">
        <v>6455</v>
      </c>
      <c r="J1559" s="47" t="str">
        <f>VLOOKUP(Table2[[#This Row], [Author]],People!A:B,2,0)</f>
        <v>MGF</v>
      </c>
      <c r="K1559" s="47" t="s">
        <v>7857</v>
      </c>
      <c r="L1559" s="47" t="e">
        <f>VLOOKUP(Table2[[#This Row],[Node]],#REF!,2,0)</f>
        <v>#REF!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>ok</v>
      </c>
      <c r="I1560" s="47" t="s">
        <v>6455</v>
      </c>
      <c r="J1560" s="47" t="str">
        <f>VLOOKUP(Table2[[#This Row], [Author]],People!A:B,2,0)</f>
        <v>MGF</v>
      </c>
      <c r="K1560" s="47" t="s">
        <v>7857</v>
      </c>
      <c r="L1560" s="47" t="e">
        <f>VLOOKUP(Table2[[#This Row],[Node]],#REF!,2,0)</f>
        <v>#REF!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>ok</v>
      </c>
      <c r="I1561" s="47" t="s">
        <v>6455</v>
      </c>
      <c r="J1561" s="47" t="str">
        <f>VLOOKUP(Table2[[#This Row], [Author]],People!A:B,2,0)</f>
        <v>MGF</v>
      </c>
      <c r="K1561" s="47" t="s">
        <v>7857</v>
      </c>
      <c r="L1561" s="47" t="e">
        <f>VLOOKUP(Table2[[#This Row],[Node]],#REF!,2,0)</f>
        <v>#REF!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>ok</v>
      </c>
      <c r="I1562" s="47" t="s">
        <v>6455</v>
      </c>
      <c r="J1562" s="47" t="str">
        <f>VLOOKUP(Table2[[#This Row], [Author]],People!A:B,2,0)</f>
        <v>MGF</v>
      </c>
      <c r="K1562" s="47" t="s">
        <v>7857</v>
      </c>
      <c r="L1562" s="47" t="e">
        <f>VLOOKUP(Table2[[#This Row],[Node]],#REF!,2,0)</f>
        <v>#REF!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>ok</v>
      </c>
      <c r="I1563" s="47" t="s">
        <v>6455</v>
      </c>
      <c r="J1563" s="47" t="str">
        <f>VLOOKUP(Table2[[#This Row], [Author]],People!A:B,2,0)</f>
        <v>MGF</v>
      </c>
      <c r="K1563" s="47" t="s">
        <v>7857</v>
      </c>
      <c r="L1563" s="47" t="e">
        <f>VLOOKUP(Table2[[#This Row],[Node]],#REF!,2,0)</f>
        <v>#REF!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>ok</v>
      </c>
      <c r="I1564" s="47" t="s">
        <v>6455</v>
      </c>
      <c r="J1564" s="47" t="str">
        <f>VLOOKUP(Table2[[#This Row], [Author]],People!A:B,2,0)</f>
        <v>MGF</v>
      </c>
      <c r="K1564" s="47" t="s">
        <v>7857</v>
      </c>
      <c r="L1564" s="47" t="e">
        <f>VLOOKUP(Table2[[#This Row],[Node]],#REF!,2,0)</f>
        <v>#REF!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>ok</v>
      </c>
      <c r="I1565" s="47" t="s">
        <v>6455</v>
      </c>
      <c r="J1565" s="47" t="str">
        <f>VLOOKUP(Table2[[#This Row], [Author]],People!A:B,2,0)</f>
        <v>MGF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>ok</v>
      </c>
      <c r="I1566" s="47" t="s">
        <v>6455</v>
      </c>
      <c r="J1566" s="47" t="str">
        <f>VLOOKUP(Table2[[#This Row], [Author]],People!A:B,2,0)</f>
        <v>MGF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>ok</v>
      </c>
      <c r="I1567" s="47" t="s">
        <v>6455</v>
      </c>
      <c r="J1567" s="47" t="str">
        <f>VLOOKUP(Table2[[#This Row], [Author]],People!A:B,2,0)</f>
        <v>MGF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>ok</v>
      </c>
      <c r="I1568" s="47" t="s">
        <v>6455</v>
      </c>
      <c r="J1568" s="47" t="str">
        <f>VLOOKUP(Table2[[#This Row], [Author]],People!A:B,2,0)</f>
        <v>MGF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>ok</v>
      </c>
      <c r="I1569" s="47" t="s">
        <v>6455</v>
      </c>
      <c r="J1569" s="47" t="str">
        <f>VLOOKUP(Table2[[#This Row], [Author]],People!A:B,2,0)</f>
        <v>MGF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>ok</v>
      </c>
      <c r="I1570" s="47" t="s">
        <v>6455</v>
      </c>
      <c r="J1570" s="47" t="str">
        <f>VLOOKUP(Table2[[#This Row], [Author]],People!A:B,2,0)</f>
        <v>MGF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>ok</v>
      </c>
      <c r="I1571" s="47" t="s">
        <v>6455</v>
      </c>
      <c r="J1571" s="47" t="str">
        <f>VLOOKUP(Table2[[#This Row], [Author]],People!A:B,2,0)</f>
        <v>MGF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>ok</v>
      </c>
      <c r="I1572" s="47" t="s">
        <v>6455</v>
      </c>
      <c r="J1572" s="47" t="str">
        <f>VLOOKUP(Table2[[#This Row], [Author]],People!A:B,2,0)</f>
        <v>MGF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>ok</v>
      </c>
      <c r="I1573" s="47" t="s">
        <v>6455</v>
      </c>
      <c r="J1573" s="47" t="str">
        <f>VLOOKUP(Table2[[#This Row], [Author]],People!A:B,2,0)</f>
        <v>MGF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>ok</v>
      </c>
      <c r="I1574" s="47" t="s">
        <v>6455</v>
      </c>
      <c r="J1574" s="47" t="str">
        <f>VLOOKUP(Table2[[#This Row], [Author]],People!A:B,2,0)</f>
        <v>MGF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>ok</v>
      </c>
      <c r="I1575" s="47" t="s">
        <v>6455</v>
      </c>
      <c r="J1575" s="47" t="str">
        <f>VLOOKUP(Table2[[#This Row], [Author]],People!A:B,2,0)</f>
        <v>MGF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>ok</v>
      </c>
      <c r="I1576" s="47" t="s">
        <v>6455</v>
      </c>
      <c r="J1576" s="47" t="str">
        <f>VLOOKUP(Table2[[#This Row], [Author]],People!A:B,2,0)</f>
        <v>MGF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>ok</v>
      </c>
      <c r="I1577" s="47" t="s">
        <v>6455</v>
      </c>
      <c r="J1577" s="47" t="str">
        <f>VLOOKUP(Table2[[#This Row], [Author]],People!A:B,2,0)</f>
        <v>MGF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>ok</v>
      </c>
      <c r="I1578" s="47" t="s">
        <v>6455</v>
      </c>
      <c r="J1578" s="47" t="str">
        <f>VLOOKUP(Table2[[#This Row], [Author]],People!A:B,2,0)</f>
        <v>MGF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>ok</v>
      </c>
      <c r="I1579" s="47" t="s">
        <v>6455</v>
      </c>
      <c r="J1579" s="47" t="str">
        <f>VLOOKUP(Table2[[#This Row], [Author]],People!A:B,2,0)</f>
        <v>MGF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>ok</v>
      </c>
      <c r="I1580" s="47" t="s">
        <v>6455</v>
      </c>
      <c r="J1580" s="47" t="str">
        <f>VLOOKUP(Table2[[#This Row], [Author]],People!A:B,2,0)</f>
        <v>MGF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>ok</v>
      </c>
      <c r="I1581" s="47" t="s">
        <v>6455</v>
      </c>
      <c r="J1581" s="47" t="str">
        <f>VLOOKUP(Table2[[#This Row], [Author]],People!A:B,2,0)</f>
        <v>MGF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>ok</v>
      </c>
      <c r="I1582" s="47" t="s">
        <v>6455</v>
      </c>
      <c r="J1582" s="47" t="str">
        <f>VLOOKUP(Table2[[#This Row], [Author]],People!A:B,2,0)</f>
        <v>MGF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>ok</v>
      </c>
      <c r="I1583" s="47" t="s">
        <v>6455</v>
      </c>
      <c r="J1583" s="47" t="str">
        <f>VLOOKUP(Table2[[#This Row], [Author]],People!A:B,2,0)</f>
        <v>MGF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>ok</v>
      </c>
      <c r="I1584" s="47" t="s">
        <v>6455</v>
      </c>
      <c r="J1584" s="47" t="str">
        <f>VLOOKUP(Table2[[#This Row], [Author]],People!A:B,2,0)</f>
        <v>MGF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>ok</v>
      </c>
      <c r="I1585" s="47" t="s">
        <v>6455</v>
      </c>
      <c r="J1585" s="47" t="str">
        <f>VLOOKUP(Table2[[#This Row], [Author]],People!A:B,2,0)</f>
        <v>MGF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>ok</v>
      </c>
      <c r="I1586" s="47" t="s">
        <v>6455</v>
      </c>
      <c r="J1586" s="47" t="str">
        <f>VLOOKUP(Table2[[#This Row], [Author]],People!A:B,2,0)</f>
        <v>MGF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>ok</v>
      </c>
      <c r="I1587" s="47" t="s">
        <v>6455</v>
      </c>
      <c r="J1587" s="47" t="str">
        <f>VLOOKUP(Table2[[#This Row], [Author]],People!A:B,2,0)</f>
        <v>MGF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>ok</v>
      </c>
      <c r="I1588" s="47" t="s">
        <v>6455</v>
      </c>
      <c r="J1588" s="47" t="str">
        <f>VLOOKUP(Table2[[#This Row], [Author]],People!A:B,2,0)</f>
        <v>MGF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>ok</v>
      </c>
      <c r="I1589" s="47" t="s">
        <v>6455</v>
      </c>
      <c r="J1589" s="47" t="str">
        <f>VLOOKUP(Table2[[#This Row], [Author]],People!A:B,2,0)</f>
        <v>MGF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>ok</v>
      </c>
      <c r="I1590" s="47" t="s">
        <v>6455</v>
      </c>
      <c r="J1590" s="47" t="str">
        <f>VLOOKUP(Table2[[#This Row], [Author]],People!A:B,2,0)</f>
        <v>MGF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>ok</v>
      </c>
      <c r="I1591" s="47" t="s">
        <v>6455</v>
      </c>
      <c r="J1591" s="47" t="str">
        <f>VLOOKUP(Table2[[#This Row], [Author]],People!A:B,2,0)</f>
        <v>MGF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>ok</v>
      </c>
      <c r="I1592" s="47" t="s">
        <v>6455</v>
      </c>
      <c r="J1592" s="47" t="str">
        <f>VLOOKUP(Table2[[#This Row], [Author]],People!A:B,2,0)</f>
        <v>MGF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>ok</v>
      </c>
      <c r="I1593" s="47" t="s">
        <v>6455</v>
      </c>
      <c r="J1593" s="47" t="str">
        <f>VLOOKUP(Table2[[#This Row], [Author]],People!A:B,2,0)</f>
        <v>MGF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>ok</v>
      </c>
      <c r="I1594" s="47" t="s">
        <v>6455</v>
      </c>
      <c r="J1594" s="47" t="str">
        <f>VLOOKUP(Table2[[#This Row], [Author]],People!A:B,2,0)</f>
        <v>MGF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>ok</v>
      </c>
      <c r="I1595" s="47" t="s">
        <v>6455</v>
      </c>
      <c r="J1595" s="47" t="str">
        <f>VLOOKUP(Table2[[#This Row], [Author]],People!A:B,2,0)</f>
        <v>MGF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>ok</v>
      </c>
      <c r="I1596" s="47" t="s">
        <v>6455</v>
      </c>
      <c r="J1596" s="47" t="str">
        <f>VLOOKUP(Table2[[#This Row], [Author]],People!A:B,2,0)</f>
        <v>MGF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>ok</v>
      </c>
      <c r="I1597" s="47" t="s">
        <v>6455</v>
      </c>
      <c r="J1597" s="47" t="str">
        <f>VLOOKUP(Table2[[#This Row], [Author]],People!A:B,2,0)</f>
        <v>MGF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>ok</v>
      </c>
      <c r="I1598" s="47" t="s">
        <v>6455</v>
      </c>
      <c r="J1598" s="47" t="str">
        <f>VLOOKUP(Table2[[#This Row], [Author]],People!A:B,2,0)</f>
        <v>MGF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>ok</v>
      </c>
      <c r="I1599" s="47" t="s">
        <v>6455</v>
      </c>
      <c r="J1599" s="47" t="str">
        <f>VLOOKUP(Table2[[#This Row], [Author]],People!A:B,2,0)</f>
        <v>MGF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>ok</v>
      </c>
      <c r="I1600" s="47" t="s">
        <v>6455</v>
      </c>
      <c r="J1600" s="47" t="str">
        <f>VLOOKUP(Table2[[#This Row], [Author]],People!A:B,2,0)</f>
        <v>HC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>ok</v>
      </c>
      <c r="I1601" s="47" t="s">
        <v>6455</v>
      </c>
      <c r="J1601" s="47" t="str">
        <f>VLOOKUP(Table2[[#This Row], [Author]],People!A:B,2,0)</f>
        <v>HC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>ok</v>
      </c>
      <c r="I1602" s="47" t="s">
        <v>6455</v>
      </c>
      <c r="J1602" s="47" t="str">
        <f>VLOOKUP(Table2[[#This Row], [Author]],People!A:B,2,0)</f>
        <v>HC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>ok</v>
      </c>
      <c r="I1603" s="47" t="s">
        <v>6455</v>
      </c>
      <c r="J1603" s="47" t="str">
        <f>VLOOKUP(Table2[[#This Row], [Author]],People!A:B,2,0)</f>
        <v>HC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>ok</v>
      </c>
      <c r="I1604" s="47" t="s">
        <v>6455</v>
      </c>
      <c r="J1604" s="47" t="str">
        <f>VLOOKUP(Table2[[#This Row], [Author]],People!A:B,2,0)</f>
        <v>HC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>ok</v>
      </c>
      <c r="I1605" s="47" t="s">
        <v>6455</v>
      </c>
      <c r="J1605" s="47" t="str">
        <f>VLOOKUP(Table2[[#This Row], [Author]],People!A:B,2,0)</f>
        <v>HC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>ok</v>
      </c>
      <c r="I1606" s="47" t="s">
        <v>6455</v>
      </c>
      <c r="J1606" s="47" t="str">
        <f>VLOOKUP(Table2[[#This Row], [Author]],People!A:B,2,0)</f>
        <v>HC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>ok</v>
      </c>
      <c r="I1607" s="47" t="s">
        <v>6455</v>
      </c>
      <c r="J1607" s="47" t="str">
        <f>VLOOKUP(Table2[[#This Row], [Author]],People!A:B,2,0)</f>
        <v>HC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>ok</v>
      </c>
      <c r="I1608" s="47" t="s">
        <v>6455</v>
      </c>
      <c r="J1608" s="47" t="str">
        <f>VLOOKUP(Table2[[#This Row], [Author]],People!A:B,2,0)</f>
        <v>HC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>ok</v>
      </c>
      <c r="I1609" s="47" t="s">
        <v>6455</v>
      </c>
      <c r="J1609" s="47" t="str">
        <f>VLOOKUP(Table2[[#This Row], [Author]],People!A:B,2,0)</f>
        <v>HC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>ok</v>
      </c>
      <c r="I1610" s="47" t="s">
        <v>6455</v>
      </c>
      <c r="J1610" s="47" t="str">
        <f>VLOOKUP(Table2[[#This Row], [Author]],People!A:B,2,0)</f>
        <v>HC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>ok</v>
      </c>
      <c r="I1611" s="47" t="s">
        <v>6455</v>
      </c>
      <c r="J1611" s="47" t="str">
        <f>VLOOKUP(Table2[[#This Row], [Author]],People!A:B,2,0)</f>
        <v>HC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>ok</v>
      </c>
      <c r="I1612" s="47" t="s">
        <v>6455</v>
      </c>
      <c r="J1612" s="47" t="str">
        <f>VLOOKUP(Table2[[#This Row], [Author]],People!A:B,2,0)</f>
        <v>HC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>ok</v>
      </c>
      <c r="I1613" s="47" t="s">
        <v>6455</v>
      </c>
      <c r="J1613" s="47" t="str">
        <f>VLOOKUP(Table2[[#This Row], [Author]],People!A:B,2,0)</f>
        <v>HC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>ok</v>
      </c>
      <c r="I1614" s="47" t="s">
        <v>6455</v>
      </c>
      <c r="J1614" s="47" t="str">
        <f>VLOOKUP(Table2[[#This Row], [Author]],People!A:B,2,0)</f>
        <v>HC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>ok</v>
      </c>
      <c r="I1615" s="47" t="s">
        <v>6455</v>
      </c>
      <c r="J1615" s="47" t="str">
        <f>VLOOKUP(Table2[[#This Row], [Author]],People!A:B,2,0)</f>
        <v>HC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>ok</v>
      </c>
      <c r="I1616" s="47" t="s">
        <v>6455</v>
      </c>
      <c r="J1616" s="47" t="str">
        <f>VLOOKUP(Table2[[#This Row], [Author]],People!A:B,2,0)</f>
        <v>HC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>ok</v>
      </c>
      <c r="I1617" s="47" t="s">
        <v>6455</v>
      </c>
      <c r="J1617" s="47" t="str">
        <f>VLOOKUP(Table2[[#This Row], [Author]],People!A:B,2,0)</f>
        <v>HC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>ok</v>
      </c>
      <c r="I1618" s="47" t="s">
        <v>6455</v>
      </c>
      <c r="J1618" s="47" t="str">
        <f>VLOOKUP(Table2[[#This Row], [Author]],People!A:B,2,0)</f>
        <v>HC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#N/A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#N/A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str">
        <f>VLOOKUP(Table2[[#This Row], [Author]],People!A:B,2,0)</f>
        <v>HC</v>
      </c>
      <c r="K1621" s="47" t="s">
        <v>7857</v>
      </c>
      <c r="L1621" s="47" t="e">
        <f>VLOOKUP(Table2[[#This Row],[Node]],#REF!,2,0)</f>
        <v>#REF!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str">
        <f>VLOOKUP(Table2[[#This Row], [Author]],People!A:B,2,0)</f>
        <v>HC</v>
      </c>
      <c r="K1622" s="47" t="s">
        <v>7857</v>
      </c>
      <c r="L1622" s="47" t="e">
        <f>VLOOKUP(Table2[[#This Row],[Node]],#REF!,2,0)</f>
        <v>#REF!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str">
        <f>VLOOKUP(Table2[[#This Row], [Author]],People!A:B,2,0)</f>
        <v>HC</v>
      </c>
      <c r="K1623" s="47" t="s">
        <v>7857</v>
      </c>
      <c r="L1623" s="47" t="e">
        <f>VLOOKUP(Table2[[#This Row],[Node]],#REF!,2,0)</f>
        <v>#REF!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str">
        <f>VLOOKUP(Table2[[#This Row], [Author]],People!A:B,2,0)</f>
        <v>HC</v>
      </c>
      <c r="K1624" s="47" t="s">
        <v>7857</v>
      </c>
      <c r="L1624" s="47" t="e">
        <f>VLOOKUP(Table2[[#This Row],[Node]],#REF!,2,0)</f>
        <v>#REF!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#N/A</v>
      </c>
      <c r="K1625" s="47" t="s">
        <v>7857</v>
      </c>
      <c r="L1625" s="47" t="e">
        <f>VLOOKUP(Table2[[#This Row],[Node]],#REF!,2,0)</f>
        <v>#REF!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#N/A</v>
      </c>
      <c r="K1626" s="47" t="s">
        <v>7857</v>
      </c>
      <c r="L1626" s="47" t="e">
        <f>VLOOKUP(Table2[[#This Row],[Node]],#REF!,2,0)</f>
        <v>#REF!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#N/A</v>
      </c>
      <c r="K1627" s="47" t="s">
        <v>7857</v>
      </c>
      <c r="L1627" s="47" t="e">
        <f>VLOOKUP(Table2[[#This Row],[Node]],#REF!,2,0)</f>
        <v>#REF!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#N/A</v>
      </c>
      <c r="K1628" s="47" t="s">
        <v>7857</v>
      </c>
      <c r="L1628" s="47" t="e">
        <f>VLOOKUP(Table2[[#This Row],[Node]],#REF!,2,0)</f>
        <v>#REF!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#N/A</v>
      </c>
      <c r="K1629" s="47" t="s">
        <v>7857</v>
      </c>
      <c r="L1629" s="47" t="e">
        <f>VLOOKUP(Table2[[#This Row],[Node]],#REF!,2,0)</f>
        <v>#REF!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#N/A</v>
      </c>
      <c r="K1630" s="47" t="s">
        <v>7857</v>
      </c>
      <c r="L1630" s="47" t="e">
        <f>VLOOKUP(Table2[[#This Row],[Node]],#REF!,2,0)</f>
        <v>#REF!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#N/A</v>
      </c>
      <c r="K1631" s="47" t="s">
        <v>7857</v>
      </c>
      <c r="L1631" s="47" t="e">
        <f>VLOOKUP(Table2[[#This Row],[Node]],#REF!,2,0)</f>
        <v>#REF!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#N/A</v>
      </c>
      <c r="K1632" s="47" t="s">
        <v>7857</v>
      </c>
      <c r="L1632" s="47" t="e">
        <f>VLOOKUP(Table2[[#This Row],[Node]],#REF!,2,0)</f>
        <v>#REF!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#N/A</v>
      </c>
      <c r="K1633" s="47" t="s">
        <v>7857</v>
      </c>
      <c r="L1633" s="47" t="e">
        <f>VLOOKUP(Table2[[#This Row],[Node]],#REF!,2,0)</f>
        <v>#REF!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#N/A</v>
      </c>
      <c r="K1634" s="47" t="s">
        <v>7857</v>
      </c>
      <c r="L1634" s="47" t="e">
        <f>VLOOKUP(Table2[[#This Row],[Node]],#REF!,2,0)</f>
        <v>#REF!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#N/A</v>
      </c>
      <c r="K1635" s="47" t="s">
        <v>7857</v>
      </c>
      <c r="L1635" s="47" t="e">
        <f>VLOOKUP(Table2[[#This Row],[Node]],#REF!,2,0)</f>
        <v>#REF!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#N/A</v>
      </c>
      <c r="K1636" s="47" t="s">
        <v>7857</v>
      </c>
      <c r="L1636" s="47" t="e">
        <f>VLOOKUP(Table2[[#This Row],[Node]],#REF!,2,0)</f>
        <v>#REF!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str">
        <f>VLOOKUP(Table2[[#This Row], [Author]],People!A:B,2,0)</f>
        <v>MGF</v>
      </c>
      <c r="K1637" s="47" t="s">
        <v>7857</v>
      </c>
      <c r="L1637" s="47" t="e">
        <f>VLOOKUP(Table2[[#This Row],[Node]],#REF!,2,0)</f>
        <v>#REF!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str">
        <f>VLOOKUP(Table2[[#This Row], [Author]],People!A:B,2,0)</f>
        <v>MGF</v>
      </c>
      <c r="K1638" s="47" t="s">
        <v>7857</v>
      </c>
      <c r="L1638" s="47" t="e">
        <f>VLOOKUP(Table2[[#This Row],[Node]],#REF!,2,0)</f>
        <v>#REF!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str">
        <f>VLOOKUP(Table2[[#This Row], [Author]],People!A:B,2,0)</f>
        <v>EL</v>
      </c>
      <c r="K1639" s="47" t="s">
        <v>7857</v>
      </c>
      <c r="L1639" s="47" t="e">
        <f>VLOOKUP(Table2[[#This Row],[Node]],#REF!,2,0)</f>
        <v>#REF!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str">
        <f>VLOOKUP(Table2[[#This Row], [Author]],People!A:B,2,0)</f>
        <v>EL</v>
      </c>
      <c r="K1640" s="47" t="s">
        <v>7857</v>
      </c>
      <c r="L1640" s="47" t="e">
        <f>VLOOKUP(Table2[[#This Row],[Node]],#REF!,2,0)</f>
        <v>#REF!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str">
        <f>VLOOKUP(Table2[[#This Row], [Author]],People!A:B,2,0)</f>
        <v>EL</v>
      </c>
      <c r="K1641" s="47" t="s">
        <v>7857</v>
      </c>
      <c r="L1641" s="47" t="e">
        <f>VLOOKUP(Table2[[#This Row],[Node]],#REF!,2,0)</f>
        <v>#REF!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str">
        <f>VLOOKUP(Table2[[#This Row], [Author]],People!A:B,2,0)</f>
        <v>EL</v>
      </c>
      <c r="K1642" s="47" t="s">
        <v>7857</v>
      </c>
      <c r="L1642" s="47" t="e">
        <f>VLOOKUP(Table2[[#This Row],[Node]],#REF!,2,0)</f>
        <v>#REF!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str">
        <f>VLOOKUP(Table2[[#This Row], [Author]],People!A:B,2,0)</f>
        <v>EL</v>
      </c>
      <c r="K1643" s="47" t="s">
        <v>7857</v>
      </c>
      <c r="L1643" s="47" t="e">
        <f>VLOOKUP(Table2[[#This Row],[Node]],#REF!,2,0)</f>
        <v>#REF!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str">
        <f>VLOOKUP(Table2[[#This Row], [Author]],People!A:B,2,0)</f>
        <v>EL</v>
      </c>
      <c r="K1644" s="47" t="s">
        <v>7857</v>
      </c>
      <c r="L1644" s="47" t="e">
        <f>VLOOKUP(Table2[[#This Row],[Node]],#REF!,2,0)</f>
        <v>#REF!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str">
        <f>VLOOKUP(Table2[[#This Row], [Author]],People!A:B,2,0)</f>
        <v>EL</v>
      </c>
      <c r="K1645" s="47" t="s">
        <v>7857</v>
      </c>
      <c r="L1645" s="47" t="e">
        <f>VLOOKUP(Table2[[#This Row],[Node]],#REF!,2,0)</f>
        <v>#REF!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str">
        <f>VLOOKUP(Table2[[#This Row], [Author]],People!A:B,2,0)</f>
        <v>EL</v>
      </c>
      <c r="K1646" s="47" t="s">
        <v>7857</v>
      </c>
      <c r="L1646" s="47" t="e">
        <f>VLOOKUP(Table2[[#This Row],[Node]],#REF!,2,0)</f>
        <v>#REF!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str">
        <f>VLOOKUP(Table2[[#This Row], [Author]],People!A:B,2,0)</f>
        <v>EL</v>
      </c>
      <c r="K1647" s="47" t="s">
        <v>7857</v>
      </c>
      <c r="L1647" s="47" t="e">
        <f>VLOOKUP(Table2[[#This Row],[Node]],#REF!,2,0)</f>
        <v>#REF!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str">
        <f>VLOOKUP(Table2[[#This Row], [Author]],People!A:B,2,0)</f>
        <v>EL</v>
      </c>
      <c r="K1648" s="47" t="s">
        <v>7857</v>
      </c>
      <c r="L1648" s="47" t="e">
        <f>VLOOKUP(Table2[[#This Row],[Node]],#REF!,2,0)</f>
        <v>#REF!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str">
        <f>VLOOKUP(Table2[[#This Row], [Author]],People!A:B,2,0)</f>
        <v>EL</v>
      </c>
      <c r="K1649" s="47" t="s">
        <v>7857</v>
      </c>
      <c r="L1649" s="47" t="e">
        <f>VLOOKUP(Table2[[#This Row],[Node]],#REF!,2,0)</f>
        <v>#REF!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str">
        <f>VLOOKUP(Table2[[#This Row], [Author]],People!A:B,2,0)</f>
        <v>EL</v>
      </c>
      <c r="K1650" s="47" t="s">
        <v>7857</v>
      </c>
      <c r="L1650" s="47" t="e">
        <f>VLOOKUP(Table2[[#This Row],[Node]],#REF!,2,0)</f>
        <v>#REF!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str">
        <f>VLOOKUP(Table2[[#This Row], [Author]],People!A:B,2,0)</f>
        <v>EL</v>
      </c>
      <c r="K1651" s="47" t="s">
        <v>7857</v>
      </c>
      <c r="L1651" s="47" t="e">
        <f>VLOOKUP(Table2[[#This Row],[Node]],#REF!,2,0)</f>
        <v>#REF!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str">
        <f>VLOOKUP(Table2[[#This Row], [Author]],People!A:B,2,0)</f>
        <v>EL</v>
      </c>
      <c r="K1652" s="47" t="s">
        <v>7857</v>
      </c>
      <c r="L1652" s="47" t="e">
        <f>VLOOKUP(Table2[[#This Row],[Node]],#REF!,2,0)</f>
        <v>#REF!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str">
        <f>VLOOKUP(Table2[[#This Row], [Author]],People!A:B,2,0)</f>
        <v>EL</v>
      </c>
      <c r="K1653" s="47" t="s">
        <v>7857</v>
      </c>
      <c r="L1653" s="47" t="e">
        <f>VLOOKUP(Table2[[#This Row],[Node]],#REF!,2,0)</f>
        <v>#REF!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str">
        <f>VLOOKUP(Table2[[#This Row], [Author]],People!A:B,2,0)</f>
        <v>EL</v>
      </c>
      <c r="K1654" s="47" t="s">
        <v>7857</v>
      </c>
      <c r="L1654" s="47" t="e">
        <f>VLOOKUP(Table2[[#This Row],[Node]],#REF!,2,0)</f>
        <v>#REF!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str">
        <f>VLOOKUP(Table2[[#This Row], [Author]],People!A:B,2,0)</f>
        <v>EL</v>
      </c>
      <c r="K1655" s="47" t="s">
        <v>7857</v>
      </c>
      <c r="L1655" s="47" t="e">
        <f>VLOOKUP(Table2[[#This Row],[Node]],#REF!,2,0)</f>
        <v>#REF!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str">
        <f>VLOOKUP(Table2[[#This Row], [Author]],People!A:B,2,0)</f>
        <v>EL</v>
      </c>
      <c r="K1656" s="47" t="s">
        <v>7857</v>
      </c>
      <c r="L1656" s="47" t="e">
        <f>VLOOKUP(Table2[[#This Row],[Node]],#REF!,2,0)</f>
        <v>#REF!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str">
        <f>VLOOKUP(Table2[[#This Row], [Author]],People!A:B,2,0)</f>
        <v>EL</v>
      </c>
      <c r="K1657" s="47" t="s">
        <v>7857</v>
      </c>
      <c r="L1657" s="47" t="e">
        <f>VLOOKUP(Table2[[#This Row],[Node]],#REF!,2,0)</f>
        <v>#REF!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str">
        <f>VLOOKUP(Table2[[#This Row], [Author]],People!A:B,2,0)</f>
        <v>EL</v>
      </c>
      <c r="K1658" s="47" t="s">
        <v>7857</v>
      </c>
      <c r="L1658" s="47" t="e">
        <f>VLOOKUP(Table2[[#This Row],[Node]],#REF!,2,0)</f>
        <v>#REF!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str">
        <f>VLOOKUP(Table2[[#This Row], [Author]],People!A:B,2,0)</f>
        <v>EL</v>
      </c>
      <c r="K1659" s="47" t="s">
        <v>7857</v>
      </c>
      <c r="L1659" s="47" t="e">
        <f>VLOOKUP(Table2[[#This Row],[Node]],#REF!,2,0)</f>
        <v>#REF!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str">
        <f>VLOOKUP(Table2[[#This Row], [Author]],People!A:B,2,0)</f>
        <v>EL</v>
      </c>
      <c r="K1660" s="47" t="s">
        <v>7857</v>
      </c>
      <c r="L1660" s="47" t="e">
        <f>VLOOKUP(Table2[[#This Row],[Node]],#REF!,2,0)</f>
        <v>#REF!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str">
        <f>VLOOKUP(Table2[[#This Row], [Author]],People!A:B,2,0)</f>
        <v>EL</v>
      </c>
      <c r="K1661" s="47" t="s">
        <v>7857</v>
      </c>
      <c r="L1661" s="47" t="e">
        <f>VLOOKUP(Table2[[#This Row],[Node]],#REF!,2,0)</f>
        <v>#REF!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str">
        <f>VLOOKUP(Table2[[#This Row], [Author]],People!A:B,2,0)</f>
        <v>EL</v>
      </c>
      <c r="K1662" s="47" t="s">
        <v>7857</v>
      </c>
      <c r="L1662" s="47" t="e">
        <f>VLOOKUP(Table2[[#This Row],[Node]],#REF!,2,0)</f>
        <v>#REF!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str">
        <f>VLOOKUP(Table2[[#This Row], [Author]],People!A:B,2,0)</f>
        <v>EL</v>
      </c>
      <c r="K1663" s="47" t="s">
        <v>7857</v>
      </c>
      <c r="L1663" s="47" t="e">
        <f>VLOOKUP(Table2[[#This Row],[Node]],#REF!,2,0)</f>
        <v>#REF!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str">
        <f>VLOOKUP(Table2[[#This Row], [Author]],People!A:B,2,0)</f>
        <v>EL</v>
      </c>
      <c r="K1664" s="47" t="s">
        <v>7857</v>
      </c>
      <c r="L1664" s="47" t="e">
        <f>VLOOKUP(Table2[[#This Row],[Node]],#REF!,2,0)</f>
        <v>#REF!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str">
        <f>VLOOKUP(Table2[[#This Row], [Author]],People!A:B,2,0)</f>
        <v>EL</v>
      </c>
      <c r="K1665" s="47" t="s">
        <v>7857</v>
      </c>
      <c r="L1665" s="47" t="e">
        <f>VLOOKUP(Table2[[#This Row],[Node]],#REF!,2,0)</f>
        <v>#REF!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str">
        <f>VLOOKUP(Table2[[#This Row], [Author]],People!A:B,2,0)</f>
        <v>EL</v>
      </c>
      <c r="K1666" s="47" t="s">
        <v>7857</v>
      </c>
      <c r="L1666" s="47" t="e">
        <f>VLOOKUP(Table2[[#This Row],[Node]],#REF!,2,0)</f>
        <v>#REF!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str">
        <f>VLOOKUP(Table2[[#This Row], [Author]],People!A:B,2,0)</f>
        <v>EL</v>
      </c>
      <c r="K1667" s="47" t="s">
        <v>7857</v>
      </c>
      <c r="L1667" s="47" t="e">
        <f>VLOOKUP(Table2[[#This Row],[Node]],#REF!,2,0)</f>
        <v>#REF!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str">
        <f>VLOOKUP(Table2[[#This Row], [Author]],People!A:B,2,0)</f>
        <v>EL</v>
      </c>
      <c r="K1668" s="47" t="s">
        <v>7858</v>
      </c>
      <c r="L1668" s="47" t="e">
        <f>VLOOKUP(Table2[[#This Row],[Node]],#REF!,2,0)</f>
        <v>#REF!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str">
        <f>VLOOKUP(Table2[[#This Row], [Author]],People!A:B,2,0)</f>
        <v>EL</v>
      </c>
      <c r="K1669" s="47" t="s">
        <v>7858</v>
      </c>
      <c r="L1669" s="47" t="e">
        <f>VLOOKUP(Table2[[#This Row],[Node]],#REF!,2,0)</f>
        <v>#REF!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str">
        <f>VLOOKUP(Table2[[#This Row], [Author]],People!A:B,2,0)</f>
        <v>EL</v>
      </c>
      <c r="K1670" s="47" t="s">
        <v>7858</v>
      </c>
      <c r="L1670" s="47" t="e">
        <f>VLOOKUP(Table2[[#This Row],[Node]],#REF!,2,0)</f>
        <v>#REF!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str">
        <f>VLOOKUP(Table2[[#This Row], [Author]],People!A:B,2,0)</f>
        <v>EL</v>
      </c>
      <c r="K1671" s="47" t="s">
        <v>7858</v>
      </c>
      <c r="L1671" s="47" t="e">
        <f>VLOOKUP(Table2[[#This Row],[Node]],#REF!,2,0)</f>
        <v>#REF!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str">
        <f>VLOOKUP(Table2[[#This Row], [Author]],People!A:B,2,0)</f>
        <v>EL</v>
      </c>
      <c r="K1672" s="47" t="s">
        <v>7858</v>
      </c>
      <c r="L1672" s="47" t="e">
        <f>VLOOKUP(Table2[[#This Row],[Node]],#REF!,2,0)</f>
        <v>#REF!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str">
        <f>VLOOKUP(Table2[[#This Row], [Author]],People!A:B,2,0)</f>
        <v>EL</v>
      </c>
      <c r="K1673" s="47" t="s">
        <v>7858</v>
      </c>
      <c r="L1673" s="47" t="e">
        <f>VLOOKUP(Table2[[#This Row],[Node]],#REF!,2,0)</f>
        <v>#REF!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str">
        <f>VLOOKUP(Table2[[#This Row], [Author]],People!A:B,2,0)</f>
        <v>EL</v>
      </c>
      <c r="K1674" s="47" t="s">
        <v>7858</v>
      </c>
      <c r="L1674" s="47" t="e">
        <f>VLOOKUP(Table2[[#This Row],[Node]],#REF!,2,0)</f>
        <v>#REF!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str">
        <f>VLOOKUP(Table2[[#This Row], [Author]],People!A:B,2,0)</f>
        <v>EL</v>
      </c>
      <c r="K1675" s="47" t="s">
        <v>7858</v>
      </c>
      <c r="L1675" s="47" t="e">
        <f>VLOOKUP(Table2[[#This Row],[Node]],#REF!,2,0)</f>
        <v>#REF!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str">
        <f>VLOOKUP(Table2[[#This Row], [Author]],People!A:B,2,0)</f>
        <v>EL</v>
      </c>
      <c r="K1676" s="47" t="s">
        <v>7858</v>
      </c>
      <c r="L1676" s="47" t="e">
        <f>VLOOKUP(Table2[[#This Row],[Node]],#REF!,2,0)</f>
        <v>#REF!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str">
        <f>VLOOKUP(Table2[[#This Row], [Author]],People!A:B,2,0)</f>
        <v>EL</v>
      </c>
      <c r="K1677" s="47" t="s">
        <v>7858</v>
      </c>
      <c r="L1677" s="47" t="e">
        <f>VLOOKUP(Table2[[#This Row],[Node]],#REF!,2,0)</f>
        <v>#REF!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str">
        <f>VLOOKUP(Table2[[#This Row], [Author]],People!A:B,2,0)</f>
        <v>EL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str">
        <f>VLOOKUP(Table2[[#This Row], [Author]],People!A:B,2,0)</f>
        <v>EL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str">
        <f>VLOOKUP(Table2[[#This Row], [Author]],People!A:B,2,0)</f>
        <v>EL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str">
        <f>VLOOKUP(Table2[[#This Row], [Author]],People!A:B,2,0)</f>
        <v>EL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str">
        <f>VLOOKUP(Table2[[#This Row], [Author]],People!A:B,2,0)</f>
        <v>EL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str">
        <f>VLOOKUP(Table2[[#This Row], [Author]],People!A:B,2,0)</f>
        <v>EL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pvt</vt:lpstr>
      <vt:lpstr>Okey</vt:lpstr>
      <vt:lpstr>STUCT1</vt:lpstr>
      <vt:lpstr>Sheet10</vt:lpstr>
      <vt:lpstr>Sheet9</vt:lpstr>
      <vt:lpstr>Sheet8</vt:lpstr>
      <vt:lpstr>Sheet7</vt:lpstr>
      <vt:lpstr>Sheet5</vt:lpstr>
      <vt:lpstr>Sheet4</vt:lpstr>
      <vt:lpstr>Sheet3</vt:lpstr>
      <vt:lpstr>Sheet6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2026-04-27T13:25:28Z</dcterms:modified>
</cp:coreProperties>
</file>