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12B60369-4740-4091-A921-9DF2FF25C399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vt" sheetId="17" r:id="rId1"/>
    <sheet name="STUCT1" sheetId="1" r:id="rId2"/>
    <sheet name="Sheet8" sheetId="35" r:id="rId3"/>
    <sheet name="Sheet7" sheetId="34" r:id="rId4"/>
    <sheet name="Sheet6" sheetId="33" r:id="rId5"/>
    <sheet name="Sheet5" sheetId="32" r:id="rId6"/>
    <sheet name="Sheet4" sheetId="31" r:id="rId7"/>
    <sheet name="Sheet2" sheetId="29" r:id="rId8"/>
    <sheet name="Sheet3" sheetId="30" r:id="rId9"/>
    <sheet name="Sheet1" sheetId="28" r:id="rId10"/>
    <sheet name="Names" sheetId="5" r:id="rId11"/>
    <sheet name="NEW NODES" sheetId="6" r:id="rId12"/>
    <sheet name="People" sheetId="7" r:id="rId13"/>
    <sheet name="2023" sheetId="8" state="hidden" r:id="rId14"/>
    <sheet name="2024" sheetId="19" state="hidden" r:id="rId15"/>
    <sheet name="old" sheetId="27" state="hidden" r:id="rId16"/>
    <sheet name="Sectors" sheetId="9" r:id="rId17"/>
    <sheet name="Okey" sheetId="10" r:id="rId18"/>
    <sheet name="KPI" sheetId="12" r:id="rId19"/>
  </sheets>
  <definedNames>
    <definedName name="_xlnm._FilterDatabase" localSheetId="13">'2023'!$A$1:$M$1</definedName>
    <definedName name="_xlnm._FilterDatabase" localSheetId="10">Names!$A$237:$G$388</definedName>
    <definedName name="_xlnm._FilterDatabase" localSheetId="12">People!$A$1:$B$1</definedName>
    <definedName name="_xlnm._FilterDatabase" localSheetId="1">STUCT1!#REF!</definedName>
  </definedNames>
  <calcPr calcId="181029"/>
  <pivotCaches>
    <pivotCache cacheId="0" r:id="rId2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39" i="1" l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G20" i="32"/>
  <c r="G19" i="32"/>
  <c r="G18" i="32"/>
  <c r="G17" i="32"/>
  <c r="G16" i="32"/>
  <c r="G15" i="32"/>
  <c r="G14" i="32"/>
  <c r="G13" i="32"/>
  <c r="G12" i="32"/>
  <c r="G11" i="32"/>
  <c r="G10" i="32"/>
  <c r="G9" i="32"/>
  <c r="G8" i="32"/>
  <c r="G7" i="32"/>
  <c r="G6" i="32"/>
  <c r="G5" i="32"/>
  <c r="G4" i="32"/>
  <c r="G3" i="32"/>
  <c r="G2" i="32"/>
  <c r="B1" i="32"/>
  <c r="E5" i="32"/>
  <c r="E6" i="32" s="1"/>
  <c r="E7" i="32" s="1"/>
  <c r="E8" i="32" s="1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E20" i="32" s="1"/>
  <c r="E4" i="32"/>
  <c r="E3" i="32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D71" i="28"/>
  <c r="D70" i="28"/>
  <c r="D69" i="28"/>
  <c r="D68" i="28"/>
  <c r="D67" i="28"/>
  <c r="D66" i="28"/>
  <c r="D65" i="28"/>
  <c r="D64" i="28"/>
  <c r="D63" i="28"/>
  <c r="D62" i="28"/>
  <c r="D61" i="28"/>
  <c r="D60" i="28"/>
  <c r="D59" i="28"/>
  <c r="D58" i="28"/>
  <c r="D57" i="28"/>
  <c r="D56" i="28"/>
  <c r="D55" i="28"/>
  <c r="D54" i="28"/>
  <c r="D53" i="28"/>
  <c r="D52" i="28"/>
  <c r="D51" i="28"/>
  <c r="D50" i="28"/>
  <c r="D49" i="28"/>
  <c r="D48" i="28"/>
  <c r="D47" i="28"/>
  <c r="D46" i="28"/>
  <c r="D45" i="28"/>
  <c r="D44" i="28"/>
  <c r="D43" i="28"/>
  <c r="D42" i="28"/>
  <c r="D41" i="28"/>
  <c r="D40" i="28"/>
  <c r="D39" i="28"/>
  <c r="D38" i="28"/>
  <c r="D37" i="28"/>
  <c r="D36" i="28"/>
  <c r="D35" i="28"/>
  <c r="D34" i="28"/>
  <c r="D33" i="28"/>
  <c r="D32" i="28"/>
  <c r="D31" i="28"/>
  <c r="D30" i="28"/>
  <c r="D29" i="28"/>
  <c r="D28" i="28"/>
  <c r="D27" i="28"/>
  <c r="D26" i="28"/>
  <c r="D25" i="28"/>
  <c r="D24" i="28"/>
  <c r="D23" i="28"/>
  <c r="D22" i="28"/>
  <c r="D21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D1" i="28"/>
  <c r="C3" i="28"/>
  <c r="C4" i="28" s="1"/>
  <c r="C5" i="28" s="1"/>
  <c r="C6" i="28" s="1"/>
  <c r="C7" i="28" s="1"/>
  <c r="C8" i="28" s="1"/>
  <c r="C9" i="28" s="1"/>
  <c r="C10" i="28" s="1"/>
  <c r="C11" i="28" s="1"/>
  <c r="C12" i="28" s="1"/>
  <c r="C13" i="28" s="1"/>
  <c r="C14" i="28" s="1"/>
  <c r="C15" i="28" s="1"/>
  <c r="C16" i="28" s="1"/>
  <c r="C17" i="28" s="1"/>
  <c r="C18" i="28" s="1"/>
  <c r="C19" i="28" s="1"/>
  <c r="C20" i="28" s="1"/>
  <c r="C21" i="28" s="1"/>
  <c r="C22" i="28" s="1"/>
  <c r="C23" i="28" s="1"/>
  <c r="C24" i="28" s="1"/>
  <c r="C25" i="28" s="1"/>
  <c r="C26" i="28" s="1"/>
  <c r="C27" i="28" s="1"/>
  <c r="C28" i="28" s="1"/>
  <c r="C29" i="28" s="1"/>
  <c r="C30" i="28" s="1"/>
  <c r="C31" i="28" s="1"/>
  <c r="C32" i="28" s="1"/>
  <c r="C33" i="28" s="1"/>
  <c r="C34" i="28" s="1"/>
  <c r="C35" i="28" s="1"/>
  <c r="C36" i="28" s="1"/>
  <c r="C37" i="28" s="1"/>
  <c r="C38" i="28" s="1"/>
  <c r="C39" i="28" s="1"/>
  <c r="C40" i="28" s="1"/>
  <c r="C41" i="28" s="1"/>
  <c r="C42" i="28" s="1"/>
  <c r="C43" i="28" s="1"/>
  <c r="C44" i="28" s="1"/>
  <c r="C45" i="28" s="1"/>
  <c r="C46" i="28" s="1"/>
  <c r="C47" i="28" s="1"/>
  <c r="C48" i="28" s="1"/>
  <c r="C49" i="28" s="1"/>
  <c r="C50" i="28" s="1"/>
  <c r="C51" i="28" s="1"/>
  <c r="C52" i="28" s="1"/>
  <c r="C53" i="28" s="1"/>
  <c r="C54" i="28" s="1"/>
  <c r="C55" i="28" s="1"/>
  <c r="C56" i="28" s="1"/>
  <c r="C57" i="28" s="1"/>
  <c r="C58" i="28" s="1"/>
  <c r="C59" i="28" s="1"/>
  <c r="C60" i="28" s="1"/>
  <c r="C61" i="28" s="1"/>
  <c r="C62" i="28" s="1"/>
  <c r="C63" i="28" s="1"/>
  <c r="C64" i="28" s="1"/>
  <c r="C65" i="28" s="1"/>
  <c r="C66" i="28" s="1"/>
  <c r="C67" i="28" s="1"/>
  <c r="C68" i="28" s="1"/>
  <c r="C69" i="28" s="1"/>
  <c r="C70" i="28" s="1"/>
  <c r="C71" i="28" s="1"/>
  <c r="C2" i="28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</calcChain>
</file>

<file path=xl/sharedStrings.xml><?xml version="1.0" encoding="utf-8"?>
<sst xmlns="http://schemas.openxmlformats.org/spreadsheetml/2006/main" count="52498" uniqueCount="9165">
  <si>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</si>
  <si>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</si>
  <si>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</si>
  <si>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</si>
  <si>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</si>
  <si>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</si>
  <si>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</si>
  <si>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</si>
  <si>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</si>
  <si>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</si>
  <si>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</si>
  <si>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</si>
  <si>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</si>
  <si>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</si>
  <si>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</si>
  <si>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</si>
  <si>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</si>
  <si>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</si>
  <si>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</si>
  <si>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</si>
  <si>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</si>
  <si>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</si>
  <si>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</si>
  <si>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</si>
  <si>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</si>
  <si>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</si>
  <si>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</si>
  <si>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</si>
  <si>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</si>
  <si>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</si>
  <si>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</si>
  <si>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</si>
  <si>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</si>
  <si>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</si>
  <si>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</si>
  <si>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</si>
  <si>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</si>
  <si>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</si>
  <si>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</si>
  <si>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</si>
  <si>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</si>
  <si>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</si>
  <si>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</si>
  <si>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</si>
  <si>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</si>
  <si>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</si>
  <si>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</si>
  <si>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</si>
  <si>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</si>
  <si>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</si>
  <si>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</si>
  <si>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</si>
  <si>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</si>
  <si>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</si>
  <si>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</si>
  <si>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</si>
  <si>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</si>
  <si>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</si>
  <si>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</si>
  <si>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</si>
  <si>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</si>
  <si>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</si>
  <si>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</si>
  <si>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</si>
  <si>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</si>
  <si>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</si>
  <si>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</si>
  <si>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</si>
  <si>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</si>
  <si>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</si>
  <si>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</si>
  <si>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</si>
  <si>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</si>
  <si>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</si>
  <si>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</si>
  <si>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</si>
  <si>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</si>
  <si>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</si>
  <si>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</si>
  <si>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</si>
  <si>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</si>
  <si>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</si>
  <si>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</si>
  <si>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</si>
  <si>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</si>
  <si>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</si>
  <si>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</si>
  <si>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</si>
  <si>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</si>
  <si>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</si>
  <si>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</si>
  <si>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</si>
  <si>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</si>
  <si>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</si>
  <si>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</si>
  <si>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</si>
  <si>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</si>
  <si>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</si>
  <si>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</si>
  <si>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</si>
  <si>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</si>
  <si>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</si>
  <si>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</si>
  <si>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</si>
  <si>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</si>
  <si>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</si>
  <si>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</si>
  <si>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</si>
  <si>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</si>
  <si>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</si>
  <si>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</si>
  <si>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</si>
  <si>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</si>
  <si>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</si>
  <si>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</si>
  <si>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</si>
  <si>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</si>
  <si>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</si>
  <si>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</si>
  <si>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</si>
  <si>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</si>
  <si>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</si>
  <si>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</si>
  <si>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</si>
  <si>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</si>
  <si>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</si>
  <si>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</si>
  <si>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</si>
  <si>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</si>
  <si>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</si>
  <si>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</si>
  <si>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</si>
  <si>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</si>
  <si>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</si>
  <si>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</si>
  <si>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</si>
  <si>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</si>
  <si>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</si>
  <si>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</si>
  <si>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</si>
  <si>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</si>
  <si>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</si>
  <si>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</si>
  <si>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</si>
  <si>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</si>
  <si>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</si>
  <si>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</si>
  <si>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</si>
  <si>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</si>
  <si>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</si>
  <si>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</si>
  <si>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</si>
  <si>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</si>
  <si>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</si>
  <si>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</si>
  <si>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</si>
  <si>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</si>
  <si>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</si>
  <si>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</si>
  <si>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</si>
  <si>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</si>
  <si>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</si>
  <si>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</si>
  <si>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</si>
  <si>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</si>
  <si>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</si>
  <si>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</si>
  <si>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</si>
  <si>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</si>
  <si>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</si>
  <si>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</si>
  <si>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</si>
  <si>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</si>
  <si>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</si>
  <si>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</si>
  <si>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</si>
  <si>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</si>
  <si>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</si>
  <si>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</si>
  <si>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</si>
  <si>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</si>
  <si>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</si>
  <si>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</si>
  <si>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</si>
  <si>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</si>
  <si>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</si>
  <si>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</si>
  <si>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</si>
  <si>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</si>
  <si>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</si>
  <si>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</si>
  <si>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</si>
  <si>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</si>
  <si>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</si>
  <si>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</si>
  <si>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</si>
  <si>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</si>
  <si>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</si>
  <si>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</si>
  <si>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</si>
  <si>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</si>
  <si>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</si>
  <si>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</si>
  <si>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</si>
  <si>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</si>
  <si>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</si>
  <si>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</si>
  <si>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</si>
  <si>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</si>
  <si>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</si>
  <si>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</si>
  <si>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</si>
  <si>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</si>
  <si>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</si>
  <si>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</si>
  <si>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</si>
  <si>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</si>
  <si>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</si>
  <si>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</si>
  <si>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</si>
  <si>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</si>
  <si>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</si>
  <si>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</si>
  <si>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</si>
  <si>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</si>
  <si>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</si>
  <si>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</si>
  <si>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</si>
  <si>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</si>
  <si>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</si>
  <si>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</si>
  <si>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</si>
  <si>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</si>
  <si>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</si>
  <si>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</si>
  <si>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</si>
  <si>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</si>
  <si>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</si>
  <si>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</si>
  <si>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</si>
  <si>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</si>
  <si>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</si>
  <si>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</si>
  <si>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</si>
  <si>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</si>
  <si>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</si>
  <si>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</si>
  <si>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</si>
  <si>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</si>
  <si>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</si>
  <si>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</si>
  <si>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</si>
  <si>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</si>
  <si>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</si>
  <si>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</si>
  <si>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</si>
  <si>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</si>
  <si>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</si>
  <si>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</si>
  <si>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</si>
  <si>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</si>
  <si>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</si>
  <si>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</si>
  <si>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</si>
  <si>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</si>
  <si>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</si>
  <si>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</si>
  <si>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</si>
  <si>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</si>
  <si>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</si>
  <si>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</si>
  <si>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</si>
  <si>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</si>
  <si>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</si>
  <si>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</si>
  <si>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</si>
  <si>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</si>
  <si>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</si>
  <si>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</si>
  <si>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</si>
  <si>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</si>
  <si>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</si>
  <si>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</si>
  <si>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</si>
  <si>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</si>
  <si>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</si>
  <si>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</si>
  <si>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</si>
  <si>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</si>
  <si>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</si>
  <si>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</si>
  <si>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</si>
  <si>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</si>
  <si>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</si>
  <si>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</si>
  <si>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</si>
  <si>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</si>
  <si>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</si>
  <si>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</si>
  <si>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</si>
  <si>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</si>
  <si>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</si>
  <si>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</si>
  <si>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</si>
  <si>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</si>
  <si>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</si>
  <si>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</si>
  <si>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</si>
  <si>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</si>
  <si>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</si>
  <si>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</si>
  <si>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</si>
  <si>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</si>
  <si>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</si>
  <si>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</si>
  <si>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</si>
  <si>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</si>
  <si>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</si>
  <si>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</si>
  <si>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</si>
  <si>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</si>
  <si>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</si>
  <si>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</si>
  <si>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</si>
  <si>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</si>
  <si>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</si>
  <si>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</si>
  <si>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</si>
  <si>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</si>
  <si>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</si>
  <si>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</si>
  <si>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</si>
  <si>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</si>
  <si>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</si>
  <si>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</si>
  <si>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</si>
  <si>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</si>
  <si>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</si>
  <si>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</si>
  <si>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</si>
  <si>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</si>
  <si>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</si>
  <si>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</si>
  <si>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</si>
  <si>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</si>
  <si>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</si>
  <si>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</si>
  <si>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</si>
  <si>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</si>
  <si>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</si>
  <si>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</si>
  <si>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</si>
  <si>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</si>
  <si>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</si>
  <si>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</si>
  <si>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</si>
  <si>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</si>
  <si>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</si>
  <si>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</si>
  <si>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</si>
  <si>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</si>
  <si>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</si>
  <si>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</si>
  <si>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</si>
  <si>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</si>
  <si>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</si>
  <si>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</si>
  <si>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</si>
  <si>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</si>
  <si>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</si>
  <si>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</si>
  <si>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</si>
  <si>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</si>
  <si>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</si>
  <si>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</si>
  <si>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</si>
  <si>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</si>
  <si>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</si>
  <si>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</si>
  <si>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</si>
  <si>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</si>
  <si>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</si>
  <si>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</si>
  <si>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</si>
  <si>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</si>
  <si>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</si>
  <si>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</si>
  <si>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</si>
  <si>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</si>
  <si>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</si>
  <si>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</si>
  <si>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</si>
  <si>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</si>
  <si>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</si>
  <si>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</si>
  <si>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</si>
  <si>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</si>
  <si>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</si>
  <si>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</si>
  <si>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</si>
  <si>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</si>
  <si>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</si>
  <si>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</si>
  <si>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</si>
  <si>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</si>
  <si>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</si>
  <si>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</si>
  <si>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</si>
  <si>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</si>
  <si>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</si>
  <si>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</si>
  <si>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</si>
  <si>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</si>
  <si>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</si>
  <si>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</si>
  <si>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</si>
  <si>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</si>
  <si>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</si>
  <si>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</si>
  <si>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</si>
  <si>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</si>
  <si>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</si>
  <si>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</si>
  <si>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</si>
  <si>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</si>
  <si>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</si>
  <si>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</si>
  <si>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</si>
  <si>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</si>
  <si>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</si>
  <si>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</si>
  <si>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</si>
  <si>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</si>
  <si>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</si>
  <si>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</si>
  <si>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</si>
  <si>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</si>
  <si>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</si>
  <si>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</si>
  <si>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</si>
  <si>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</si>
  <si>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</si>
  <si>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</si>
  <si>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</si>
  <si>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</si>
  <si>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</si>
  <si>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</si>
  <si>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</si>
  <si>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</si>
  <si>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</si>
  <si>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</si>
  <si>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</si>
  <si>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</si>
  <si>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</si>
  <si>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</si>
  <si>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</si>
  <si>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</si>
  <si>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</si>
  <si>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</si>
  <si>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</si>
  <si>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</si>
  <si>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</si>
  <si>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</si>
  <si>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</si>
  <si>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</si>
  <si>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</si>
  <si>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</si>
  <si>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</si>
  <si>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</si>
  <si>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</si>
  <si>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</si>
  <si>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</si>
  <si>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</si>
  <si>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</si>
  <si>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</si>
  <si>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</si>
  <si>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</si>
  <si>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</si>
  <si>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</si>
  <si>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</si>
  <si>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</si>
  <si>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</si>
  <si>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</si>
  <si>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</si>
  <si>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</si>
  <si>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</si>
  <si>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</si>
  <si>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</si>
  <si>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</si>
  <si>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</si>
  <si>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</si>
  <si>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</si>
  <si>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</si>
  <si>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</si>
  <si>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</si>
  <si>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</si>
  <si>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</si>
  <si>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</si>
  <si>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</si>
  <si>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</si>
  <si>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</si>
  <si>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</si>
  <si>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</si>
  <si>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</si>
  <si>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</si>
  <si>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</si>
  <si>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</si>
  <si>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</si>
  <si>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</si>
  <si>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</si>
  <si>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</si>
  <si>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</si>
  <si>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</si>
  <si>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</si>
  <si>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</si>
  <si>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</si>
  <si>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</si>
  <si>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</si>
  <si>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</si>
  <si>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</si>
  <si>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</si>
  <si>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</si>
  <si>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</si>
  <si>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</si>
  <si>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</si>
  <si>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</si>
  <si>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</si>
  <si>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</si>
  <si>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</si>
  <si>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</si>
  <si>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</si>
  <si>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</si>
  <si>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</si>
  <si>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</si>
  <si>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</si>
  <si>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</si>
  <si>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</si>
  <si>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</si>
  <si>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</si>
  <si>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</si>
  <si>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</si>
  <si>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</si>
  <si>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</si>
  <si>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</si>
  <si>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</si>
  <si>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</si>
  <si>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</si>
  <si>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</si>
  <si>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</si>
  <si>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</si>
  <si>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</si>
  <si>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</si>
  <si>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</si>
  <si>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</si>
  <si>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</si>
  <si>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</si>
  <si>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</si>
  <si>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</si>
  <si>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</si>
  <si>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</si>
  <si>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</si>
  <si>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</si>
  <si>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</si>
  <si>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</si>
  <si>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</si>
  <si>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</si>
  <si>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</si>
  <si>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</si>
  <si>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</si>
  <si>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</si>
  <si>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</si>
  <si>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</si>
  <si>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</si>
  <si>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</si>
  <si>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</si>
  <si>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</si>
  <si>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</si>
  <si>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</si>
  <si>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</si>
  <si>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</si>
  <si>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</si>
  <si>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</si>
  <si>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</si>
  <si>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</si>
  <si>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</si>
  <si>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</si>
  <si>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</si>
  <si>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</si>
  <si>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</si>
  <si>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</si>
  <si>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</si>
  <si>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</si>
  <si>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</si>
  <si>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</si>
  <si>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</si>
  <si>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</si>
  <si>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</si>
  <si>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</si>
  <si>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</si>
  <si>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</si>
  <si>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</si>
  <si>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</si>
  <si>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</si>
  <si>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</si>
  <si>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</si>
  <si>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</si>
  <si>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</si>
  <si>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</si>
  <si>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</si>
  <si>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</si>
  <si>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</si>
  <si>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</si>
  <si>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</si>
  <si>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</si>
  <si>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</si>
  <si>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</si>
  <si>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</si>
  <si>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</si>
  <si>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</si>
  <si>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</si>
  <si>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</si>
  <si>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</si>
  <si>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</si>
  <si>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</si>
  <si>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</si>
  <si>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</si>
  <si>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</si>
  <si>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</si>
  <si>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</si>
  <si>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</si>
  <si>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</si>
  <si>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</si>
  <si>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</si>
  <si>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</si>
  <si>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</si>
  <si>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</si>
  <si>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</si>
  <si>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</si>
  <si>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</si>
  <si>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</si>
  <si>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</si>
  <si>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</si>
  <si>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</si>
  <si>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</si>
  <si>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</si>
  <si>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</si>
  <si>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</si>
  <si>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</si>
  <si>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</si>
  <si>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</si>
  <si>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</si>
  <si>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</si>
  <si>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</si>
  <si>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</si>
  <si>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</si>
  <si>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</si>
  <si>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</si>
  <si>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</si>
  <si>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</si>
  <si>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</si>
  <si>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</si>
  <si>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</si>
  <si>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</si>
  <si>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</si>
  <si>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</si>
  <si>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</si>
  <si>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</si>
  <si>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</si>
  <si>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</si>
  <si>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</si>
  <si>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</si>
  <si>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</si>
  <si>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</si>
  <si>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</si>
  <si>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</si>
  <si>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</si>
  <si>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</si>
  <si>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</si>
  <si>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</si>
  <si>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</si>
  <si>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</si>
  <si>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</si>
  <si>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</si>
  <si>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</si>
  <si>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</si>
  <si>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</si>
  <si>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</si>
  <si>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</si>
  <si>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</si>
  <si>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</si>
  <si>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</si>
  <si>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</si>
  <si>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</si>
  <si>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</si>
  <si>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</si>
  <si>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</si>
  <si>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</si>
  <si>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</si>
  <si>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</si>
  <si>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</si>
  <si>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</si>
  <si>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</si>
  <si>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</si>
  <si>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</si>
  <si>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</si>
  <si>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</si>
  <si>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</si>
  <si>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</si>
  <si>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</si>
  <si>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</si>
  <si>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</si>
  <si>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</si>
  <si>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</si>
  <si>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</si>
  <si>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</si>
  <si>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</si>
  <si>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</si>
  <si>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</si>
  <si>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</si>
  <si>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</si>
  <si>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</si>
  <si>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</si>
  <si>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</si>
  <si>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</si>
  <si>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</si>
  <si>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</si>
  <si>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</si>
  <si>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</si>
  <si>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</si>
  <si>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</si>
  <si>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</si>
  <si>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</si>
  <si>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</si>
  <si>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</si>
  <si>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</si>
  <si>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</si>
  <si>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</si>
  <si>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</si>
  <si>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</si>
  <si>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</si>
  <si>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</si>
  <si>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</si>
  <si>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</si>
  <si>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</si>
  <si>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</si>
  <si>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</si>
  <si>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</si>
  <si>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</si>
  <si>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</si>
  <si>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</si>
  <si>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</si>
  <si>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</si>
  <si>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</si>
  <si>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</si>
  <si>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</si>
  <si>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</si>
  <si>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</si>
  <si>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</si>
  <si>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</si>
  <si>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</si>
  <si>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</si>
  <si>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</si>
  <si>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</si>
  <si>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</si>
  <si>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</si>
  <si>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</si>
  <si>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</si>
  <si>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</si>
  <si>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</si>
  <si>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</si>
  <si>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</si>
  <si>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</si>
  <si>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</si>
  <si>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</si>
  <si>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</si>
  <si>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</si>
  <si>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</si>
  <si>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</si>
  <si>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</si>
  <si>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</si>
  <si>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</si>
  <si>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</si>
  <si>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</si>
  <si>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</si>
  <si>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</si>
  <si>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</si>
  <si>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</si>
  <si>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</si>
  <si>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</si>
  <si>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</si>
  <si>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</si>
  <si>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</si>
  <si>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</si>
  <si>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</si>
  <si>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</si>
  <si>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</si>
  <si>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</si>
  <si>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</si>
  <si>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</si>
  <si>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</si>
  <si>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</si>
  <si>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</si>
  <si>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</si>
  <si>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</si>
  <si>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</si>
  <si>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</si>
  <si>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</si>
  <si>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</si>
  <si>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</si>
  <si>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</si>
  <si>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</si>
  <si>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</si>
  <si>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</si>
  <si>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</si>
  <si>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</si>
  <si>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</si>
  <si>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</si>
  <si>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</si>
  <si>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</si>
  <si>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</si>
  <si>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</si>
  <si>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</si>
  <si>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</si>
  <si>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</si>
  <si>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</si>
  <si>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</si>
  <si>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</si>
  <si>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</si>
  <si>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</si>
  <si>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</si>
  <si>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</si>
  <si>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</si>
  <si>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</si>
  <si>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</si>
  <si>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</si>
  <si>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</si>
  <si>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</si>
  <si>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</si>
  <si>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</si>
  <si>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</si>
  <si>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</si>
  <si>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</si>
  <si>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</si>
  <si>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</si>
  <si>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</si>
  <si>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</si>
  <si>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</si>
  <si>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</si>
  <si>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</si>
  <si>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</si>
  <si>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</si>
  <si>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</si>
  <si>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</si>
  <si>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</si>
  <si>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</si>
  <si>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</si>
  <si>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</si>
  <si>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</si>
  <si>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</si>
  <si>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</si>
  <si>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</si>
  <si>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</si>
  <si>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</si>
  <si>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</si>
  <si>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</si>
  <si>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</si>
  <si>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</si>
  <si>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</si>
  <si>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</si>
  <si>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</si>
  <si>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</si>
  <si>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</si>
  <si>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</si>
  <si>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</si>
  <si>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</si>
  <si>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</si>
  <si>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</si>
  <si>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</si>
  <si>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</si>
  <si>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</si>
  <si>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</si>
  <si>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</si>
  <si>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</si>
  <si>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</si>
  <si>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</si>
  <si>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</si>
  <si>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</si>
  <si>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</si>
  <si>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</si>
  <si>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</si>
  <si>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</si>
  <si>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</si>
  <si>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</si>
  <si>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</si>
  <si>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</si>
  <si>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</si>
  <si>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</si>
  <si>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</si>
  <si>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</si>
  <si>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</si>
  <si>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</si>
  <si>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</si>
  <si>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</si>
  <si>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</si>
  <si>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</si>
  <si>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</si>
  <si>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</si>
  <si>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</si>
  <si>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</si>
  <si>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</si>
  <si>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</si>
  <si>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</si>
  <si>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</si>
  <si>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</si>
  <si>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</si>
  <si>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</si>
  <si>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</si>
  <si>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</si>
  <si>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</si>
  <si>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</si>
  <si>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</si>
  <si>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</si>
  <si>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</si>
  <si>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</si>
  <si>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</si>
  <si>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</si>
  <si>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</si>
  <si>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</si>
  <si>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</si>
  <si>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</si>
  <si>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</si>
  <si>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</si>
  <si>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</si>
  <si>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</si>
  <si>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</si>
  <si>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</si>
  <si>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</si>
  <si>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</si>
  <si>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</si>
  <si>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</si>
  <si>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</si>
  <si>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</si>
  <si>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</si>
  <si>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</si>
  <si>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</si>
  <si>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</si>
  <si>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</si>
  <si>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</si>
  <si>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</si>
  <si>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</si>
  <si>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</si>
  <si>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</si>
  <si>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</si>
  <si>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</si>
  <si>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</si>
  <si>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</si>
  <si>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</si>
  <si>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</si>
  <si>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</si>
  <si>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</si>
  <si>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</si>
  <si>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</si>
  <si>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</si>
  <si>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</si>
  <si>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</si>
  <si>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</si>
  <si>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</si>
  <si>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</si>
  <si>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</si>
  <si>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</si>
  <si>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</si>
  <si>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</si>
  <si>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</si>
  <si>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</si>
  <si>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</si>
  <si>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</si>
  <si>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</si>
  <si>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</si>
  <si>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</si>
  <si>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</si>
  <si>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</si>
  <si>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</si>
  <si>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</si>
  <si>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</si>
  <si>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</si>
  <si>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</si>
  <si>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</si>
  <si>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</si>
  <si>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</si>
  <si>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</si>
  <si>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</si>
  <si>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</si>
  <si>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</si>
  <si>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</si>
  <si>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</si>
  <si>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</si>
  <si>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</si>
  <si>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</si>
  <si>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</si>
  <si>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</si>
  <si>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</si>
  <si>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</si>
  <si>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</si>
  <si>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</si>
  <si>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</si>
  <si>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</si>
  <si>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</si>
  <si>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</si>
  <si>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</si>
  <si>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</si>
  <si>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</si>
  <si>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</si>
  <si>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</si>
  <si>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</si>
  <si>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</si>
  <si>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</si>
  <si>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</si>
  <si>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</si>
  <si>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</si>
  <si>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</si>
  <si>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</si>
  <si>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</si>
  <si>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</si>
  <si>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</si>
  <si>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</si>
  <si>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</si>
  <si>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</si>
  <si>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</si>
  <si>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</si>
  <si>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</si>
  <si>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</si>
  <si>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</si>
  <si>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</si>
  <si>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</si>
  <si>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</si>
  <si>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</si>
  <si>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</si>
  <si>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</si>
  <si>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</si>
  <si>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</si>
  <si>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</si>
  <si>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</si>
  <si>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</si>
  <si>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</si>
  <si>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</si>
  <si>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</si>
  <si>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</si>
  <si>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</si>
  <si>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</si>
  <si>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</si>
  <si>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</si>
  <si>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</si>
  <si>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</si>
  <si>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</si>
  <si>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</si>
  <si>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</si>
  <si>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</si>
  <si>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</si>
  <si>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</si>
  <si>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</si>
  <si>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</si>
  <si>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</si>
  <si>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</si>
  <si>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</si>
  <si>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</si>
  <si>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</si>
  <si>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</si>
  <si>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</si>
  <si>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</si>
  <si>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</si>
  <si>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</si>
  <si>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</si>
  <si>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</si>
  <si>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</si>
  <si>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</si>
  <si>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</si>
  <si>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</si>
  <si>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</si>
  <si>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</si>
  <si>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</si>
  <si>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</si>
  <si>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</si>
  <si>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</si>
  <si>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</si>
  <si>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</si>
  <si>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</si>
  <si>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</si>
  <si>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</si>
  <si>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</si>
  <si>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</si>
  <si>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</si>
  <si>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</si>
  <si>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</si>
  <si>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</si>
  <si>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</si>
  <si>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</si>
  <si>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</si>
  <si>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</si>
  <si>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</si>
  <si>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</si>
  <si>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</si>
  <si>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</si>
  <si>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</si>
  <si>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</si>
  <si>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</si>
  <si>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</si>
  <si>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</si>
  <si>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</si>
  <si>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</si>
  <si>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</si>
  <si>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</si>
  <si>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</si>
  <si>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</si>
  <si>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</si>
  <si>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</si>
  <si>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</si>
  <si>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</si>
  <si>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</si>
  <si>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</si>
  <si>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</si>
  <si>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</si>
  <si>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</si>
  <si>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</si>
  <si>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</si>
  <si>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</si>
  <si>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</si>
  <si>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</si>
  <si>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</si>
  <si>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</si>
  <si>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</si>
  <si>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</si>
  <si>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</si>
  <si>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</si>
  <si>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</si>
  <si>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</si>
  <si>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</si>
  <si>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</si>
  <si>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</si>
  <si>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</si>
  <si>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</si>
  <si>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</si>
  <si>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</si>
  <si>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</si>
  <si>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</si>
  <si>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</si>
  <si>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</si>
  <si>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</si>
  <si>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</si>
  <si>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</si>
  <si>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</si>
  <si>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</si>
  <si>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</si>
  <si>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</si>
  <si>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</si>
  <si>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</si>
  <si>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</si>
  <si>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</si>
  <si>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</si>
  <si>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</si>
  <si>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</si>
  <si>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</si>
  <si>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</si>
  <si>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</si>
  <si>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</si>
  <si>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</si>
  <si>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</si>
  <si>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</si>
  <si>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</si>
  <si>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</si>
  <si>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</si>
  <si>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</si>
  <si>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</si>
  <si>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</si>
  <si>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</si>
  <si>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</si>
  <si>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</si>
  <si>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</si>
  <si>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</si>
  <si>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</si>
  <si>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</si>
  <si>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</si>
  <si>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</si>
  <si>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</si>
  <si>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</si>
  <si>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</si>
  <si>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</si>
  <si>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</si>
  <si>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</si>
  <si>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</si>
  <si>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</si>
  <si>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</si>
  <si>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</si>
  <si>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</si>
  <si>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</si>
  <si>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</si>
  <si>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</si>
  <si>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</si>
  <si>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</si>
  <si>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</si>
  <si>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</si>
  <si>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</si>
  <si>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</si>
  <si>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</si>
  <si>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</si>
  <si>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</si>
  <si>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</si>
  <si>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</si>
  <si>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</si>
  <si>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</si>
  <si>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</si>
  <si>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</si>
  <si>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</si>
  <si>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</si>
  <si>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</si>
  <si>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</si>
  <si>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</si>
  <si>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</si>
  <si>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</si>
  <si>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</si>
  <si>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</si>
  <si>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</si>
  <si>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</si>
  <si>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</si>
  <si>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</si>
  <si>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</si>
  <si>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</si>
  <si>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</si>
  <si>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</si>
  <si>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</si>
  <si>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</si>
  <si>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</si>
  <si>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</si>
  <si>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</si>
  <si>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</si>
  <si>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</si>
  <si>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</si>
  <si>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</si>
  <si>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</si>
  <si>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</si>
  <si>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</si>
  <si>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</si>
  <si>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</si>
  <si>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</si>
  <si>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</si>
  <si>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</si>
  <si>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</si>
  <si>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</si>
  <si>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</si>
  <si>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</si>
  <si>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</si>
  <si>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</si>
  <si>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</si>
  <si>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</si>
  <si>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</si>
  <si>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</si>
  <si>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</si>
  <si>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</si>
  <si>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</si>
  <si>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</si>
  <si>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</si>
  <si>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</si>
  <si>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</si>
  <si>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</si>
  <si>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</si>
  <si>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</si>
  <si>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</si>
  <si>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</si>
  <si>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</si>
  <si>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</si>
  <si>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</si>
  <si>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</si>
  <si>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</si>
  <si>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</si>
  <si>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</si>
  <si>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</si>
  <si>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</si>
  <si>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</si>
  <si>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</si>
  <si>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</si>
  <si>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</si>
  <si>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</si>
  <si>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</si>
  <si>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</si>
  <si>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</si>
  <si>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</si>
  <si>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</si>
  <si>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</si>
  <si>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</si>
  <si>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</si>
  <si>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</si>
  <si>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</si>
  <si>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</si>
  <si>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</si>
  <si>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</si>
  <si>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</si>
  <si>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</si>
  <si>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</si>
  <si>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</si>
  <si>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</si>
  <si>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</si>
  <si>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</si>
  <si>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</si>
  <si>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</si>
  <si>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</si>
  <si>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</si>
  <si>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</si>
  <si>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</si>
  <si>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</si>
  <si>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</si>
  <si>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</si>
  <si>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</si>
  <si>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</si>
  <si>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</si>
  <si>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</si>
  <si>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</si>
  <si>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</si>
  <si>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</si>
  <si>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</si>
  <si>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</si>
  <si>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</si>
  <si>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</si>
  <si>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</si>
  <si>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</si>
  <si>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</si>
  <si>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</si>
  <si>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</si>
  <si>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</si>
  <si>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</si>
  <si>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</si>
  <si>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</si>
  <si>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</si>
  <si>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</si>
  <si>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</si>
  <si>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</si>
  <si>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</si>
  <si>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</si>
  <si>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</si>
  <si>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</si>
  <si>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</si>
  <si>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</si>
  <si>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</si>
  <si>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</si>
  <si>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</si>
  <si>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</si>
  <si>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</si>
  <si>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</si>
  <si>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</si>
  <si>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</si>
  <si>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</si>
  <si>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</si>
  <si>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</si>
  <si>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</si>
  <si>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</si>
  <si>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</si>
  <si>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</si>
  <si>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</si>
  <si>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</si>
  <si>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</si>
  <si>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</si>
  <si>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</si>
  <si>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</si>
  <si>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</si>
  <si>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</si>
  <si>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</si>
  <si>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</si>
  <si>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</si>
  <si>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</si>
  <si>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</si>
  <si>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</si>
  <si>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</si>
  <si>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</si>
  <si>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</si>
  <si>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</si>
  <si>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</si>
  <si>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</si>
  <si>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</si>
  <si>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</si>
  <si>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</si>
  <si>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</si>
  <si>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</si>
  <si>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</si>
  <si>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</si>
  <si>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</si>
  <si>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</si>
  <si>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</si>
  <si>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</si>
  <si>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</si>
  <si>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</si>
  <si>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</si>
  <si>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</si>
  <si>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</si>
  <si>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</si>
  <si>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</si>
  <si>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</si>
  <si>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</si>
  <si>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</si>
  <si>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</si>
  <si>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</si>
  <si>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</si>
  <si>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</si>
  <si>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</si>
  <si>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</si>
  <si>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</si>
  <si>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</si>
  <si>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</si>
  <si>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</si>
  <si>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</si>
  <si>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</si>
  <si>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</si>
  <si>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</si>
  <si>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</si>
  <si>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</si>
  <si>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</si>
  <si>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</si>
  <si>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</si>
  <si>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</si>
  <si>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</si>
  <si>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</si>
  <si>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</si>
  <si>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</si>
  <si>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</si>
  <si>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</si>
  <si>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</si>
  <si>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</si>
  <si>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</si>
  <si>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</si>
  <si>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</si>
  <si>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</si>
  <si>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</si>
  <si>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</si>
  <si>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</si>
  <si>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</si>
  <si>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</si>
  <si>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</si>
  <si>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</si>
  <si>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</si>
  <si>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</si>
  <si>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</si>
  <si>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</si>
  <si>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</si>
  <si>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</si>
  <si>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</si>
  <si>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</si>
  <si>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</si>
  <si>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</si>
  <si>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</si>
  <si>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</si>
  <si>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</si>
  <si>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</si>
  <si>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</si>
  <si>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</si>
  <si>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</si>
  <si>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</si>
  <si>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</si>
  <si>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</si>
  <si>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</si>
  <si>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</si>
  <si>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</si>
  <si>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</si>
  <si>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</si>
  <si>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</si>
  <si>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</si>
  <si>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</si>
  <si>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</si>
  <si>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</si>
  <si>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</si>
  <si>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</si>
  <si>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</si>
  <si>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</si>
  <si>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</si>
  <si>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</si>
  <si>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</si>
  <si>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</si>
  <si>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</si>
  <si>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</si>
  <si>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</si>
  <si>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</si>
  <si>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</si>
  <si>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</si>
  <si>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</si>
  <si>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</si>
  <si>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</si>
  <si>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</si>
  <si>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</si>
  <si>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</si>
  <si>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</si>
  <si>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</si>
  <si>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</si>
  <si>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</si>
  <si>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</si>
  <si>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</si>
  <si>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</si>
  <si>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</si>
  <si>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</si>
  <si>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</si>
  <si>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</si>
  <si>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</si>
  <si>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</si>
  <si>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</si>
  <si>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</si>
  <si>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</si>
  <si>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</si>
  <si>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</si>
  <si>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</si>
  <si>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</si>
  <si>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</si>
  <si>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</si>
  <si>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</si>
  <si>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</si>
  <si>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</si>
  <si>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</si>
  <si>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</si>
  <si>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</si>
  <si>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</si>
  <si>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</si>
  <si>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</si>
  <si>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</si>
  <si>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</si>
  <si>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</si>
  <si>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</si>
  <si>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</si>
  <si>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</si>
  <si>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</si>
  <si>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</si>
  <si>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</si>
  <si>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</si>
  <si>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</si>
  <si>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</si>
  <si>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</si>
  <si>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</si>
  <si>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</si>
  <si>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</si>
  <si>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</si>
  <si>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</si>
  <si>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</si>
  <si>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</si>
  <si>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</si>
  <si>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</si>
  <si>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</si>
  <si>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</si>
  <si>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</si>
  <si>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</si>
  <si>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</si>
  <si>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</si>
  <si>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</si>
  <si>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</si>
  <si>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</si>
  <si>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</si>
  <si>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</si>
  <si>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</si>
  <si>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</si>
  <si>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</si>
  <si>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</si>
  <si>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</si>
  <si>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</si>
  <si>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</si>
  <si>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</si>
  <si>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</si>
  <si>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</si>
  <si>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</si>
  <si>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</si>
  <si>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</si>
  <si>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</si>
  <si>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</si>
  <si>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</si>
  <si>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</si>
  <si>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</si>
  <si>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</si>
  <si>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</si>
  <si>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</si>
  <si>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</si>
  <si>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</si>
  <si>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</si>
  <si>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</si>
  <si>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</si>
  <si>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</si>
  <si>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</si>
  <si>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</si>
  <si>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</si>
  <si>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</si>
  <si>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</si>
  <si>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</si>
  <si>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</si>
  <si>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</si>
  <si>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</si>
  <si>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</si>
  <si>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</si>
  <si>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</si>
  <si>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</si>
  <si>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</si>
  <si>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</si>
  <si>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</si>
  <si>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</si>
  <si>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</si>
  <si>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</si>
  <si>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</si>
  <si>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</si>
  <si>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</si>
  <si>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</si>
  <si>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</si>
  <si>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</si>
  <si>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</si>
  <si>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</si>
  <si>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</si>
  <si>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</si>
  <si>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</si>
  <si>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</si>
  <si>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</si>
  <si>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</si>
  <si>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</si>
  <si>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</si>
  <si>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</si>
  <si>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</si>
  <si>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</si>
  <si>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</si>
  <si>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</si>
  <si>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</si>
  <si>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</si>
  <si>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</si>
  <si>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</si>
  <si>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</si>
  <si>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</si>
  <si>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</si>
  <si>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</si>
  <si>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</si>
  <si>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</si>
  <si>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</si>
  <si>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</si>
  <si>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</si>
  <si>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</si>
  <si>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</si>
  <si>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</si>
  <si>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</si>
  <si>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</si>
  <si>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</si>
  <si>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</si>
  <si>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</si>
  <si>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</si>
  <si>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</si>
  <si>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</si>
  <si>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</si>
  <si>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</si>
  <si>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</si>
  <si>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</si>
  <si>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</si>
  <si>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</si>
  <si>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</si>
  <si>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</si>
  <si>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</si>
  <si>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</si>
  <si>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</si>
  <si>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</si>
  <si>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</si>
  <si>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</si>
  <si>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</si>
  <si>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</si>
  <si>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</si>
  <si>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</si>
  <si>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</si>
  <si>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</si>
  <si>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</si>
  <si>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</si>
  <si>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</si>
  <si>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</si>
  <si>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</si>
  <si>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</si>
  <si>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</si>
  <si>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</si>
  <si>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</si>
  <si>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</si>
  <si>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</si>
  <si>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</si>
  <si>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</si>
  <si>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</si>
  <si>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</si>
  <si>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</si>
  <si>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</si>
  <si>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</si>
  <si>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</si>
  <si>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</si>
  <si>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</si>
  <si>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</si>
  <si>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</si>
  <si>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</si>
  <si>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</si>
  <si>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</si>
  <si>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</si>
  <si>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</si>
  <si>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</si>
  <si>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</si>
  <si>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</si>
  <si>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</si>
  <si>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</si>
  <si>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</si>
  <si>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</si>
  <si>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</si>
  <si>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</si>
  <si>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</si>
  <si>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</si>
  <si>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</si>
  <si>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</si>
  <si>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</si>
  <si>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</si>
  <si>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</si>
  <si>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</si>
  <si>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</si>
  <si>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</si>
  <si>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</si>
  <si>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</si>
  <si>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</si>
  <si>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</si>
  <si>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</si>
  <si>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</si>
  <si>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</si>
  <si>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</si>
  <si>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</si>
  <si>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</si>
  <si>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</si>
  <si>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</si>
  <si>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</si>
  <si>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</si>
  <si>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</si>
  <si>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</si>
  <si>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</si>
  <si>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</si>
  <si>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</si>
  <si>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</si>
  <si>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</si>
  <si>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</si>
  <si>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</si>
  <si>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</si>
  <si>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</si>
  <si>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</si>
  <si>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</si>
  <si>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</si>
  <si>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</si>
  <si>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</si>
  <si>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</si>
  <si>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</si>
  <si>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</si>
  <si>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</si>
  <si>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</si>
  <si>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</si>
  <si>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</si>
  <si>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</si>
  <si>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</si>
  <si>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</si>
  <si>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</si>
  <si>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</si>
  <si>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</si>
  <si>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</si>
  <si>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</si>
  <si>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</si>
  <si>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</si>
  <si>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</si>
  <si>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</si>
  <si>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</si>
  <si>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</si>
  <si>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</si>
  <si>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</si>
  <si>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</si>
  <si>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</si>
  <si>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</si>
  <si>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</si>
  <si>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</si>
  <si>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</si>
  <si>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</si>
  <si>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</si>
  <si>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</si>
  <si>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</si>
  <si>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</si>
  <si>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</si>
  <si>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</si>
  <si>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</si>
  <si>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</si>
  <si>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</si>
  <si>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</si>
  <si>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</si>
  <si>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</si>
  <si>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</si>
  <si>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</si>
  <si>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</si>
  <si>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</si>
  <si>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</si>
  <si>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</si>
  <si>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</si>
  <si>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</si>
  <si>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</si>
  <si>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</si>
  <si>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</si>
  <si>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</si>
  <si>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</si>
  <si>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</si>
  <si>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</si>
  <si>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</si>
  <si>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</si>
  <si>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</si>
  <si>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</si>
  <si>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</si>
  <si>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</si>
  <si>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</si>
  <si>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</si>
  <si>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</si>
  <si>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</si>
  <si>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</si>
  <si>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</si>
  <si>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</si>
  <si>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</si>
  <si>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</si>
  <si>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</si>
  <si>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</si>
  <si>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</si>
  <si>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</si>
  <si>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</si>
  <si>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</si>
  <si>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</si>
  <si>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</si>
  <si>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</si>
  <si>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</si>
  <si>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</si>
  <si>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</si>
  <si>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</si>
  <si>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</si>
  <si>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</si>
  <si>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</si>
  <si>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</si>
  <si>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</si>
  <si>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</si>
  <si>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</si>
  <si>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</si>
  <si>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</si>
  <si>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</si>
  <si>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</si>
  <si>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</si>
  <si>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</si>
  <si>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</si>
  <si>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</si>
  <si>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</si>
  <si>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</si>
  <si>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</si>
  <si>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</si>
  <si>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</si>
  <si>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</si>
  <si>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</si>
  <si>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</si>
  <si>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</si>
  <si>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</si>
  <si>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</si>
  <si>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</si>
  <si>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</si>
  <si>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</si>
  <si>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</si>
  <si>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</si>
  <si>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</si>
  <si>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</si>
  <si>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</si>
  <si>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</si>
  <si>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</si>
  <si>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</si>
  <si>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</si>
  <si>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</si>
  <si>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</si>
  <si>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</si>
  <si>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</si>
  <si>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</si>
  <si>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</si>
  <si>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</si>
  <si>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</si>
  <si>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</si>
  <si>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</si>
  <si>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</si>
  <si>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</si>
  <si>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</si>
  <si>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</si>
  <si>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</si>
  <si>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</si>
  <si>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</si>
  <si>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</si>
  <si>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</si>
  <si>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</si>
  <si>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</si>
  <si>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</si>
  <si>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</si>
  <si>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</si>
  <si>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</si>
  <si>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</si>
  <si>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</si>
  <si>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</si>
  <si>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</si>
  <si>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</si>
  <si>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</si>
  <si>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</si>
  <si>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</si>
  <si>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</si>
  <si>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</si>
  <si>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</si>
  <si>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</si>
  <si>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</si>
  <si>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</si>
  <si>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</si>
  <si>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</si>
  <si>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</si>
  <si>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</si>
  <si>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</si>
  <si>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</si>
  <si>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</si>
  <si>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</si>
  <si>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</si>
  <si>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</si>
  <si>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</si>
  <si>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</si>
  <si>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</si>
  <si>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</si>
  <si>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</si>
  <si>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</si>
  <si>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</si>
  <si>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</si>
  <si>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</si>
  <si>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</si>
  <si>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</si>
  <si>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</si>
  <si>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</si>
  <si>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</si>
  <si>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</si>
  <si>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</si>
  <si>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</si>
  <si>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</si>
  <si>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</si>
  <si>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</si>
  <si>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</si>
  <si>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</si>
  <si>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</si>
  <si>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</si>
  <si>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</si>
  <si>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</si>
  <si>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</si>
  <si>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</si>
  <si>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</si>
  <si>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</si>
  <si>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</si>
  <si>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</si>
  <si>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</si>
  <si>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</si>
  <si>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</si>
  <si>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</si>
  <si>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</si>
  <si>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</si>
  <si>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</si>
  <si>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</si>
  <si>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</si>
  <si>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</si>
  <si>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</si>
  <si>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</si>
  <si>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</si>
  <si>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</si>
  <si>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</si>
  <si>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</si>
  <si>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</si>
  <si>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</si>
  <si>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</si>
  <si>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</si>
  <si>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</si>
  <si>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</si>
  <si>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</si>
  <si>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</si>
  <si>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</si>
  <si>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</si>
  <si>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</si>
  <si>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</si>
  <si>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</si>
  <si>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</si>
  <si>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</si>
  <si>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</si>
  <si>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</si>
  <si>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</si>
  <si>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</si>
  <si>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</si>
  <si>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</si>
  <si>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</si>
  <si>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</si>
  <si>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</si>
  <si>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</si>
  <si>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</si>
  <si>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</si>
  <si>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</si>
  <si>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</si>
  <si>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</si>
  <si>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</si>
  <si>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</si>
  <si>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</si>
  <si>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</si>
  <si>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</si>
  <si>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</si>
  <si>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</si>
  <si>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</si>
  <si>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</si>
  <si>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</si>
  <si>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</si>
  <si>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</si>
  <si>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</si>
  <si>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</si>
  <si>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</si>
  <si>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</si>
  <si>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</si>
  <si>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</si>
  <si>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</si>
  <si>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</si>
  <si>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</si>
  <si>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</si>
  <si>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</si>
  <si>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</si>
  <si>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</si>
  <si>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</si>
  <si>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</si>
  <si>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</si>
  <si>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</si>
  <si>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</si>
  <si>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</si>
  <si>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</si>
  <si>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</si>
  <si>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</si>
  <si>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</si>
  <si>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</si>
  <si>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</si>
  <si>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</si>
  <si>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</si>
  <si>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</si>
  <si>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</si>
  <si>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</si>
  <si>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</si>
  <si>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</si>
  <si>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</si>
  <si>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</si>
  <si>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</si>
  <si>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</si>
  <si>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</si>
  <si>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</si>
  <si>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</si>
  <si>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</si>
  <si>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</si>
  <si>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</si>
  <si>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</si>
  <si>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</si>
  <si>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</si>
  <si>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</si>
  <si>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</si>
  <si>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</si>
  <si>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</si>
  <si>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</si>
  <si>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</si>
  <si>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</si>
  <si>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</si>
  <si>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</si>
  <si>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</si>
  <si>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</si>
  <si>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</si>
  <si>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</si>
  <si>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</si>
  <si>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</si>
  <si>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</si>
  <si>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</si>
  <si>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</si>
  <si>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</si>
  <si>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</si>
  <si>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</si>
  <si>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</si>
  <si>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</si>
  <si>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</si>
  <si>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</si>
  <si>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</si>
  <si>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</si>
  <si>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</si>
  <si>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</si>
  <si>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</si>
  <si>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</si>
  <si>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</si>
  <si>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</si>
  <si>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</si>
  <si>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</si>
  <si>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</si>
  <si>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</si>
  <si>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</si>
  <si>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</si>
  <si>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</si>
  <si>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</si>
  <si>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</si>
  <si>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</si>
  <si>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</si>
  <si>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</si>
  <si>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</si>
  <si>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</si>
  <si>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</si>
  <si>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</si>
  <si>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</si>
  <si>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</si>
  <si>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</si>
  <si>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</si>
  <si>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</si>
  <si>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</si>
  <si>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</si>
  <si>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</si>
  <si>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</si>
  <si>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</si>
  <si>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</si>
  <si>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</si>
  <si>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</si>
  <si>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</si>
  <si>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</si>
  <si>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</si>
  <si>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</si>
  <si>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</si>
  <si>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</si>
  <si>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</si>
  <si>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</si>
  <si>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</si>
  <si>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</si>
  <si>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</si>
  <si>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</si>
  <si>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</si>
  <si>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</si>
  <si>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</si>
  <si>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</si>
  <si>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</si>
  <si>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</si>
  <si>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</si>
  <si>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</si>
  <si>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</si>
  <si>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</si>
  <si>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</si>
  <si>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</si>
  <si>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</si>
  <si>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</si>
  <si>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</si>
  <si>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</si>
  <si>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</si>
  <si>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</si>
  <si>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</si>
  <si>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</si>
  <si>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</si>
  <si>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</si>
  <si>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</si>
  <si>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</si>
  <si>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</si>
  <si>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</si>
  <si>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</si>
  <si>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</si>
  <si>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</si>
  <si>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</si>
  <si>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</si>
  <si>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</si>
  <si>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</si>
  <si>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</si>
  <si>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</si>
  <si>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</si>
  <si>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</si>
  <si>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</si>
  <si>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</si>
  <si>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</si>
  <si>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</si>
  <si>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</si>
  <si>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</si>
  <si>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</si>
  <si>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</si>
  <si>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</si>
  <si>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</si>
  <si>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</si>
  <si>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</si>
  <si>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</si>
  <si>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</si>
  <si>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</si>
  <si>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</si>
  <si>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</si>
  <si>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</si>
  <si>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</si>
  <si>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</si>
  <si>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</si>
  <si>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</si>
  <si>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</si>
  <si>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</si>
  <si>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</si>
  <si>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</si>
  <si>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</si>
  <si>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</si>
  <si>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</si>
  <si>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</si>
  <si>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</si>
  <si>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</si>
  <si>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</si>
  <si>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</si>
  <si>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</si>
  <si>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</si>
  <si>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</si>
  <si>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</si>
  <si>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</si>
  <si>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</si>
  <si>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</si>
  <si>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</si>
  <si>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</si>
  <si>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</si>
  <si>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</si>
  <si>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</si>
  <si>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</si>
  <si>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</si>
  <si>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</si>
  <si>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</si>
  <si>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</si>
  <si>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</si>
  <si>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</si>
  <si>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</si>
  <si>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</si>
  <si>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</si>
  <si>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</si>
  <si>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</si>
  <si>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</si>
  <si>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</si>
  <si>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</si>
  <si>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</si>
  <si>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</si>
  <si>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</si>
  <si>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</si>
  <si>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</si>
  <si>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</si>
  <si>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</si>
  <si>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</si>
  <si>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</si>
  <si>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</si>
  <si>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</si>
  <si>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</si>
  <si>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</si>
  <si>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</si>
  <si>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</si>
  <si>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</si>
  <si>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</si>
  <si>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</si>
  <si>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</si>
  <si>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</si>
  <si>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</si>
  <si>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</si>
  <si>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</si>
  <si>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</si>
  <si>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</si>
  <si>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</si>
  <si>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</si>
  <si>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</si>
  <si>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</si>
  <si>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</si>
  <si>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</si>
  <si>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</si>
  <si>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</si>
  <si>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</si>
  <si>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</si>
  <si>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</si>
  <si>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</si>
  <si>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</si>
  <si>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</si>
  <si>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</si>
  <si>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</si>
  <si>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</si>
  <si>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</si>
  <si>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</si>
  <si>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</si>
  <si>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</si>
  <si>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</si>
  <si>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</si>
  <si>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</si>
  <si>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</si>
  <si>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</si>
  <si>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</si>
  <si>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</si>
  <si>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</si>
  <si>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</si>
  <si>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</si>
  <si>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</si>
  <si>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</si>
  <si>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</si>
  <si>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</si>
  <si>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</si>
  <si>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</si>
  <si>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</si>
  <si>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</si>
  <si>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</si>
  <si>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</si>
  <si>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</si>
  <si>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</si>
  <si>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</si>
  <si>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</si>
  <si>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</si>
  <si>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</si>
  <si>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</si>
  <si>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</si>
  <si>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</si>
  <si>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</si>
  <si>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</si>
  <si>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</si>
  <si>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</si>
  <si>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</si>
  <si>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</si>
  <si>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</si>
  <si>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</si>
  <si>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</si>
  <si>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</si>
  <si>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</si>
  <si>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</si>
  <si>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</si>
  <si>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</si>
  <si>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</si>
  <si>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</si>
  <si>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</si>
  <si>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</si>
  <si>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</si>
  <si>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</si>
  <si>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</si>
  <si>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</si>
  <si>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</si>
  <si>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</si>
  <si>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</si>
  <si>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</si>
  <si>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</si>
  <si>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</si>
  <si>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</si>
  <si>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</si>
  <si>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</si>
  <si>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</si>
  <si>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</si>
  <si>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</si>
  <si>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</si>
  <si>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</si>
  <si>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</si>
  <si>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</si>
  <si>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</si>
  <si>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</si>
  <si>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</si>
  <si>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</si>
  <si>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</si>
  <si>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</si>
  <si>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</si>
  <si>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</si>
  <si>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</si>
  <si>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</si>
  <si>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</si>
  <si>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</si>
  <si>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</si>
  <si>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</si>
  <si>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</si>
  <si>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</si>
  <si>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</si>
  <si>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</si>
  <si>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</si>
  <si>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</si>
  <si>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</si>
  <si>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</si>
  <si>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</si>
  <si>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</si>
  <si>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</si>
  <si>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</si>
  <si>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</si>
  <si>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</si>
  <si>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</si>
  <si>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</si>
  <si>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</si>
  <si>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</si>
  <si>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</si>
  <si>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</si>
  <si>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</si>
  <si>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</si>
  <si>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</si>
  <si>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</si>
  <si>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</si>
  <si>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</si>
  <si>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</si>
  <si>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</si>
  <si>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</si>
  <si>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</si>
  <si>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</si>
  <si>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</si>
  <si>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</si>
  <si>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</si>
  <si>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</si>
  <si>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</si>
  <si>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</si>
  <si>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</si>
  <si>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</si>
  <si>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</si>
  <si>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</si>
  <si>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</si>
  <si>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</si>
  <si>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</si>
  <si>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</si>
  <si>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</si>
  <si>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</si>
  <si>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</si>
  <si>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</si>
  <si>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</si>
  <si>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</si>
  <si>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</si>
  <si>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</si>
  <si>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</si>
  <si>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</si>
  <si>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</si>
  <si>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</si>
  <si>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</si>
  <si>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</si>
  <si>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</si>
  <si>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</si>
  <si>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</si>
  <si>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</si>
  <si>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</si>
  <si>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</si>
  <si>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</si>
  <si>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</si>
  <si>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</si>
  <si>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</si>
  <si>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</si>
  <si>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</si>
  <si>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</si>
  <si>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</si>
  <si>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</si>
  <si>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</si>
  <si>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</si>
  <si>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</si>
  <si>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</si>
  <si>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</si>
  <si>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</si>
  <si>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</si>
  <si>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</si>
  <si>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</si>
  <si>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</si>
  <si>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</si>
  <si>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</si>
  <si>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</si>
  <si>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</si>
  <si>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</si>
  <si>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</si>
  <si>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</si>
  <si>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</si>
  <si>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</si>
  <si>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</si>
  <si>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</si>
  <si>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</si>
  <si>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</si>
  <si>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</si>
  <si>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</si>
  <si>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</si>
  <si>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</si>
  <si>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</si>
  <si>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</si>
  <si>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</si>
  <si>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</si>
  <si>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</si>
  <si>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</si>
  <si>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</si>
  <si>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</si>
  <si>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</si>
  <si>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</si>
  <si>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</si>
  <si>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</si>
  <si>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</si>
  <si>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</si>
  <si>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</si>
  <si>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</si>
  <si>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</si>
  <si>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</si>
  <si>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</si>
  <si>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</si>
  <si>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</si>
  <si>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</si>
  <si>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</si>
  <si>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</si>
  <si>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</si>
  <si>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</si>
  <si>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</si>
  <si>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</si>
  <si>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</si>
  <si>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</si>
  <si>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</si>
  <si>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</si>
  <si>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</si>
  <si>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</si>
  <si>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</si>
  <si>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</si>
  <si>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</si>
  <si>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</si>
  <si>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</si>
  <si>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</si>
  <si>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</si>
  <si>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</si>
  <si>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</si>
  <si>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</si>
  <si>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</si>
  <si>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</si>
  <si>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</si>
  <si>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</si>
  <si>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</si>
  <si>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</si>
  <si>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</si>
  <si>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</si>
  <si>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</si>
  <si>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</si>
  <si>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</si>
  <si>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</si>
  <si>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</si>
  <si>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</si>
  <si>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</si>
  <si>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</si>
  <si>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</si>
  <si>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</si>
  <si>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</si>
  <si>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</si>
  <si>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</si>
  <si>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</si>
  <si>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</si>
  <si>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</si>
  <si>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</si>
  <si>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</si>
  <si>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</si>
  <si>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</si>
  <si>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</si>
  <si>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</si>
  <si>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</si>
  <si>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</si>
  <si>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</si>
  <si>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</si>
  <si>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</si>
  <si>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</si>
  <si>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</si>
  <si>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</si>
  <si>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</si>
  <si>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</si>
  <si>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</si>
  <si>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</si>
  <si>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</si>
  <si>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</si>
  <si>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</si>
  <si>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</si>
  <si>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</si>
  <si>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</si>
  <si>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</si>
  <si>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</si>
  <si>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</si>
  <si>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</si>
  <si>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</si>
  <si>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</si>
  <si>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</si>
  <si>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</si>
  <si>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</si>
  <si>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</si>
  <si>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</si>
  <si>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</si>
  <si>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</si>
  <si>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</si>
  <si>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</si>
  <si>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</si>
  <si>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</si>
  <si>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</si>
  <si>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</si>
  <si>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</si>
  <si>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</si>
  <si>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</si>
  <si>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</si>
  <si>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</si>
  <si>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</si>
  <si>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</si>
  <si>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</si>
  <si>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</si>
  <si>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</si>
  <si>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</si>
  <si>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</si>
  <si>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</si>
  <si>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</si>
  <si>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</si>
  <si>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</si>
  <si>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</si>
  <si>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</si>
  <si>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</si>
  <si>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</si>
  <si>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</si>
  <si>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</si>
  <si>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</si>
  <si>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</si>
  <si>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</si>
  <si>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</si>
  <si>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</si>
  <si>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</si>
  <si>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</si>
  <si>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</si>
  <si>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</si>
  <si>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</si>
  <si>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</si>
  <si>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</si>
  <si>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</si>
  <si>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</si>
  <si>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</si>
  <si>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</si>
  <si>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</si>
  <si>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</si>
  <si>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</si>
  <si>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</si>
  <si>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</si>
  <si>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</si>
  <si>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</si>
  <si>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</si>
  <si>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</si>
  <si>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</si>
  <si>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</si>
  <si>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</si>
  <si>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</si>
  <si>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</si>
  <si>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</si>
  <si>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</si>
  <si>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</si>
  <si>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</si>
  <si>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</si>
  <si>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</si>
  <si>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</si>
  <si>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</si>
  <si>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</si>
  <si>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</si>
  <si>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</si>
  <si>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</si>
  <si>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</si>
  <si>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</si>
  <si>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</si>
  <si>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</si>
  <si>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</si>
  <si>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</si>
  <si>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</si>
  <si>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</si>
  <si>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</si>
  <si>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</si>
  <si>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</si>
  <si>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</si>
  <si>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</si>
  <si>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</si>
  <si>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</si>
  <si>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</si>
  <si>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</si>
  <si>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</si>
  <si>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</si>
  <si>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</si>
  <si>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</si>
  <si>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</si>
  <si>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</si>
  <si>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</si>
  <si>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</si>
  <si>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</si>
  <si>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</si>
  <si>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</si>
  <si>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</si>
  <si>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</si>
  <si>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</si>
  <si>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</si>
  <si>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</si>
  <si>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</si>
  <si>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</si>
  <si>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</si>
  <si>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</si>
  <si>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</si>
  <si>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</si>
  <si>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</si>
  <si>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</si>
  <si>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</si>
  <si>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</si>
  <si>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</si>
  <si>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</si>
  <si>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</si>
  <si>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</si>
  <si>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</si>
  <si>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</si>
  <si>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</si>
  <si>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</si>
  <si>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</si>
  <si>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</si>
  <si>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</si>
  <si>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</si>
  <si>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</si>
  <si>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</si>
  <si>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</si>
  <si>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</si>
  <si>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</si>
  <si>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</si>
  <si>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</si>
  <si>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</si>
  <si>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</si>
  <si>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</si>
  <si>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</si>
  <si>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</si>
  <si>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</si>
  <si>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</si>
  <si>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</si>
  <si>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</si>
  <si>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</si>
  <si>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</si>
  <si>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</si>
  <si>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</si>
  <si>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</si>
  <si>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</si>
  <si>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</si>
  <si>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</si>
  <si>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</si>
  <si>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</si>
  <si>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</si>
  <si>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</si>
  <si>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</si>
  <si>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</si>
  <si>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</si>
  <si>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</si>
  <si>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</si>
  <si>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</si>
  <si>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</si>
  <si>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</si>
  <si>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</si>
  <si>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</si>
  <si>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</si>
  <si>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</si>
  <si>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</si>
  <si>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</si>
  <si>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</si>
  <si>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</si>
  <si>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</si>
  <si>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</si>
  <si>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</si>
  <si>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</si>
  <si>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</si>
  <si>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</si>
  <si>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</si>
  <si>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</si>
  <si>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</si>
  <si>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</si>
  <si>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</si>
  <si>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</si>
  <si>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</si>
  <si>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</si>
  <si>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</si>
  <si>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</si>
  <si>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</si>
  <si>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</si>
  <si>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</si>
  <si>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</si>
  <si>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</si>
  <si>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</si>
  <si>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</si>
  <si>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</si>
  <si>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</si>
  <si>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</si>
  <si>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</si>
  <si>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</si>
  <si>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</si>
  <si>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</si>
  <si>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</si>
  <si>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</si>
  <si>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</si>
  <si>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</si>
  <si>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</si>
  <si>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</si>
  <si>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</si>
  <si>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</si>
  <si>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</si>
  <si>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</si>
  <si>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</si>
  <si>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</si>
  <si>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</si>
  <si>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</si>
  <si>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</si>
  <si>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</si>
  <si>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</si>
  <si>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</si>
  <si>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</si>
  <si>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</si>
  <si>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</si>
  <si>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</si>
  <si>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</si>
  <si>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</si>
  <si>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</si>
  <si>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</si>
  <si>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</si>
  <si>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</si>
  <si>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</si>
  <si>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</si>
  <si>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</si>
  <si>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</si>
  <si>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</si>
  <si>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</si>
  <si>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</si>
  <si>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</si>
  <si>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</si>
  <si>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</si>
  <si>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</si>
  <si>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</si>
  <si>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</si>
  <si>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</si>
  <si>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</si>
  <si>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</si>
  <si>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</si>
  <si>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</si>
  <si>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</si>
  <si>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</si>
  <si>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</si>
  <si>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</si>
  <si>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</si>
  <si>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</si>
  <si>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</si>
  <si>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</si>
  <si>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</si>
  <si>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</si>
  <si>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</si>
  <si>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</si>
  <si>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</si>
  <si>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</si>
  <si>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</si>
  <si>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</si>
  <si>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</si>
  <si>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</si>
  <si>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</si>
  <si>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</si>
  <si>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</si>
  <si>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</si>
  <si>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</si>
  <si>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</si>
  <si>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</si>
  <si>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</si>
  <si>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</si>
  <si>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</si>
  <si>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</si>
  <si>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</si>
  <si>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</si>
  <si>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</si>
  <si>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</si>
  <si>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</si>
  <si>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</si>
  <si>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</si>
  <si>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</si>
  <si>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</si>
  <si>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</si>
  <si>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</si>
  <si>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</si>
  <si>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</si>
  <si>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</si>
  <si>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</si>
  <si>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</si>
  <si>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</si>
  <si>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</si>
  <si>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</si>
  <si>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</si>
  <si>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</si>
  <si>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</si>
  <si>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</si>
  <si>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</si>
  <si>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</si>
  <si>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</si>
  <si>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</si>
  <si>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</si>
  <si>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</si>
  <si>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</si>
  <si>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</si>
  <si>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</si>
  <si>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</si>
  <si>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</si>
  <si>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</si>
  <si>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</si>
  <si>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</si>
  <si>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</si>
  <si>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</si>
  <si>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</si>
  <si>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</si>
  <si>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</si>
  <si>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</si>
  <si>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</si>
  <si>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</si>
  <si>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</si>
  <si>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</si>
  <si>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</si>
  <si>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</si>
  <si>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</si>
  <si>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</si>
  <si>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</si>
  <si>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</si>
  <si>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</si>
  <si>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</si>
  <si>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</si>
  <si>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</si>
  <si>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</si>
  <si>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</si>
  <si>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</si>
  <si>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</si>
  <si>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</si>
  <si>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</si>
  <si>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</si>
  <si>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</si>
  <si>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</si>
  <si>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</si>
  <si>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</si>
  <si>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</si>
  <si>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</si>
  <si>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</si>
  <si>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</si>
  <si>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</si>
  <si>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</si>
  <si>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</si>
  <si>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</si>
  <si>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</si>
  <si>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</si>
  <si>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</si>
  <si>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</si>
  <si>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</si>
  <si>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</si>
  <si>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</si>
  <si>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</si>
  <si>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</si>
  <si>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</si>
  <si>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</si>
  <si>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</si>
  <si>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</si>
  <si>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</si>
  <si>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</si>
  <si>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</si>
  <si>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</si>
  <si>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</si>
  <si>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</si>
  <si>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</si>
  <si>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</si>
  <si>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</si>
  <si>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</si>
  <si>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</si>
  <si>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</si>
  <si>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</si>
  <si>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</si>
  <si>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</si>
  <si>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</si>
  <si>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</si>
  <si>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</si>
  <si>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</si>
  <si>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</si>
  <si>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</si>
  <si>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</si>
  <si>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</si>
  <si>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</si>
  <si>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</si>
  <si>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</si>
  <si>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</si>
  <si>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</si>
  <si>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</si>
  <si>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</si>
  <si>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</si>
  <si>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</si>
  <si>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</si>
  <si>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</si>
  <si>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</si>
  <si>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</si>
  <si>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</si>
  <si>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</si>
  <si>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</si>
  <si>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</si>
  <si>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</si>
  <si>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</si>
  <si>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</si>
  <si>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</si>
  <si>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</si>
  <si>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</si>
  <si>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</si>
  <si>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</si>
  <si>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</si>
  <si>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</si>
  <si>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</si>
  <si>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</si>
  <si>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</si>
  <si>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</si>
  <si>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</si>
  <si>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</si>
  <si>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</si>
  <si>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</si>
  <si>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</si>
  <si>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</si>
  <si>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</si>
  <si>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</si>
  <si>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</si>
  <si>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</si>
  <si>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</si>
  <si>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</si>
  <si>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</si>
  <si>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</si>
  <si>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</si>
  <si>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</si>
  <si>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</si>
  <si>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</si>
  <si>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</si>
  <si>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</si>
  <si>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</si>
  <si>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</si>
  <si>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</si>
  <si>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</si>
  <si>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</si>
  <si>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</si>
  <si>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</si>
  <si>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</si>
  <si>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</si>
  <si>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</si>
  <si>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</si>
  <si>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</si>
  <si>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</si>
  <si>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</si>
  <si>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</si>
  <si>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</si>
  <si>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</si>
  <si>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</si>
  <si>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</si>
  <si>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</si>
  <si>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</si>
  <si>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</si>
  <si>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</si>
  <si>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</si>
  <si>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</si>
  <si>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</si>
  <si>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</si>
  <si>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</si>
  <si>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</si>
  <si>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</si>
  <si>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</si>
  <si>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</si>
  <si>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</si>
  <si>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</si>
  <si>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</si>
  <si>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</si>
  <si>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</si>
  <si>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</si>
  <si>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</si>
  <si>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</si>
  <si>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</si>
  <si>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</si>
  <si>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</si>
  <si>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</si>
  <si>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</si>
  <si>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</si>
  <si>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</si>
  <si>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</si>
  <si>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</si>
  <si>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</si>
  <si>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</si>
  <si>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</si>
  <si>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</si>
  <si>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</si>
  <si>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</si>
  <si>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</si>
  <si>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</si>
  <si>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</si>
  <si>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</si>
  <si>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</si>
  <si>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</si>
  <si>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</si>
  <si>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</si>
  <si>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</si>
  <si>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</si>
  <si>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</si>
  <si>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</si>
  <si>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</si>
  <si>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</si>
  <si>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</si>
  <si>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</si>
  <si>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</si>
  <si>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</si>
  <si>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</si>
  <si>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</si>
  <si>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</si>
  <si>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</si>
  <si>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</si>
  <si>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</si>
  <si>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</si>
  <si>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</si>
  <si>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</si>
  <si>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</si>
  <si>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</si>
  <si>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</si>
  <si>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</si>
  <si>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</si>
  <si>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</si>
  <si>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</si>
  <si>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</si>
  <si>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</si>
  <si>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</si>
  <si>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</si>
  <si>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</si>
  <si>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</si>
  <si>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</si>
  <si>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</si>
  <si>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</si>
  <si>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</si>
  <si>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</si>
  <si>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</si>
  <si>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</si>
  <si>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</si>
  <si>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</si>
  <si>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</si>
  <si>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</si>
  <si>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</si>
  <si>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</si>
  <si>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</si>
  <si>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</si>
  <si>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</si>
  <si>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</si>
  <si>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</si>
  <si>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</si>
  <si>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</si>
  <si>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</si>
  <si>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</si>
  <si>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</si>
  <si>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</si>
  <si>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</si>
  <si>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</si>
  <si>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</si>
  <si>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</si>
  <si>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</si>
  <si>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</si>
  <si>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</si>
  <si>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</si>
  <si>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</si>
  <si>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</si>
  <si>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</si>
  <si>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</si>
  <si>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</si>
  <si>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</si>
  <si>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</si>
  <si>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</si>
  <si>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</si>
  <si>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</si>
  <si>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</si>
  <si>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</si>
  <si>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</si>
  <si>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</si>
  <si>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</si>
  <si>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</si>
  <si>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</si>
  <si>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</si>
  <si>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</si>
  <si>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</si>
  <si>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</si>
  <si>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</si>
  <si>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</si>
  <si>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</si>
  <si>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</si>
  <si>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</si>
  <si>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</si>
  <si>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</si>
  <si>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</si>
  <si>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</si>
  <si>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</si>
  <si>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</si>
  <si>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</si>
  <si>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</si>
  <si>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</si>
  <si>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</si>
  <si>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</si>
  <si>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</si>
  <si>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</si>
  <si>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</si>
  <si>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</si>
  <si>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</si>
  <si>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</si>
  <si>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</si>
  <si>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</si>
  <si>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</si>
  <si>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</si>
  <si>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</si>
  <si>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</si>
  <si>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</si>
  <si>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</si>
  <si>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</si>
  <si>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</si>
  <si>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</si>
  <si>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</si>
  <si>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</si>
  <si>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</si>
  <si>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</si>
  <si>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</si>
  <si>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</si>
  <si>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</si>
  <si>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</si>
  <si>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</si>
  <si>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</si>
  <si>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</si>
  <si>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</si>
  <si>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</si>
  <si>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</si>
  <si>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</si>
  <si>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</si>
  <si>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</si>
  <si>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</si>
  <si>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</si>
  <si>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</si>
  <si>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</si>
  <si>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</si>
  <si>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</si>
  <si>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</si>
  <si>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</si>
  <si>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</si>
  <si>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</si>
  <si>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</si>
  <si>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</si>
  <si>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</si>
  <si>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</si>
  <si>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</si>
  <si>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</si>
  <si>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</si>
  <si>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</si>
  <si>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</si>
  <si>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</si>
  <si>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</si>
  <si>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</si>
  <si>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</si>
  <si>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</si>
  <si>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</si>
  <si>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</si>
  <si>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</si>
  <si>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</si>
  <si>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</si>
  <si>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</si>
  <si>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</si>
  <si>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</si>
  <si>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</si>
  <si>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</si>
  <si>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</si>
  <si>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</si>
  <si>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</si>
  <si>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</si>
  <si>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</si>
  <si>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</si>
  <si>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</si>
  <si>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</si>
  <si>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</si>
  <si>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</si>
  <si>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</si>
  <si>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</si>
  <si>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</si>
  <si>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</si>
  <si>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</si>
  <si>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</si>
  <si>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</si>
  <si>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</si>
  <si>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</si>
  <si>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</si>
  <si>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</si>
  <si>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</si>
  <si>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</si>
  <si>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</si>
  <si>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</si>
  <si>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</si>
  <si>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</si>
  <si>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</si>
  <si>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</si>
  <si>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</si>
  <si>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</si>
  <si>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</si>
  <si>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</si>
  <si>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</si>
  <si>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</si>
  <si>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</si>
  <si>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</si>
  <si>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</si>
  <si>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</si>
  <si>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</si>
  <si>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</si>
  <si>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</si>
  <si>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</si>
  <si>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</si>
  <si>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</si>
  <si>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</si>
  <si>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</si>
  <si>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</si>
  <si>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</si>
  <si>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</si>
  <si>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</si>
  <si>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</si>
  <si>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</si>
  <si>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</si>
  <si>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</si>
  <si>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</si>
  <si>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</si>
  <si>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</si>
  <si>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</si>
  <si>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</si>
  <si>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</si>
  <si>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</si>
  <si>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</si>
  <si>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</si>
  <si>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</si>
  <si>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</si>
  <si>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</si>
  <si>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</si>
  <si>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</si>
  <si>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</si>
  <si>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</si>
  <si>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</si>
  <si>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</si>
  <si>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</si>
  <si>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</si>
  <si>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</si>
  <si>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</si>
  <si>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</si>
  <si>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</si>
  <si>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</si>
  <si>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</si>
  <si>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</si>
  <si>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</si>
  <si>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</si>
  <si>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</si>
  <si>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</si>
  <si>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</si>
  <si>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</si>
  <si>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</si>
  <si>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</si>
  <si>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</si>
  <si>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</si>
  <si>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</si>
  <si>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</si>
  <si>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</si>
  <si>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</si>
  <si>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</si>
  <si>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</si>
  <si>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</si>
  <si>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</si>
  <si>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</si>
  <si>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</si>
  <si>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</si>
  <si>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</si>
  <si>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</si>
  <si>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</si>
  <si>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</si>
  <si>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</si>
  <si>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</si>
  <si>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</si>
  <si>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</si>
  <si>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</si>
  <si>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</si>
  <si>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</si>
  <si>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</si>
  <si>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</si>
  <si>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</si>
  <si>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</si>
  <si>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</si>
  <si>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</si>
  <si>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</si>
  <si>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</si>
  <si>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</si>
  <si>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</si>
  <si>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</si>
  <si>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</si>
  <si>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</si>
  <si>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</si>
  <si>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</si>
  <si>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</si>
  <si>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</si>
  <si>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</si>
  <si>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</si>
  <si>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</si>
  <si>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</si>
  <si>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</si>
  <si>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</si>
  <si>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</si>
  <si>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</si>
  <si>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</si>
  <si>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</si>
  <si>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</si>
  <si>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</si>
  <si>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</si>
  <si>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</si>
  <si>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</si>
  <si>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</si>
  <si>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</si>
  <si>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</si>
  <si>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</si>
  <si>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</si>
  <si>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</si>
  <si>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</si>
  <si>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</si>
  <si>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</si>
  <si>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</si>
  <si>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</si>
  <si>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</si>
  <si>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</si>
  <si>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</si>
  <si>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</si>
  <si>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</si>
  <si>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</si>
  <si>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</si>
  <si>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</si>
  <si>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</si>
  <si>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</si>
  <si>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</si>
  <si>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</si>
  <si>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</si>
  <si>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</si>
  <si>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</si>
  <si>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</si>
  <si>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</si>
  <si>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</si>
  <si>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</si>
  <si>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</si>
  <si>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</si>
  <si>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</si>
  <si>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</si>
  <si>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</si>
  <si>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</si>
  <si>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</si>
  <si>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</si>
  <si>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</si>
  <si>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</si>
  <si>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</si>
  <si>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</si>
  <si>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</si>
  <si>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</si>
  <si>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</si>
  <si>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</si>
  <si>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</si>
  <si>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</si>
  <si>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</si>
  <si>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</si>
  <si>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</si>
  <si>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</si>
  <si>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</si>
  <si>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</si>
  <si>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</si>
  <si>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</si>
  <si>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</si>
  <si>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</si>
  <si>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</si>
  <si>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</si>
  <si>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</si>
  <si>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</si>
  <si>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</si>
  <si>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</si>
  <si>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</si>
  <si>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</si>
  <si>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</si>
  <si>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</si>
  <si>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</si>
  <si>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</si>
  <si>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</si>
  <si>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</si>
  <si>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</si>
  <si>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</si>
  <si>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</si>
  <si>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</si>
  <si>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</si>
  <si>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</si>
  <si>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</si>
  <si>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</si>
  <si>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</si>
  <si>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</si>
  <si>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</si>
  <si>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</si>
  <si>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</si>
  <si>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</si>
  <si>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</si>
  <si>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</si>
  <si>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</si>
  <si>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</si>
  <si>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</si>
  <si>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</si>
  <si>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</si>
  <si>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</si>
  <si>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</si>
  <si>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</si>
  <si>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</si>
  <si>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</si>
  <si>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</si>
  <si>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</si>
  <si>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</si>
  <si>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</si>
  <si>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</si>
  <si>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</si>
  <si>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</si>
  <si>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</si>
  <si>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</si>
  <si>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</si>
  <si>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</si>
  <si>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</si>
  <si>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</si>
  <si>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</si>
  <si>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</si>
  <si>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</si>
  <si>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</si>
  <si>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</si>
  <si>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</si>
  <si>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</si>
  <si>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</si>
  <si>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</si>
  <si>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</si>
  <si>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</si>
  <si>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</si>
  <si>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</si>
  <si>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</si>
  <si>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</si>
  <si>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</si>
  <si>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</si>
  <si>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</si>
  <si>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</si>
  <si>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</si>
  <si>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</si>
  <si>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</si>
  <si>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</si>
  <si>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</si>
  <si>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</si>
  <si>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</si>
  <si>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</si>
  <si>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</si>
  <si>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</si>
  <si>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</si>
  <si>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</si>
  <si>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</si>
  <si>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</si>
  <si>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</si>
  <si>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</si>
  <si>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</si>
  <si>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</si>
  <si>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</si>
  <si>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</si>
  <si>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</si>
  <si>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</si>
  <si>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</si>
  <si>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</si>
  <si>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</si>
  <si>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</si>
  <si>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</si>
  <si>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</si>
  <si>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</si>
  <si>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</si>
  <si>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</si>
  <si>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</si>
  <si>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</si>
  <si>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</si>
  <si>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</si>
  <si>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</si>
  <si>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</si>
  <si>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</si>
  <si>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</si>
  <si>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</si>
  <si>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</si>
  <si>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</si>
  <si>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</si>
  <si>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</si>
  <si>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</si>
  <si>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</si>
  <si>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</si>
  <si>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</si>
  <si>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</si>
  <si>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</si>
  <si>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</si>
  <si>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</si>
  <si>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</si>
  <si>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</si>
  <si>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</si>
  <si>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</si>
  <si>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</si>
  <si>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</si>
  <si>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</si>
  <si>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</si>
  <si>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</si>
  <si>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</si>
  <si>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</si>
  <si>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</si>
  <si>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</si>
  <si>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</si>
  <si>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</si>
  <si>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</si>
  <si>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</si>
  <si>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</si>
  <si>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</si>
  <si>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</si>
  <si>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</si>
  <si>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</si>
  <si>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</si>
  <si>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</si>
  <si>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</si>
  <si>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</si>
  <si>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</si>
  <si>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</si>
  <si>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</si>
  <si>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</si>
  <si>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</si>
  <si>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</si>
  <si>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</si>
  <si>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</si>
  <si>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</si>
  <si>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</si>
  <si>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</si>
  <si>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</si>
  <si>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</si>
  <si>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</si>
  <si>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</si>
  <si>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</si>
  <si>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</si>
  <si>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</si>
  <si>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</si>
  <si>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</si>
  <si>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</si>
  <si>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</si>
  <si>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</si>
  <si>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</si>
  <si>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</si>
  <si>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</si>
  <si>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</si>
  <si>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</si>
  <si>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</si>
  <si>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</si>
  <si>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</si>
  <si>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</si>
  <si>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</si>
  <si>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</si>
  <si>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</si>
  <si>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</si>
  <si>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</si>
  <si>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</si>
  <si>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</si>
  <si>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</si>
  <si>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</si>
  <si>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</si>
  <si>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</si>
  <si>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</si>
  <si>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</si>
  <si>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</si>
  <si>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</si>
  <si>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</si>
  <si>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</si>
  <si>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</si>
  <si>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</si>
  <si>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</si>
  <si>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</si>
  <si>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</si>
  <si>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</si>
  <si>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</si>
  <si>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</si>
  <si>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</si>
  <si>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</si>
  <si>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</si>
  <si>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</si>
  <si>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</si>
  <si>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</si>
  <si>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</si>
  <si>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</si>
  <si>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</si>
  <si>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</si>
  <si>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</si>
  <si>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</si>
  <si>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</si>
  <si>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</si>
  <si>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</si>
  <si>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</si>
  <si>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</si>
  <si>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</si>
  <si>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</si>
  <si>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</si>
  <si>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</si>
  <si>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</si>
  <si>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</si>
  <si>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</si>
  <si>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</si>
  <si>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</si>
  <si>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</si>
  <si>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</si>
  <si>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</si>
  <si>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</si>
  <si>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</si>
  <si>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</si>
  <si>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</si>
  <si>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</si>
  <si>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</si>
  <si>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</si>
  <si>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</si>
  <si>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</si>
  <si>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</si>
  <si>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</si>
  <si>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</si>
  <si>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</si>
  <si>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</si>
  <si>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</si>
  <si>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</si>
  <si>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</si>
  <si>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</si>
  <si>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</si>
  <si>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</si>
  <si>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</si>
  <si>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</si>
  <si>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</si>
  <si>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</si>
  <si>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</si>
  <si>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</si>
  <si>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</si>
  <si>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</si>
  <si>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</si>
  <si>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</si>
  <si>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</si>
  <si>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</si>
  <si>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</si>
  <si>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</si>
  <si>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</si>
  <si>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</si>
  <si>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</si>
  <si>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</si>
  <si>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</si>
  <si>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</si>
  <si>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</si>
  <si>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</si>
  <si>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</si>
  <si>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</si>
  <si>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</si>
  <si>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</si>
  <si>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</si>
  <si>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</si>
  <si>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</si>
  <si>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</si>
  <si>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</si>
  <si>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</si>
  <si>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</si>
  <si>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</si>
  <si>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</si>
  <si>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</si>
  <si>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</si>
  <si>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</si>
  <si>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</si>
  <si>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</si>
  <si>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</si>
  <si>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</si>
  <si>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</si>
  <si>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</si>
  <si>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</si>
  <si>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</si>
  <si>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</si>
  <si>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</si>
  <si>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</si>
  <si>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</si>
  <si>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</si>
  <si>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</si>
  <si>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</si>
  <si>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</si>
  <si>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</si>
  <si>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</si>
  <si>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</si>
  <si>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</si>
  <si>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</si>
  <si>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</si>
  <si>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</si>
  <si>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</si>
  <si>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</si>
  <si>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</si>
  <si>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</si>
  <si>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</si>
  <si>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</si>
  <si>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</si>
  <si>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</si>
  <si>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</si>
  <si>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</si>
  <si>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</si>
  <si>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</si>
  <si>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</si>
  <si>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</si>
  <si>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</si>
  <si>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</si>
  <si>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</si>
  <si>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</si>
  <si>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</si>
  <si>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</si>
  <si>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</si>
  <si>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</si>
  <si>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</si>
  <si>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</si>
  <si>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</si>
  <si>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</si>
  <si>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</si>
  <si>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</si>
  <si>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</si>
  <si>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</si>
  <si>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</si>
  <si>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</si>
  <si>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</si>
  <si>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</si>
  <si>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</si>
  <si>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</si>
  <si>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</si>
  <si>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</si>
  <si>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</si>
  <si>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</si>
  <si>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</si>
  <si>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</si>
  <si>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</si>
  <si>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</si>
  <si>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</si>
  <si>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</si>
  <si>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</si>
  <si>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</si>
  <si>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</si>
  <si>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</si>
  <si>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</si>
  <si>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</si>
  <si>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</si>
  <si>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</si>
  <si>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</si>
  <si>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</si>
  <si>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</si>
  <si>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</si>
  <si>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</si>
  <si>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</si>
  <si>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</si>
  <si>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</si>
  <si>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</si>
  <si>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</si>
  <si>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</si>
  <si>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</si>
  <si>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</si>
  <si>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</si>
  <si>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</si>
  <si>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</si>
  <si>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</si>
  <si>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</si>
  <si>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</si>
  <si>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</si>
  <si>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</si>
  <si>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</si>
  <si>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</si>
  <si>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</si>
  <si>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</si>
  <si>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</si>
  <si>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</si>
  <si>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</si>
  <si>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</si>
  <si>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</si>
  <si>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</si>
  <si>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</si>
  <si>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</si>
  <si>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</si>
  <si>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</si>
  <si>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</si>
  <si>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</si>
  <si>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</si>
  <si>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</si>
  <si>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</si>
  <si>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</si>
  <si>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</si>
  <si>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</si>
  <si>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</si>
  <si>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</si>
  <si>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</si>
  <si>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</si>
  <si>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</si>
  <si>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</si>
  <si>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</si>
  <si>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</si>
  <si>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</si>
  <si>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</si>
  <si>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</si>
  <si>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</si>
  <si>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</si>
  <si>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</si>
  <si>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</si>
  <si>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</si>
  <si>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</si>
  <si>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</si>
  <si>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</si>
  <si>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</si>
  <si>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</si>
  <si>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</si>
  <si>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</si>
  <si>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</si>
  <si>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</si>
  <si>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</si>
  <si>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</si>
  <si>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</si>
  <si>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</si>
  <si>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</si>
  <si>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</si>
  <si>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</si>
  <si>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</si>
  <si>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</si>
  <si>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</si>
  <si>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</si>
  <si>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</si>
  <si>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</si>
  <si>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</si>
  <si>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</si>
  <si>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</si>
  <si>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</si>
  <si>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</si>
  <si>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</si>
  <si>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</si>
  <si>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</si>
  <si>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</si>
  <si>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</si>
  <si>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</si>
  <si>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</si>
  <si>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</si>
  <si>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</si>
  <si>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</si>
  <si>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</si>
  <si>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</si>
  <si>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</si>
  <si>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</si>
  <si>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</si>
  <si>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</si>
  <si>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</si>
  <si>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</si>
  <si>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</si>
  <si>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</si>
  <si>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</si>
  <si>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</si>
  <si>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</si>
  <si>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</si>
  <si>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</si>
  <si>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</si>
  <si>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</si>
  <si>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</si>
  <si>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</si>
  <si>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</si>
  <si>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</si>
  <si>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</si>
  <si>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</si>
  <si>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</si>
  <si>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</si>
  <si>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</si>
  <si>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</si>
  <si>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</si>
  <si>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</si>
  <si>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</si>
  <si>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</si>
  <si>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</si>
  <si>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</si>
  <si>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</si>
  <si>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</si>
  <si>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</si>
  <si>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</si>
  <si>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</si>
  <si>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</si>
  <si>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</si>
  <si>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</si>
  <si>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</si>
  <si>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</si>
  <si>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</si>
  <si>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</si>
  <si>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</si>
  <si>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</si>
  <si>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</si>
  <si>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</si>
  <si>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</si>
  <si>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</si>
  <si>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</si>
  <si>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</si>
  <si>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</si>
  <si>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</si>
  <si>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</si>
  <si>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</si>
  <si>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</si>
  <si>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</si>
  <si>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</si>
  <si>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</si>
  <si>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</si>
  <si>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</si>
  <si>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</si>
  <si>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</si>
  <si>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</si>
  <si>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</si>
  <si>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</si>
  <si>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</si>
  <si>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</si>
  <si>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</si>
  <si>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</si>
  <si>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</si>
  <si>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</si>
  <si>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</si>
  <si>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</si>
  <si>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</si>
  <si>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</si>
  <si>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</si>
  <si>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</si>
  <si>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</si>
  <si>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</si>
  <si>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</si>
  <si>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</si>
  <si>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</si>
  <si>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</si>
  <si>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</si>
  <si>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</si>
  <si>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</si>
  <si>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</si>
  <si>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</si>
  <si>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</si>
  <si>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</si>
  <si>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</si>
  <si>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</si>
  <si>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</si>
  <si>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</si>
  <si>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</si>
  <si>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</si>
  <si>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</si>
  <si>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</si>
  <si>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</si>
  <si>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</si>
  <si>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</si>
  <si>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</si>
  <si>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</si>
  <si>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</si>
  <si>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</si>
  <si>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</si>
  <si>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</si>
  <si>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</si>
  <si>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</si>
  <si>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</si>
  <si>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</si>
  <si>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</si>
  <si>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</si>
  <si>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</si>
  <si>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</si>
  <si>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</si>
  <si>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</si>
  <si>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</si>
  <si>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</si>
  <si>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</si>
  <si>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</si>
  <si>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</si>
  <si>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</si>
  <si>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</si>
  <si>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</si>
  <si>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</si>
  <si>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</si>
  <si>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</si>
  <si>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</si>
  <si>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</si>
  <si>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</si>
  <si>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</si>
  <si>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</si>
  <si>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</si>
  <si>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</si>
  <si>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</si>
  <si>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</si>
  <si>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</si>
  <si>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</si>
  <si>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</si>
  <si>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</si>
  <si>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</si>
  <si>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</si>
  <si>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</si>
  <si>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</si>
  <si>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</si>
  <si>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</si>
  <si>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</si>
  <si>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</si>
  <si>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</si>
  <si>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</si>
  <si>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</si>
  <si>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</si>
  <si>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</si>
  <si>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</si>
  <si>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</si>
  <si>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</si>
  <si>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</si>
  <si>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</si>
  <si>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</si>
  <si>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</si>
  <si>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</si>
  <si>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</si>
  <si>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</si>
  <si>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</si>
  <si>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</si>
  <si>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</si>
  <si>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</si>
  <si>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</si>
  <si>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</si>
  <si>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</si>
  <si>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</si>
  <si>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</si>
  <si>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</si>
  <si>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</si>
  <si>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</si>
  <si>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</si>
  <si>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</si>
  <si>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</si>
  <si>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</si>
  <si>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</si>
  <si>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</si>
  <si>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</si>
  <si>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</si>
  <si>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</si>
  <si>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</si>
  <si>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</si>
  <si>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</si>
  <si>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</si>
  <si>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</si>
  <si>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</si>
  <si>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</si>
  <si>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</si>
  <si>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</si>
  <si>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</si>
  <si>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</si>
  <si>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</si>
  <si>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</si>
  <si>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</si>
  <si>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</si>
  <si>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</si>
  <si>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</si>
  <si>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</si>
  <si>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</si>
  <si>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</si>
  <si>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</si>
  <si>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</si>
  <si>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</si>
  <si>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</si>
  <si>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</si>
  <si>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</si>
  <si>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</si>
  <si>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</si>
  <si>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</si>
  <si>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</si>
  <si>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</si>
  <si>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</si>
  <si>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</si>
  <si>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</si>
  <si>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</si>
  <si>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</si>
  <si>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</si>
  <si>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</si>
  <si>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</si>
  <si>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</si>
  <si>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</si>
  <si>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</si>
  <si>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</si>
  <si>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</si>
  <si>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</si>
  <si>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</si>
  <si>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</si>
  <si>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</si>
  <si>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</si>
  <si>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</si>
  <si>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</si>
  <si>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</si>
  <si>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</si>
  <si>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</si>
  <si>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</si>
  <si>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</si>
  <si>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</si>
  <si>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</si>
  <si>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</si>
  <si>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</si>
  <si>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</si>
  <si>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</si>
  <si>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</si>
  <si>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</si>
  <si>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</si>
  <si>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</si>
  <si>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</si>
  <si>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</si>
  <si>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</si>
  <si>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</si>
  <si>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</si>
  <si>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</si>
  <si>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</si>
  <si>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</si>
  <si>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</si>
  <si>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</si>
  <si>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</si>
  <si>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</si>
  <si>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</si>
  <si>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</si>
  <si>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</si>
  <si>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</si>
  <si>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</si>
  <si>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</si>
  <si>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</si>
  <si>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</si>
  <si>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</si>
  <si>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</si>
  <si>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</si>
  <si>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</si>
  <si>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</si>
  <si>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</si>
  <si>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</si>
  <si>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</si>
  <si>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</si>
  <si>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</si>
  <si>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</si>
  <si>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</si>
  <si>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</si>
  <si>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</si>
  <si>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</si>
  <si>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</si>
  <si>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</si>
  <si>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</si>
  <si>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</si>
  <si>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</si>
  <si>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</si>
  <si>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</si>
  <si>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</si>
  <si>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</si>
  <si>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</si>
  <si>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</si>
  <si>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</si>
  <si>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</si>
  <si>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</si>
  <si>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</si>
  <si>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</si>
  <si>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</si>
  <si>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</si>
  <si>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</si>
  <si>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</si>
  <si>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</si>
  <si>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</si>
  <si>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</si>
  <si>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</si>
  <si>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</si>
  <si>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</si>
  <si>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</si>
  <si>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</si>
  <si>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</si>
  <si>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</si>
  <si>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</si>
  <si>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</si>
  <si>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</si>
  <si>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</si>
  <si>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</si>
  <si>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</si>
  <si>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</si>
  <si>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</si>
  <si>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</si>
  <si>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</si>
  <si>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</si>
  <si>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</si>
  <si>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</si>
  <si>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</si>
  <si>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</si>
  <si>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</si>
  <si>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</si>
  <si>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</si>
  <si>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</si>
  <si>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</si>
  <si>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</si>
  <si>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</si>
  <si>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</si>
  <si>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</si>
  <si>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</si>
  <si>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</si>
  <si>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</si>
  <si>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</si>
  <si>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</si>
  <si>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</si>
  <si>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</si>
  <si>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</si>
  <si>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</si>
  <si>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</si>
  <si>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</si>
  <si>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</si>
  <si>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</si>
  <si>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</si>
  <si>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</si>
  <si>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</si>
  <si>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</si>
  <si>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</si>
  <si>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</si>
  <si>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</si>
  <si>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</si>
  <si>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</si>
  <si>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</si>
  <si>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</si>
  <si>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</si>
  <si>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</si>
  <si>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</si>
  <si>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</si>
  <si>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</si>
  <si>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</si>
  <si>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</si>
  <si>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</si>
  <si>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</si>
  <si>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</si>
  <si>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</si>
  <si>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</si>
  <si>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</si>
  <si>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</si>
  <si>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</si>
  <si>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</si>
  <si>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</si>
  <si>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</si>
  <si>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</si>
  <si>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</si>
  <si>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</si>
  <si>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</si>
  <si>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</si>
  <si>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</si>
  <si>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</si>
  <si>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</si>
  <si>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</si>
  <si>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</si>
  <si>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</si>
  <si>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</si>
  <si>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</si>
  <si>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</si>
  <si>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</si>
  <si>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</si>
  <si>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</si>
  <si>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</si>
  <si>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</si>
  <si>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</si>
  <si>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</si>
  <si>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</si>
  <si>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</si>
  <si>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</si>
  <si>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</si>
  <si>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</si>
  <si>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</si>
  <si>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</si>
  <si>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</si>
  <si>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</si>
  <si>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</si>
  <si>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</si>
  <si>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</si>
  <si>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</si>
  <si>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</si>
  <si>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</si>
  <si>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</si>
  <si>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</si>
  <si>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</si>
  <si>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</si>
  <si>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</si>
  <si>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</si>
  <si>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</si>
  <si>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</si>
  <si>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</si>
  <si>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</si>
  <si>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</si>
  <si>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</si>
  <si>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</si>
  <si>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</si>
  <si>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</si>
  <si>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</si>
  <si>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</si>
  <si>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</si>
  <si>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</si>
  <si>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</si>
  <si>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</si>
  <si>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</si>
  <si>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</si>
  <si>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</si>
  <si>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</si>
  <si>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</si>
  <si>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</si>
  <si>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</si>
  <si>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</si>
  <si>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</si>
  <si>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</si>
  <si>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</si>
  <si>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</si>
  <si>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</si>
  <si>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</si>
  <si>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</si>
  <si>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</si>
  <si>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</si>
  <si>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</si>
  <si>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</si>
  <si>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</si>
  <si>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</si>
  <si>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</si>
  <si>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</si>
  <si>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</si>
  <si>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</si>
  <si>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</si>
  <si>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</si>
  <si>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</si>
  <si>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</si>
  <si>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</si>
  <si>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</si>
  <si>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</si>
  <si>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</si>
  <si>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</si>
  <si>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</si>
  <si>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</si>
  <si>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</si>
  <si>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</si>
  <si>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</si>
  <si>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</si>
  <si>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</si>
  <si>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</si>
  <si>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</si>
  <si>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</si>
  <si>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</si>
  <si>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</si>
  <si>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</si>
  <si>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</si>
  <si>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</si>
  <si>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</si>
  <si>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</si>
  <si>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</si>
  <si>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</si>
  <si>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</si>
  <si>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</si>
  <si>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</si>
  <si>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</si>
  <si>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</si>
  <si>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</si>
  <si>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</si>
  <si>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</si>
  <si>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</si>
  <si>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</si>
  <si>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</si>
  <si>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</si>
  <si>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</si>
  <si>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</si>
  <si>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</si>
  <si>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</si>
  <si>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</si>
  <si>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</si>
  <si>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</si>
  <si>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</si>
  <si>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</si>
  <si>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</si>
  <si>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</si>
  <si>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</si>
  <si>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</si>
  <si>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</si>
  <si>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</si>
  <si>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</si>
  <si>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</si>
  <si>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</si>
  <si>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</si>
  <si>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</si>
  <si>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</si>
  <si>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</si>
  <si>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</si>
  <si>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</si>
  <si>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</si>
  <si>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</si>
  <si>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</si>
  <si>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</si>
  <si>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</si>
  <si>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</si>
  <si>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</si>
  <si>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</si>
  <si>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</si>
  <si>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</si>
  <si>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</si>
  <si>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</si>
  <si>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</si>
  <si>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</si>
  <si>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</si>
  <si>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</si>
  <si>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</si>
  <si>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</si>
  <si>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</si>
  <si>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</si>
  <si>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</si>
  <si>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</si>
  <si>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</si>
  <si>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</si>
  <si>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</si>
  <si>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</si>
  <si>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</si>
  <si>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</si>
  <si>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</si>
  <si>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</si>
  <si>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</si>
  <si>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</si>
  <si>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</si>
  <si>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</si>
  <si>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</si>
  <si>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</si>
  <si>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</si>
  <si>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</si>
  <si>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</si>
  <si>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</si>
  <si>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</si>
  <si>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</si>
  <si>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</si>
  <si>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</si>
  <si>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</si>
  <si>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</si>
  <si>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</si>
  <si>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</si>
  <si>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</si>
  <si>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</si>
  <si>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</si>
  <si>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</si>
  <si>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</si>
  <si>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</si>
  <si>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</si>
  <si>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</si>
  <si>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</si>
  <si>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</si>
  <si>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</si>
  <si>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</si>
  <si>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</si>
  <si>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</si>
  <si>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</si>
  <si>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</si>
  <si>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</si>
  <si>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</si>
  <si>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</si>
  <si>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</si>
  <si>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</si>
  <si>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</si>
  <si>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</si>
  <si>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</si>
  <si>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</si>
  <si>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</si>
  <si>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</si>
  <si>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</si>
  <si>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</si>
  <si>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</si>
  <si>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</si>
  <si>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</si>
  <si>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</si>
  <si>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</si>
  <si>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</si>
  <si>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</si>
  <si>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</si>
  <si>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</si>
  <si>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</si>
  <si>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</si>
  <si>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</si>
  <si>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</si>
  <si>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</si>
  <si>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</si>
  <si>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</si>
  <si>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</si>
  <si>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</si>
  <si>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</si>
  <si>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</si>
  <si>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</si>
  <si>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</si>
  <si>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</si>
  <si>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</si>
  <si>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</si>
  <si>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</si>
  <si>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</si>
  <si>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</si>
  <si>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</si>
  <si>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</si>
  <si>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</si>
  <si>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</si>
  <si>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</si>
  <si>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</si>
  <si>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</si>
  <si>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</si>
  <si>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</si>
  <si>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</si>
  <si>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</si>
  <si>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</si>
  <si>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</si>
  <si>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</si>
  <si>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</si>
  <si>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</si>
  <si>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</si>
  <si>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</si>
  <si>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</si>
  <si>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</si>
  <si>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</si>
  <si>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</si>
  <si>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</si>
  <si>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</si>
  <si>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</si>
  <si>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</si>
  <si>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</si>
  <si>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</si>
  <si>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</si>
  <si>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</si>
  <si>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</si>
  <si>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</si>
  <si>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</si>
  <si>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</si>
  <si>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</si>
  <si>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</si>
  <si>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</si>
  <si>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</si>
  <si>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</si>
  <si>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</si>
  <si>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</si>
  <si>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</si>
  <si>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</si>
  <si>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</si>
  <si>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</si>
  <si>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</si>
  <si>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</si>
  <si>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</si>
  <si>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</si>
  <si>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</si>
  <si>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</si>
  <si>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</si>
  <si>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</si>
  <si>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</si>
  <si>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</si>
  <si>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</si>
  <si>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</si>
  <si>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</si>
  <si>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</si>
  <si>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</si>
  <si>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</si>
  <si>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</si>
  <si>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</si>
  <si>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</si>
  <si>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</si>
  <si>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</si>
  <si>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</si>
  <si>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</si>
  <si>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</si>
  <si>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</si>
  <si>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</si>
  <si>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</si>
  <si>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</si>
  <si>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</si>
  <si>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</si>
  <si>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</si>
  <si>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</si>
  <si>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</si>
  <si>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</si>
  <si>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</si>
  <si>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</si>
  <si>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</si>
  <si>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</si>
  <si>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</si>
  <si>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</si>
  <si>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</si>
  <si>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</si>
  <si>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</si>
  <si>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</si>
  <si>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</si>
  <si>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</si>
  <si>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</si>
  <si>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</si>
  <si>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</si>
  <si>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</si>
  <si>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</si>
  <si>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</si>
  <si>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</si>
  <si>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</si>
  <si>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</si>
  <si>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</si>
  <si>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</si>
  <si>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</si>
  <si>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</si>
  <si>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</si>
  <si>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</si>
  <si>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</si>
  <si>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</si>
  <si>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</si>
  <si>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</si>
  <si>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</si>
  <si>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</si>
  <si>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</si>
  <si>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</si>
  <si>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</si>
  <si>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</si>
  <si>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</si>
  <si>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</si>
  <si>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</si>
  <si>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</si>
  <si>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</si>
  <si>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</si>
  <si>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</si>
  <si>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</si>
  <si>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</si>
  <si>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</si>
  <si>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</si>
  <si>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</si>
  <si>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</si>
  <si>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</si>
  <si>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</si>
  <si>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</si>
  <si>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</si>
  <si>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</si>
  <si>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</si>
  <si>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</si>
  <si>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</si>
  <si>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</si>
  <si>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</si>
  <si>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</si>
  <si>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</si>
  <si>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</si>
  <si>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</si>
  <si>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</si>
  <si>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</si>
  <si>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</si>
  <si>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</si>
  <si>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</si>
  <si>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</si>
  <si>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</si>
  <si>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</si>
  <si>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</si>
  <si>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</si>
  <si>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</si>
  <si>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</si>
  <si>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</si>
  <si>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</si>
  <si>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</si>
  <si>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</si>
  <si>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</si>
  <si>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</si>
  <si>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</si>
  <si>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</si>
  <si>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</si>
  <si>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</si>
  <si>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</si>
  <si>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</si>
  <si>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</si>
  <si>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</si>
  <si>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</si>
  <si>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</si>
  <si>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</si>
  <si>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</si>
  <si>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</si>
  <si>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</si>
  <si>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</si>
  <si>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</si>
  <si>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</si>
  <si>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</si>
  <si>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</si>
  <si>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</si>
  <si>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</si>
  <si>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</si>
  <si>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</si>
  <si>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</si>
  <si>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</si>
  <si>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</si>
  <si>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</si>
  <si>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</si>
  <si>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</si>
  <si>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</si>
  <si>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</si>
  <si>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</si>
  <si>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</si>
  <si>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</si>
  <si>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</si>
  <si>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</si>
  <si>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</si>
  <si>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</si>
  <si>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</si>
  <si>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</si>
  <si>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</si>
  <si>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</si>
  <si>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</si>
  <si>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</si>
  <si>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</si>
  <si>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</si>
  <si>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</si>
  <si>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</si>
  <si>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</si>
  <si>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</si>
  <si>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</si>
  <si>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</si>
  <si>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</si>
  <si>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</si>
  <si>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</si>
  <si>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</si>
  <si>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</si>
  <si>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</si>
  <si>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</si>
  <si>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</si>
  <si>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</si>
  <si>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</si>
  <si>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</si>
  <si>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</si>
  <si>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</si>
  <si>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</si>
  <si>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</si>
  <si>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</si>
  <si>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</si>
  <si>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</si>
  <si>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</si>
  <si>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</si>
  <si>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</si>
  <si>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</si>
  <si>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</si>
  <si>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</si>
  <si>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</si>
  <si>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</si>
  <si>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</si>
  <si>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</si>
  <si>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</si>
  <si>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</si>
  <si>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</si>
  <si>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</si>
  <si>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</si>
  <si>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</si>
  <si>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</si>
  <si>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</si>
  <si>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</si>
  <si>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</si>
  <si>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</si>
  <si>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</si>
  <si>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</si>
  <si>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</si>
  <si>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</si>
  <si>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</si>
  <si>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</si>
  <si>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</si>
  <si>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</si>
  <si>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</si>
  <si>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</si>
  <si>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</si>
  <si>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</si>
  <si>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</si>
  <si>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</si>
  <si>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</si>
  <si>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</si>
  <si>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</si>
  <si>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</si>
  <si>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</si>
  <si>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</si>
  <si>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</si>
  <si>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</si>
  <si>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</si>
  <si>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</si>
  <si>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</si>
  <si>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</si>
  <si>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</si>
  <si>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</si>
  <si>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</si>
  <si>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</si>
  <si>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</si>
  <si>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</si>
  <si>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</si>
  <si>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</si>
  <si>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</si>
  <si>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</si>
  <si>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</si>
  <si>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</si>
  <si>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</si>
  <si>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</si>
  <si>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</si>
  <si>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</si>
  <si>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</si>
  <si>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</si>
  <si>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</si>
  <si>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</si>
  <si>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</si>
  <si>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</si>
  <si>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</si>
  <si>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</si>
  <si>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</si>
  <si>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</si>
  <si>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</si>
  <si>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</si>
  <si>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</si>
  <si>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</si>
  <si>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</si>
  <si>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</si>
  <si>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</si>
  <si>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</si>
  <si>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</si>
  <si>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</si>
  <si>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</si>
  <si>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</si>
  <si>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</si>
  <si>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</si>
  <si>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</si>
  <si>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</si>
  <si>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</si>
  <si>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</si>
  <si>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</si>
  <si>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</si>
  <si>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</si>
  <si>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</si>
  <si>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</si>
  <si>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</si>
  <si>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</si>
  <si>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</si>
  <si>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</si>
  <si>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</si>
  <si>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</si>
  <si>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</si>
  <si>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</si>
  <si>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</si>
  <si>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</si>
  <si>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</si>
  <si>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</si>
  <si>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</si>
  <si>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</si>
  <si>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</si>
  <si>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</si>
  <si>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</si>
  <si>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</si>
  <si>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</si>
  <si>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</si>
  <si>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</si>
  <si>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</si>
  <si>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</si>
  <si>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</si>
  <si>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</si>
  <si>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</si>
  <si>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</si>
  <si>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</si>
  <si>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</si>
  <si>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</si>
  <si>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</si>
  <si>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</si>
  <si>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</si>
  <si>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</si>
  <si>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</si>
  <si>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</si>
  <si>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</si>
  <si>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</si>
  <si>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</si>
  <si>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</si>
  <si>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</si>
  <si>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</si>
  <si>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</si>
  <si>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</si>
  <si>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</si>
  <si>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</si>
  <si>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</si>
  <si>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</si>
  <si>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</si>
  <si>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</si>
  <si>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</si>
  <si>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</si>
  <si>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</si>
  <si>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</si>
  <si>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</si>
  <si>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</si>
  <si>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</si>
  <si>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</si>
  <si>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</si>
  <si>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</si>
  <si>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</si>
  <si>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</si>
  <si>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</si>
  <si>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</si>
  <si>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</si>
  <si>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</si>
  <si>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</si>
  <si>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</si>
  <si>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</si>
  <si>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</si>
  <si>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</si>
  <si>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</si>
  <si>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</si>
  <si>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</si>
  <si>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</si>
  <si>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</si>
  <si>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</si>
  <si>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</si>
  <si>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</si>
  <si>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</si>
  <si>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</si>
  <si>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</si>
  <si>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</si>
  <si>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</si>
  <si>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</si>
  <si>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</si>
  <si>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</si>
  <si>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</si>
  <si>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</si>
  <si>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</si>
  <si>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</si>
  <si>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</si>
  <si>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</si>
  <si>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</si>
  <si>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</si>
  <si>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</si>
  <si>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</si>
  <si>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</si>
  <si>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</si>
  <si>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</si>
  <si>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</si>
  <si>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</si>
  <si>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</si>
  <si>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</si>
  <si>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</si>
  <si>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</si>
  <si>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</si>
  <si>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</si>
  <si>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</si>
  <si>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</si>
  <si>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</si>
  <si>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</si>
  <si>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</si>
  <si>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</si>
  <si>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</si>
  <si>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</si>
  <si>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</si>
  <si>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</si>
  <si>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</si>
  <si>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</si>
  <si>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</si>
  <si>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</si>
  <si>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</si>
  <si>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</si>
  <si>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</si>
  <si>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</si>
  <si>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</si>
  <si>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</si>
  <si>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</si>
  <si>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</si>
  <si>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</si>
  <si>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</si>
  <si>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</si>
  <si>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</si>
  <si>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</si>
  <si>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</si>
  <si>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</si>
  <si>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</si>
  <si>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</si>
  <si>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</si>
  <si>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</si>
  <si>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</si>
  <si>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</si>
  <si>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</si>
  <si>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</si>
  <si>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</si>
  <si>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</si>
  <si>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</si>
  <si>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</si>
  <si>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</si>
  <si>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</si>
  <si>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</si>
  <si>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</si>
  <si>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</si>
  <si>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</si>
  <si>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</si>
  <si>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</si>
  <si>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</si>
  <si>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</si>
  <si>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</si>
  <si>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</si>
  <si>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</si>
  <si>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</si>
  <si>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</si>
  <si>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</si>
  <si>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</si>
  <si>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</si>
  <si>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</si>
  <si>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</si>
  <si>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</si>
  <si>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</si>
  <si>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</si>
  <si>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</si>
  <si>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</si>
  <si>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</si>
  <si>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</si>
  <si>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</si>
  <si>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</si>
  <si>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</si>
  <si>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</si>
  <si>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</si>
  <si>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</si>
  <si>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</si>
  <si>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</si>
  <si>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</si>
  <si>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</si>
  <si>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</si>
  <si>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</si>
  <si>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</si>
  <si>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</si>
  <si>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</si>
  <si>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</si>
  <si>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</si>
  <si>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</si>
  <si>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</si>
  <si>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</si>
  <si>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</si>
  <si>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</si>
  <si>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</si>
  <si>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</si>
  <si>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</si>
  <si>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</si>
  <si>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</si>
  <si>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</si>
  <si>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</si>
  <si>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</si>
  <si>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</si>
  <si>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</si>
  <si>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</si>
  <si>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</si>
  <si>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</si>
  <si>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</si>
  <si>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</si>
  <si>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</si>
  <si>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</si>
  <si>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</si>
  <si>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</si>
  <si>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</si>
  <si>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</si>
  <si>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</si>
  <si>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</si>
  <si>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</si>
  <si>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</si>
  <si>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</si>
  <si>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</si>
  <si>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</si>
  <si>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</si>
  <si>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</si>
  <si>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</si>
  <si>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</si>
  <si>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</si>
  <si>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</si>
  <si>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</si>
  <si>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</si>
  <si>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</si>
  <si>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</si>
  <si>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</si>
  <si>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</si>
  <si>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</si>
  <si>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</si>
  <si>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</si>
  <si>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</si>
  <si>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</si>
  <si>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</si>
  <si>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</si>
  <si>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</si>
  <si>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</si>
  <si>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</si>
  <si>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</si>
  <si>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</si>
  <si>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</si>
  <si>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</si>
  <si>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</si>
  <si>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</si>
  <si>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</si>
  <si>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</si>
  <si>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</si>
  <si>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</si>
  <si>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</si>
  <si>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</si>
  <si>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</si>
  <si>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</si>
  <si>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</si>
  <si>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</si>
  <si>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</si>
  <si>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</si>
  <si>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</si>
  <si>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</si>
  <si>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</si>
  <si>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</si>
  <si>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</si>
  <si>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</si>
  <si>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</si>
  <si>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</si>
  <si>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</si>
  <si>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</si>
  <si>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</si>
  <si>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</si>
  <si>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</si>
  <si>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</si>
  <si>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</si>
  <si>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</si>
  <si>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</si>
  <si>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</si>
  <si>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</si>
  <si>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</si>
  <si>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</si>
  <si>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</si>
  <si>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</si>
  <si>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</si>
  <si>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</si>
  <si>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</si>
  <si>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</si>
  <si>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</si>
  <si>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</si>
  <si>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</si>
  <si>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</si>
  <si>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</si>
  <si>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</si>
  <si>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</si>
  <si>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</si>
  <si>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</si>
  <si>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</si>
  <si>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</si>
  <si>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</si>
  <si>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</si>
  <si>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</si>
  <si>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</si>
  <si>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</si>
  <si>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</si>
  <si>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</si>
  <si>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</si>
  <si>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</si>
  <si>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</si>
  <si>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</si>
  <si>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</si>
  <si>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</si>
  <si>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</si>
  <si>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</si>
  <si>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</si>
  <si>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</si>
  <si>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</si>
  <si>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</si>
  <si>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</si>
  <si>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</si>
  <si>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</si>
  <si>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</si>
  <si>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</si>
  <si>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</si>
  <si>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</si>
  <si>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</si>
  <si>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</si>
  <si>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</si>
  <si>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</si>
  <si>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</si>
  <si>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</si>
  <si>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</si>
  <si>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</si>
  <si>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</si>
  <si>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</si>
  <si>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</si>
  <si>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</si>
  <si>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</si>
  <si>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</si>
  <si>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</si>
  <si>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</si>
  <si>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</si>
  <si>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</si>
  <si>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</si>
  <si>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</si>
  <si>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</si>
  <si>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</si>
  <si>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</si>
  <si>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</si>
  <si>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</si>
  <si>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</si>
  <si>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</si>
  <si>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</si>
  <si>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</si>
  <si>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</si>
  <si>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</si>
  <si>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</si>
  <si>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</si>
  <si>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</si>
  <si>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</si>
  <si>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</si>
  <si>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</si>
  <si>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</si>
  <si>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</si>
  <si>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</si>
  <si>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</si>
  <si>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</si>
  <si>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</si>
  <si>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</si>
  <si>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</si>
  <si>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</si>
  <si>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</si>
  <si>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</si>
  <si>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</si>
  <si>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</si>
  <si>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</si>
  <si>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</si>
  <si>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</si>
  <si>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</si>
  <si>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</si>
  <si>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</si>
  <si>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</si>
  <si>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</si>
  <si>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</si>
  <si>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</si>
  <si>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</si>
  <si>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</si>
  <si>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</si>
  <si>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</si>
  <si>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</si>
  <si>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</si>
  <si>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</si>
  <si>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</si>
  <si>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</si>
  <si>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</si>
  <si>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</si>
  <si>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</si>
  <si>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</si>
  <si>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</si>
  <si>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</si>
  <si>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</si>
  <si>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</si>
  <si>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</si>
  <si>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</si>
  <si>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</si>
  <si>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</si>
  <si>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</si>
  <si>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</si>
  <si>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</si>
  <si>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</si>
  <si>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</si>
  <si>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</si>
  <si>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</si>
  <si>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</si>
  <si>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</si>
  <si>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</si>
  <si>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</si>
  <si>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</si>
  <si>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</si>
  <si>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</si>
  <si>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</si>
  <si>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</si>
  <si>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</si>
  <si>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</si>
  <si>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</si>
  <si>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</si>
  <si>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</si>
  <si>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</si>
  <si>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</si>
  <si>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</si>
  <si>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</si>
  <si>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</si>
  <si>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</si>
  <si>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</si>
  <si>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</si>
  <si>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</si>
  <si>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</si>
  <si>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</si>
  <si>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</si>
  <si>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</si>
  <si>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</si>
  <si>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</si>
  <si>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</si>
  <si>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</si>
  <si>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</si>
  <si>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</si>
  <si>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</si>
  <si>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</si>
  <si>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</si>
  <si>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</si>
  <si>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</si>
  <si>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</si>
  <si>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</si>
  <si>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</si>
  <si>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</si>
  <si>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</si>
  <si>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</si>
  <si>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</si>
  <si>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</si>
  <si>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</si>
  <si>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</si>
  <si>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</si>
  <si>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</si>
  <si>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</si>
  <si>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</si>
  <si>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</si>
  <si>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</si>
  <si>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</si>
  <si>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</si>
  <si>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</si>
  <si>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</si>
  <si>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</si>
  <si>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</si>
  <si>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</si>
  <si>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</si>
  <si>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</si>
  <si>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</si>
  <si>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</si>
  <si>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</si>
  <si>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</si>
  <si>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</si>
  <si>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</si>
  <si>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</si>
  <si>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</si>
  <si>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</si>
  <si>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</si>
  <si>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</si>
  <si>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</si>
  <si>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</si>
  <si>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</si>
  <si>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</si>
  <si>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</si>
  <si>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</si>
  <si>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</si>
  <si>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</si>
  <si>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</si>
  <si>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</si>
  <si>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</si>
  <si>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</si>
  <si>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</si>
  <si>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</si>
  <si>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</si>
  <si>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</si>
  <si>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</si>
  <si>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</si>
  <si>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</si>
  <si>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</si>
  <si>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</si>
  <si>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</si>
  <si>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</si>
  <si>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</si>
  <si>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</si>
  <si>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</si>
  <si>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</si>
  <si>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</si>
  <si>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</si>
  <si>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</si>
  <si>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</si>
  <si>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</si>
  <si>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</si>
  <si>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</si>
  <si>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</si>
  <si>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</si>
  <si>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</si>
  <si>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</si>
  <si>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</si>
  <si>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</si>
  <si>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</si>
  <si>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</si>
  <si>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</si>
  <si>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</si>
  <si>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</si>
  <si>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</si>
  <si>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</si>
  <si>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</si>
  <si>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</si>
  <si>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</si>
  <si>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</si>
  <si>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</si>
  <si>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</si>
  <si>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</si>
  <si>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</si>
  <si>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</si>
  <si>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</si>
  <si>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</si>
  <si>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</si>
  <si>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</si>
  <si>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</si>
  <si>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</si>
  <si>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</si>
  <si>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</si>
  <si>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</si>
  <si>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</si>
  <si>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</si>
  <si>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</si>
  <si>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</si>
  <si>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</si>
  <si>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</si>
  <si>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</si>
  <si>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</si>
  <si>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</si>
  <si>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</si>
  <si>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</si>
  <si>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</si>
  <si>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</si>
  <si>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</si>
  <si>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</si>
  <si>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</si>
  <si>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</si>
  <si>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</si>
  <si>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</si>
  <si>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</si>
  <si>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</si>
  <si>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</si>
  <si>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</si>
  <si>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</si>
  <si>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</si>
  <si>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</si>
  <si>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</si>
  <si>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</si>
  <si>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</si>
  <si>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</si>
  <si>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</si>
  <si>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</si>
  <si>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</si>
  <si>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</si>
  <si>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</si>
  <si>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</si>
  <si>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</si>
  <si>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</si>
  <si>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</si>
  <si>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</si>
  <si>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</si>
  <si>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</si>
  <si>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</si>
  <si>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</si>
  <si>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</si>
  <si>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</si>
  <si>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</si>
  <si>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</si>
  <si>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</si>
  <si>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</si>
  <si>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</si>
  <si>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</si>
  <si>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</si>
  <si>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</si>
  <si>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</si>
  <si>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</si>
  <si>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</si>
  <si>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</si>
  <si>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</si>
  <si>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</si>
  <si>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</si>
  <si>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</si>
  <si>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</si>
  <si>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</si>
  <si>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</si>
  <si>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</si>
  <si>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</si>
  <si>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</si>
  <si>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</si>
  <si>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</si>
  <si>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</si>
  <si>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</si>
  <si>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</si>
  <si>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</si>
  <si>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</si>
  <si>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</si>
  <si>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</si>
  <si>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</si>
  <si>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</si>
  <si>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</si>
  <si>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</si>
  <si>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</si>
  <si>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</si>
  <si>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</si>
  <si>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</si>
  <si>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</si>
  <si>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</si>
  <si>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</si>
  <si>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</si>
  <si>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</si>
  <si>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</si>
  <si>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</si>
  <si>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</si>
  <si>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</si>
  <si>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</si>
  <si>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</si>
  <si>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</si>
  <si>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</si>
  <si>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</si>
  <si>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</si>
  <si>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</si>
  <si>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</si>
  <si>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</si>
  <si>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</si>
  <si>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</si>
  <si>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</si>
  <si>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</si>
  <si>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</si>
  <si>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</si>
  <si>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</si>
  <si>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</si>
  <si>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</si>
  <si>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</si>
  <si>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</si>
  <si>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</si>
  <si>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</si>
  <si>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</si>
  <si>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</si>
  <si>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</si>
  <si>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</si>
  <si>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</si>
  <si>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</si>
  <si>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</si>
  <si>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</si>
  <si>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</si>
  <si>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</si>
  <si>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</si>
  <si>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</si>
  <si>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</si>
  <si>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</si>
  <si>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</si>
  <si>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</si>
  <si>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</si>
  <si>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</si>
  <si>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</si>
  <si>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</si>
  <si>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</si>
  <si>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</si>
  <si>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</si>
  <si>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</si>
  <si>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</si>
  <si>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</si>
  <si>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</si>
  <si>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</si>
  <si>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</si>
  <si>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</si>
  <si>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</si>
  <si>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</si>
  <si>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</si>
  <si>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</si>
  <si>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</si>
  <si>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</si>
  <si>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</si>
  <si>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</si>
  <si>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</si>
  <si>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</si>
  <si>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</si>
  <si>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</si>
  <si>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</si>
  <si>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</si>
  <si>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</si>
  <si>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</si>
  <si>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</si>
  <si>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</si>
  <si>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</si>
  <si>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</si>
  <si>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</si>
  <si>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</si>
  <si>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</si>
  <si>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</si>
  <si>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</si>
  <si>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</si>
  <si>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</si>
  <si>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</si>
  <si>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</si>
  <si>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</si>
  <si>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</si>
  <si>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</si>
  <si>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</si>
  <si>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</si>
  <si>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</si>
  <si>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</si>
  <si>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</si>
  <si>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</si>
  <si>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</si>
  <si>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</si>
  <si>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</si>
  <si>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</si>
  <si>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</si>
  <si>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</si>
  <si>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</si>
  <si>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</si>
  <si>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</si>
  <si>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</si>
  <si>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</si>
  <si>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</si>
  <si>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</si>
  <si>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</si>
  <si>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</si>
  <si>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</si>
  <si>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</si>
  <si>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</si>
  <si>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</si>
  <si>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</si>
  <si>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</si>
  <si>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</si>
  <si>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</si>
  <si>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</si>
  <si>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</si>
  <si>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</si>
  <si>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</si>
  <si>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</si>
  <si>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</si>
  <si>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</si>
  <si>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</si>
  <si>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</si>
  <si>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</si>
  <si>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</si>
  <si>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</si>
  <si>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</si>
  <si>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</si>
  <si>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</si>
  <si>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</si>
  <si>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</si>
  <si>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</si>
  <si>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</si>
  <si>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</si>
  <si>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</si>
  <si>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</si>
  <si>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</si>
  <si>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</si>
  <si>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</si>
  <si>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</si>
  <si>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</si>
  <si>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</si>
  <si>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</si>
  <si>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</si>
  <si>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</si>
  <si>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</si>
  <si>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</si>
  <si>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</si>
  <si>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</si>
  <si>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</si>
  <si>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</si>
  <si>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</si>
  <si>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</si>
  <si>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</si>
  <si>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</si>
  <si>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</si>
  <si>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</si>
  <si>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</si>
  <si>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</si>
  <si>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</si>
  <si>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</si>
  <si>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</si>
  <si>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</si>
  <si>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</si>
  <si>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</si>
  <si>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</si>
  <si>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</si>
  <si>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</si>
  <si>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</si>
  <si>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</si>
  <si>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</si>
  <si>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</si>
  <si>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</si>
  <si>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</si>
  <si>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</si>
  <si>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</si>
  <si>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</si>
  <si>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</si>
  <si>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</si>
  <si>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</si>
  <si>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</si>
  <si>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</si>
  <si>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</si>
  <si>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</si>
  <si>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</si>
  <si>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</si>
  <si>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</si>
  <si>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</si>
  <si>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</si>
  <si>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</si>
  <si>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</si>
  <si>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</si>
  <si>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</si>
  <si>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</si>
  <si>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</si>
  <si>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</si>
  <si>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</si>
  <si>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</si>
  <si>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</si>
  <si>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</si>
  <si>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</si>
  <si>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</si>
  <si>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</si>
  <si>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</si>
  <si>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</si>
  <si>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</si>
  <si>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</si>
  <si>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</si>
  <si>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</si>
  <si>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</si>
  <si>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</si>
  <si>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</si>
  <si>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</si>
  <si>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</si>
  <si>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</si>
  <si>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</si>
  <si>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</si>
  <si>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</si>
  <si>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</si>
  <si>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</si>
  <si>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</si>
  <si>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</si>
  <si>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</si>
  <si>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</si>
  <si>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</si>
  <si>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</si>
  <si>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</si>
  <si>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</si>
  <si>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</si>
  <si>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</si>
  <si>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</si>
  <si>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</si>
  <si>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</si>
  <si>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</si>
  <si>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</si>
  <si>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</si>
  <si>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</si>
  <si>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</si>
  <si>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</si>
  <si>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</si>
  <si>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</si>
  <si>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</si>
  <si>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</si>
  <si>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</si>
  <si>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</si>
  <si>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</si>
  <si>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</si>
  <si>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</si>
  <si>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</si>
  <si>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</si>
  <si>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</si>
  <si>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</si>
  <si>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</si>
  <si>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</si>
  <si>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</si>
  <si>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</si>
  <si>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</si>
  <si>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</si>
  <si>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</si>
  <si>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</si>
  <si>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</si>
  <si>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</si>
  <si>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</si>
  <si>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</si>
  <si>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</si>
  <si>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</si>
  <si>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</si>
  <si>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</si>
  <si>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</si>
  <si>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</si>
  <si>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</si>
  <si>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</si>
  <si>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</si>
  <si>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</si>
  <si>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</si>
  <si>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</si>
  <si>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</si>
  <si>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</si>
  <si>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</si>
  <si>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</si>
  <si>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</si>
  <si>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</si>
  <si>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</si>
  <si>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</si>
  <si>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</si>
  <si>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</si>
  <si>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</si>
  <si>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</si>
  <si>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</si>
  <si>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</si>
  <si>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</si>
  <si>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</si>
  <si>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</si>
  <si>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</si>
  <si>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</si>
  <si>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</si>
  <si>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</si>
  <si>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</si>
  <si>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</si>
  <si>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</si>
  <si>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</si>
  <si>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</si>
  <si>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</si>
  <si>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</si>
  <si>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</si>
  <si>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</si>
  <si>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</si>
  <si>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</si>
  <si>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</si>
  <si>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</si>
  <si>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</si>
  <si>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</si>
  <si>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</si>
  <si>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</si>
  <si>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</si>
  <si>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</si>
  <si>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</si>
  <si>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</si>
  <si>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</si>
  <si>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</si>
  <si>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</si>
  <si>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</si>
  <si>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</si>
  <si>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</si>
  <si>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</si>
  <si>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</si>
  <si>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</si>
  <si>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</si>
  <si>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</si>
  <si>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</si>
  <si>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</si>
  <si>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</si>
  <si>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</si>
  <si>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</si>
  <si>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</si>
  <si>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</si>
  <si>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</si>
  <si>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</si>
  <si>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</si>
  <si>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</si>
  <si>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</si>
  <si>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</si>
  <si>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</si>
  <si>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</si>
  <si>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</si>
  <si>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</si>
  <si>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</si>
  <si>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</si>
  <si>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</si>
  <si>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</si>
  <si>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</si>
  <si>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</si>
  <si>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</si>
  <si>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</si>
  <si>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</si>
  <si>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</si>
  <si>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</si>
  <si>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</si>
  <si>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</si>
  <si>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</si>
  <si>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</si>
  <si>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</si>
  <si>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</si>
  <si>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</si>
  <si>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</si>
  <si>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</si>
  <si>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</si>
  <si>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</si>
  <si>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</si>
  <si>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</si>
  <si>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</si>
  <si>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</si>
  <si>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</si>
  <si>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</si>
  <si>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</si>
  <si>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</si>
  <si>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</si>
  <si>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</si>
  <si>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</si>
  <si>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</si>
  <si>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</si>
  <si>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</si>
  <si>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</si>
  <si>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</si>
  <si>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</si>
  <si>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</si>
  <si>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</si>
  <si>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</si>
  <si>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</si>
  <si>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</si>
  <si>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</si>
  <si>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</si>
  <si>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</si>
  <si>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</si>
  <si>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</si>
  <si>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</si>
  <si>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</si>
  <si>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</si>
  <si>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</si>
  <si>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</si>
  <si>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</si>
  <si>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</si>
  <si>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</si>
  <si>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</si>
  <si>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</si>
  <si>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</si>
  <si>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</si>
  <si>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</si>
  <si>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</si>
  <si>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</si>
  <si>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</si>
  <si>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</si>
  <si>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</si>
  <si>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</si>
  <si>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</si>
  <si>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</si>
  <si>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</si>
  <si>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</si>
  <si>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</si>
  <si>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</si>
  <si>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</si>
  <si>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</si>
  <si>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</si>
  <si>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</si>
  <si>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</si>
  <si>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</si>
  <si>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</si>
  <si>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</si>
  <si>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</si>
  <si>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</si>
  <si>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</si>
  <si>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</si>
  <si>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</si>
  <si>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</si>
  <si>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</si>
  <si>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</si>
  <si>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</si>
  <si>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</si>
  <si>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</si>
  <si>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</si>
  <si>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</si>
  <si>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</si>
  <si>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</si>
  <si>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</si>
  <si>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</si>
  <si>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</si>
  <si>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</si>
  <si>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</si>
  <si>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</si>
  <si>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</si>
  <si>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</si>
  <si>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</si>
  <si>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</si>
  <si>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</si>
  <si>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</si>
  <si>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</si>
  <si>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</si>
  <si>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</si>
  <si>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</si>
  <si>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</si>
  <si>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</si>
  <si>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</si>
  <si>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</si>
  <si>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</si>
  <si>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</si>
  <si>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</si>
  <si>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</si>
  <si>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</si>
  <si>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</si>
  <si>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</si>
  <si>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</si>
  <si>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</si>
  <si>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</si>
  <si>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</si>
  <si>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</si>
  <si>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</si>
  <si>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</si>
  <si>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</si>
  <si>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</si>
  <si>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</si>
  <si>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</si>
  <si>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</si>
  <si>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</si>
  <si>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</si>
  <si>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</si>
  <si>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</si>
  <si>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</si>
  <si>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</si>
  <si>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</si>
  <si>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</si>
  <si>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</si>
  <si>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</si>
  <si>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</si>
  <si>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</si>
  <si>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</si>
  <si>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</si>
  <si>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</si>
  <si>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</si>
  <si>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</si>
  <si>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</si>
  <si>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</si>
  <si>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</si>
  <si>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</si>
  <si>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</si>
  <si>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</si>
  <si>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</si>
  <si>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</si>
  <si>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</si>
  <si>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</si>
  <si>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</si>
  <si>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</si>
  <si>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</si>
  <si>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</si>
  <si>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</si>
  <si>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</si>
  <si>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</si>
  <si>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</si>
  <si>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</si>
  <si>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</si>
  <si>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</si>
  <si>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</si>
  <si>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</si>
  <si>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</si>
  <si>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</si>
  <si>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</si>
  <si>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</si>
  <si>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</si>
  <si>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</si>
  <si>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</si>
  <si>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</si>
  <si>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</si>
  <si>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</si>
  <si>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</si>
  <si>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</si>
  <si>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</si>
  <si>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</si>
  <si>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</si>
  <si>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</si>
  <si>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</si>
  <si>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</si>
  <si>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</si>
  <si>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</si>
  <si>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</si>
  <si>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</si>
  <si>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</si>
  <si>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</si>
  <si>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</si>
  <si>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</si>
  <si>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</si>
  <si>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</si>
  <si>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</si>
  <si>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</si>
  <si>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</si>
  <si>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</si>
  <si>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</si>
  <si>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</si>
  <si>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</si>
  <si>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</si>
  <si>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</si>
  <si>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</si>
  <si>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</si>
  <si>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</si>
  <si>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</si>
  <si>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</si>
  <si>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</si>
  <si>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</si>
  <si>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</si>
  <si>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</si>
  <si>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</si>
  <si>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</si>
  <si>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</si>
  <si>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</si>
  <si>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</si>
  <si>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</si>
  <si>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</si>
  <si>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</si>
  <si>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</si>
  <si>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</si>
  <si>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</si>
  <si>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</si>
  <si>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</si>
  <si>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</si>
  <si>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</si>
  <si>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</si>
  <si>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</si>
  <si>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</si>
  <si>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</si>
  <si>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</si>
  <si>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</si>
  <si>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</si>
  <si>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</si>
  <si>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</si>
  <si>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</si>
  <si>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</si>
  <si>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</si>
  <si>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</si>
  <si>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</si>
  <si>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</si>
  <si>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</si>
  <si>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</si>
  <si>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</si>
  <si>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</si>
  <si>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</si>
  <si>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</si>
  <si>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</si>
  <si>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</si>
  <si>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</si>
  <si>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</si>
  <si>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</si>
  <si>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</si>
  <si>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</si>
  <si>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</si>
  <si>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</si>
  <si>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</si>
  <si>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</si>
  <si>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</si>
  <si>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</si>
  <si>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</si>
  <si>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</si>
  <si>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</si>
  <si>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</si>
  <si>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</si>
  <si>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</si>
  <si>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</si>
  <si>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</si>
  <si>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</si>
  <si>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</si>
  <si>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</si>
  <si>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</si>
  <si>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</si>
  <si>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</si>
  <si>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</si>
  <si>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</si>
  <si>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</si>
  <si>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</si>
  <si>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</si>
  <si>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</si>
  <si>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</si>
  <si>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</si>
  <si>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</si>
  <si>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</si>
  <si>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</si>
  <si>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</si>
  <si>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</si>
  <si>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</si>
  <si>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</si>
  <si>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</si>
  <si>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</si>
  <si>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</si>
  <si>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</si>
  <si>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</si>
  <si>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</si>
  <si>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</si>
  <si>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</si>
  <si>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</si>
  <si>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</si>
  <si>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</si>
  <si>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</si>
  <si>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</si>
  <si>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</si>
  <si>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</si>
  <si>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</si>
  <si>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</si>
  <si>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</si>
  <si>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</si>
  <si>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</si>
  <si>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</si>
  <si>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</si>
  <si>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</si>
  <si>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</si>
  <si>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</si>
  <si>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</si>
  <si>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</si>
  <si>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</si>
  <si>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</si>
  <si>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</si>
  <si>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</si>
  <si>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</si>
  <si>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</si>
  <si>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</si>
  <si>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</si>
  <si>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</si>
  <si>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</si>
  <si>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</si>
  <si>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</si>
  <si>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</si>
  <si>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</si>
  <si>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</si>
  <si>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</si>
  <si>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</si>
  <si>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</si>
  <si>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</si>
  <si>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</si>
  <si>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</si>
  <si>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</si>
  <si>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</si>
  <si>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</si>
  <si>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</si>
  <si>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</si>
  <si>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</si>
  <si>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</si>
  <si>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</si>
  <si>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</si>
  <si>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</si>
  <si>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</si>
  <si>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</si>
  <si>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</si>
  <si>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</si>
  <si>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</si>
  <si>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</si>
  <si>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</si>
  <si>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</si>
  <si>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</si>
  <si>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</si>
  <si>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</si>
  <si>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</si>
  <si>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</si>
  <si>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</si>
  <si>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</si>
  <si>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</si>
  <si>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</si>
  <si>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</si>
  <si>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</si>
  <si>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</si>
  <si>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</si>
  <si>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</si>
  <si>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</si>
  <si>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</si>
  <si>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</si>
  <si>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</si>
  <si>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</si>
  <si>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</si>
  <si>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</si>
  <si>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</si>
  <si>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</si>
  <si>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</si>
  <si>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</si>
  <si>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</si>
  <si>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</si>
  <si>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</si>
  <si>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</si>
  <si>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</si>
  <si>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</si>
  <si>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</si>
  <si>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</si>
  <si>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</si>
  <si>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</si>
  <si>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</si>
  <si>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</si>
  <si>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</si>
  <si>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</si>
  <si>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</si>
  <si>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</si>
  <si>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</si>
  <si>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</si>
  <si>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</si>
  <si>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</si>
  <si>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</si>
  <si>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</si>
  <si>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</si>
  <si>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</si>
  <si>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</si>
  <si>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</si>
  <si>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</si>
  <si>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</si>
  <si>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</si>
  <si>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</si>
  <si>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</si>
  <si>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</si>
  <si>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</si>
  <si>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</si>
  <si>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</si>
  <si>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</si>
  <si>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</si>
  <si>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</si>
  <si>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</si>
  <si>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</si>
  <si>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</si>
  <si>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</si>
  <si>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</si>
  <si>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</si>
  <si>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</si>
  <si>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</si>
  <si>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</si>
  <si>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</si>
  <si>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</si>
  <si>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</si>
  <si>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</si>
  <si>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</si>
  <si>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</si>
  <si>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</si>
  <si>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</si>
  <si>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</si>
  <si>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</si>
  <si>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</si>
  <si>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</si>
  <si>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</si>
  <si>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</si>
  <si>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</si>
  <si>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</si>
  <si>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</si>
  <si>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</si>
  <si>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</si>
  <si>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</si>
  <si>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</si>
  <si>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</si>
  <si>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</si>
  <si>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</si>
  <si>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</si>
  <si>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</si>
  <si>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</si>
  <si>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</si>
  <si>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</si>
  <si>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</si>
  <si>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</si>
  <si>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</si>
  <si>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</si>
  <si>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</si>
  <si>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</si>
  <si>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</si>
  <si>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</si>
  <si>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</si>
  <si>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</si>
  <si>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</si>
  <si>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</si>
  <si>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</si>
  <si>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</si>
  <si>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</si>
  <si>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</si>
  <si>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</si>
  <si>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</si>
  <si>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</si>
  <si>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</si>
  <si>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</si>
  <si>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</si>
  <si>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</si>
  <si>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</si>
  <si>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</si>
  <si>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</si>
  <si>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</si>
  <si>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</si>
  <si>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</si>
  <si>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</si>
  <si>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</si>
  <si>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</si>
  <si>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</si>
  <si>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</si>
  <si>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</si>
  <si>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</si>
  <si>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</si>
  <si>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</si>
  <si>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</si>
  <si>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</si>
  <si>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</si>
  <si>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</si>
  <si>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</si>
  <si>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</si>
  <si>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</si>
  <si>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</si>
  <si>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</si>
  <si>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</si>
  <si>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</si>
  <si>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</si>
  <si>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</si>
  <si>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</si>
  <si>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</si>
  <si>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</si>
  <si>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</si>
  <si>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</si>
  <si>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</si>
  <si>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</si>
  <si>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</si>
  <si>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</si>
  <si>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</si>
  <si>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</si>
  <si>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</si>
  <si>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</si>
  <si>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</si>
  <si>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</si>
  <si>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</si>
  <si>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</si>
  <si>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</si>
  <si>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</si>
  <si>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</si>
  <si>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</si>
  <si>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</si>
  <si>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</si>
  <si>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</si>
  <si>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</si>
  <si>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</si>
  <si>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</si>
  <si>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</si>
  <si>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</si>
  <si>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</si>
  <si>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</si>
  <si>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</si>
  <si>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</si>
  <si>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</si>
  <si>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</si>
  <si>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</si>
  <si>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</si>
  <si>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</si>
  <si>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</si>
  <si>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</si>
  <si>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</si>
  <si>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</si>
  <si>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</si>
  <si>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</si>
  <si>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</si>
  <si>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</si>
  <si>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</si>
  <si>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</si>
  <si>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</si>
  <si>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</si>
  <si>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</si>
  <si>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</si>
  <si>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</si>
  <si>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</si>
  <si>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</si>
  <si>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</si>
  <si>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</si>
  <si>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</si>
  <si>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</si>
  <si>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</si>
  <si>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</si>
  <si>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</si>
  <si>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</si>
  <si>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</si>
  <si>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</si>
  <si>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</si>
  <si>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</si>
  <si>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</si>
  <si>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</si>
  <si>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</si>
  <si>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</si>
  <si>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</si>
  <si>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</si>
  <si>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</si>
  <si>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</si>
  <si>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</si>
  <si>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</si>
  <si>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</si>
  <si>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</si>
  <si>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</si>
  <si>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</si>
  <si>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</si>
  <si>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</si>
  <si>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</si>
  <si>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</si>
  <si>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</si>
  <si>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</si>
  <si>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</si>
  <si>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</si>
  <si>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</si>
  <si>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</si>
  <si>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</si>
  <si>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</si>
  <si>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</si>
  <si>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</si>
  <si>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</si>
  <si>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</si>
  <si>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</si>
  <si>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</si>
  <si>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</si>
  <si>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</si>
  <si>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</si>
  <si>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</si>
  <si>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</si>
  <si>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</si>
  <si>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</si>
  <si>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</si>
  <si>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</si>
  <si>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</si>
  <si>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</si>
  <si>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</si>
  <si>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</si>
  <si>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</si>
  <si>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</si>
  <si>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</si>
  <si>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</si>
  <si>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</si>
  <si>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</si>
  <si>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</si>
  <si>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</si>
  <si>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</si>
  <si>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</si>
  <si>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</si>
  <si>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</si>
  <si>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</si>
  <si>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</si>
  <si>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</si>
  <si>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</si>
  <si>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</si>
  <si>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</si>
  <si>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</si>
  <si>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</si>
  <si>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</si>
  <si>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</si>
  <si>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</si>
  <si>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</si>
  <si>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</si>
  <si>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</si>
  <si>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</si>
  <si>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</si>
  <si>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</si>
  <si>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</si>
  <si>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</si>
  <si>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</si>
  <si>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</si>
  <si>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</si>
  <si>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</si>
  <si>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</si>
  <si>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</si>
  <si>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</si>
  <si>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</si>
  <si>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</si>
  <si>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</si>
  <si>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</si>
  <si>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</si>
  <si>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</si>
  <si>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</si>
  <si>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</si>
  <si>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</si>
  <si>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</si>
  <si>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</si>
  <si>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</si>
  <si>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</si>
  <si>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</si>
  <si>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</si>
  <si>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</si>
  <si>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</si>
  <si>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</si>
  <si>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</si>
  <si>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</si>
  <si>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</si>
  <si>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</si>
  <si>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</si>
  <si>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</si>
  <si>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</si>
  <si>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</si>
  <si>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</si>
  <si>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</si>
  <si>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</si>
  <si>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</si>
  <si>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</si>
  <si>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</si>
  <si>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</si>
  <si>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</si>
  <si>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</si>
  <si>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</si>
  <si>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</si>
  <si>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</si>
  <si>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</si>
  <si>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</si>
  <si>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</si>
  <si>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</si>
  <si>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</si>
  <si>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</si>
  <si>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</si>
  <si>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</si>
  <si>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</si>
  <si>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</si>
  <si>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</si>
  <si>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</si>
  <si>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</si>
  <si>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</si>
  <si>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</si>
  <si>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</si>
  <si>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</si>
  <si>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</si>
  <si>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</si>
  <si>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</si>
  <si>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</si>
  <si>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</si>
  <si>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</si>
  <si>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</si>
  <si>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</si>
  <si>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</si>
  <si>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</si>
  <si>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</si>
  <si>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</si>
  <si>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</si>
  <si>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</si>
  <si>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</si>
  <si>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</si>
  <si>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</si>
  <si>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</si>
  <si>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</si>
  <si>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</si>
  <si>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</si>
  <si>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</si>
  <si>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</si>
  <si>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</si>
  <si>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</si>
  <si>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</si>
  <si>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</si>
  <si>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</si>
  <si>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</si>
  <si>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</si>
  <si>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</si>
  <si>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</si>
  <si>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</si>
  <si>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</si>
  <si>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</si>
  <si>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</si>
  <si>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</si>
  <si>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</si>
  <si>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</si>
  <si>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</si>
  <si>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</si>
  <si>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</si>
  <si>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</si>
  <si>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</si>
  <si>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</si>
  <si>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</si>
  <si>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</si>
  <si>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</si>
  <si>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</si>
  <si>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</si>
  <si>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</si>
  <si>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</si>
  <si>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</si>
  <si>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</si>
  <si>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</si>
  <si>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</si>
  <si>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</si>
  <si>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</si>
  <si>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</si>
  <si>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</si>
  <si>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</si>
  <si>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</si>
  <si>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</si>
  <si>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</si>
  <si>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</si>
  <si>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</si>
  <si>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</si>
  <si>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</si>
  <si>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</si>
  <si>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</si>
  <si>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</si>
  <si>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</si>
  <si>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</si>
  <si>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</si>
  <si>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</si>
  <si>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</si>
  <si>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</si>
  <si>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</si>
  <si>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</si>
  <si>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</si>
  <si>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</si>
  <si>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</si>
  <si>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</si>
  <si>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</si>
  <si>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</si>
  <si>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</si>
  <si>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</si>
  <si>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</si>
  <si>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</si>
  <si>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</si>
  <si>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</si>
  <si>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</si>
  <si>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</si>
  <si>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</si>
  <si>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</si>
  <si>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</si>
  <si>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</si>
  <si>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</si>
  <si>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</si>
  <si>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</si>
  <si>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</si>
  <si>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</si>
  <si>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</si>
  <si>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</si>
  <si>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</si>
  <si>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</si>
  <si>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</si>
  <si>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</si>
  <si>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</si>
  <si>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</si>
  <si>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</si>
  <si>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</si>
  <si>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</si>
  <si>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</si>
  <si>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</si>
  <si>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</si>
  <si>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</si>
  <si>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</si>
  <si>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</si>
  <si>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</si>
  <si>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</si>
  <si>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</si>
  <si>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</si>
  <si>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</si>
  <si>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</si>
  <si>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</si>
  <si>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</si>
  <si>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</si>
  <si>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</si>
  <si>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</si>
  <si>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</si>
  <si>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</si>
  <si>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</si>
  <si>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</si>
  <si>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</si>
  <si>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</si>
  <si>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</si>
  <si>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</si>
  <si>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</si>
  <si>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</si>
  <si>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</si>
  <si>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</si>
  <si>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</si>
  <si>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</si>
  <si>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</si>
  <si>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</si>
  <si>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</si>
  <si>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</si>
  <si>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</si>
  <si>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</si>
  <si>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</si>
  <si>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</si>
  <si>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</si>
  <si>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</si>
  <si>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</si>
  <si>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</si>
  <si>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</si>
  <si>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</si>
  <si>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</si>
  <si>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</si>
  <si>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</si>
  <si>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</si>
  <si>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</si>
  <si>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</si>
  <si>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</si>
  <si>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</si>
  <si>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</si>
  <si>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</si>
  <si>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</si>
  <si>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</si>
  <si>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</si>
  <si>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</si>
  <si>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</si>
  <si>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</si>
  <si>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</si>
  <si>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</si>
  <si>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</si>
  <si>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</si>
  <si>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</si>
  <si>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</si>
  <si>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</si>
  <si>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</si>
  <si>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</si>
  <si>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</si>
  <si>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</si>
  <si>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</si>
  <si>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</si>
  <si>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</si>
  <si>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</si>
  <si>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</si>
  <si>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</si>
  <si>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</si>
  <si>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</si>
  <si>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</si>
  <si>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</si>
  <si>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</si>
  <si>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</si>
  <si>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</si>
  <si>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</si>
  <si>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</si>
  <si>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</si>
  <si>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</si>
  <si>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</si>
  <si>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</si>
  <si>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</si>
  <si>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</si>
  <si>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</si>
  <si>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</si>
  <si>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</si>
  <si>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</si>
  <si>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</si>
  <si>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</si>
  <si>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</si>
  <si>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</si>
  <si>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</si>
  <si>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</si>
  <si>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</si>
  <si>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</si>
  <si>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</si>
  <si>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</si>
  <si>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</si>
  <si>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</si>
  <si>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</si>
  <si>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</si>
  <si>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</si>
  <si>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</si>
  <si>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</si>
  <si>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</si>
  <si>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</si>
  <si>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</si>
  <si>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</si>
  <si>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</si>
  <si>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</si>
  <si>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</si>
  <si>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</si>
  <si>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</si>
  <si>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</si>
  <si>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</si>
  <si>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</si>
  <si>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</si>
  <si>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</si>
  <si>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</si>
  <si>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</si>
  <si>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</si>
  <si>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</si>
  <si>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</si>
  <si>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</si>
  <si>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</si>
  <si>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</si>
  <si>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</si>
  <si>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</si>
  <si>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</si>
  <si>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</si>
  <si>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</si>
  <si>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</si>
  <si>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</si>
  <si>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</si>
  <si>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</si>
  <si>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</si>
  <si>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</si>
  <si>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</si>
  <si>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</si>
  <si>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</si>
  <si>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</si>
  <si>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</si>
  <si>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</si>
  <si>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</si>
  <si>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</si>
  <si>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</si>
  <si>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</si>
  <si>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</si>
  <si>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</si>
  <si>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</si>
  <si>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</si>
  <si>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</si>
  <si>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</si>
  <si>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</si>
  <si>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</si>
  <si>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</si>
  <si>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</si>
  <si>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</si>
  <si>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</si>
  <si>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</si>
  <si>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</si>
  <si>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</si>
  <si>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</si>
  <si>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</si>
  <si>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</si>
  <si>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</si>
  <si>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</si>
  <si>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</si>
  <si>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</si>
  <si>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</si>
  <si>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</si>
  <si>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</si>
  <si>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</si>
  <si>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</si>
  <si>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</si>
  <si>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</si>
  <si>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</si>
  <si>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</si>
  <si>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</si>
  <si>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</si>
  <si>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</si>
  <si>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</si>
  <si>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</si>
  <si>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</si>
  <si>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</si>
  <si>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</si>
  <si>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</si>
  <si>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</si>
  <si>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</si>
  <si>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</si>
  <si>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</si>
  <si>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</si>
  <si>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</si>
  <si>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</si>
  <si>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</si>
  <si>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</si>
  <si>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</si>
  <si>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</si>
  <si>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</si>
  <si>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</si>
  <si>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</si>
  <si>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</si>
  <si>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</si>
  <si>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</si>
  <si>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</si>
  <si>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</si>
  <si>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</si>
  <si>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</si>
  <si>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</si>
  <si>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</si>
  <si>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</si>
  <si>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</si>
  <si>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</si>
  <si>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</si>
  <si>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</si>
  <si>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</si>
  <si>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</si>
  <si>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</si>
  <si>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</si>
  <si>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</si>
  <si>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</si>
  <si>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</si>
  <si>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</si>
  <si>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</si>
  <si>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</si>
  <si>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</si>
  <si>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</si>
  <si>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</si>
  <si>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</si>
  <si>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</si>
  <si>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</si>
  <si>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</si>
  <si>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</si>
  <si>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</si>
  <si>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</si>
  <si>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</si>
  <si>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</si>
  <si>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</si>
  <si>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</si>
  <si>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</si>
  <si>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</si>
  <si>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</si>
  <si>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</si>
  <si>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</si>
  <si>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</si>
  <si>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</si>
  <si>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</si>
  <si>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</si>
  <si>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</si>
  <si>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</si>
  <si>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</si>
  <si>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</si>
  <si>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</si>
  <si>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</si>
  <si>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</si>
  <si>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</si>
  <si>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</si>
  <si>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</si>
  <si>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</si>
  <si>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</si>
  <si>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</si>
  <si>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</si>
  <si>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</si>
  <si>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</si>
  <si>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</si>
  <si>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</si>
  <si>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</si>
  <si>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</si>
  <si>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</si>
  <si>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</si>
  <si>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</si>
  <si>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</si>
  <si>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</si>
  <si>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</si>
  <si>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</si>
  <si>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</si>
  <si>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</si>
  <si>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</si>
  <si>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</si>
  <si>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</si>
  <si>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</si>
  <si>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</si>
  <si>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</si>
  <si>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</si>
  <si>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</si>
  <si>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</si>
  <si>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</si>
  <si>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</si>
  <si>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</si>
  <si>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</si>
  <si>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</si>
  <si>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</si>
  <si>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</si>
  <si>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</si>
  <si>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</si>
  <si>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</si>
  <si>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</si>
  <si>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</si>
  <si>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</si>
  <si>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</si>
  <si>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</si>
  <si>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</si>
  <si>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</si>
  <si>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</si>
  <si>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</si>
  <si>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</si>
  <si>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</si>
  <si>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</si>
  <si>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</si>
  <si>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</si>
  <si>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</si>
  <si>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</si>
  <si>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</si>
  <si>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</si>
  <si>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</si>
  <si>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</si>
  <si>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</si>
  <si>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</si>
  <si>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</si>
  <si>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</si>
  <si>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</si>
  <si>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</si>
  <si>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</si>
  <si>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</si>
  <si>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</si>
  <si>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</si>
  <si>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</si>
  <si>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</si>
  <si>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</si>
  <si>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</si>
  <si>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</si>
  <si>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</si>
  <si>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</si>
  <si>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</si>
  <si>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</si>
  <si>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</si>
  <si>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</si>
  <si>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</si>
  <si>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</si>
  <si>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</si>
  <si>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</si>
  <si>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</si>
  <si>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</si>
  <si>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</si>
  <si>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</si>
  <si>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</si>
  <si>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</si>
  <si>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</si>
  <si>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</si>
  <si>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</si>
  <si>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</si>
  <si>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</si>
  <si>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</si>
  <si>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</si>
  <si>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</si>
  <si>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</si>
  <si>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</si>
  <si>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</si>
  <si>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</si>
  <si>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</si>
  <si>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</si>
  <si>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</si>
  <si>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</si>
  <si>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</si>
  <si>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</si>
  <si>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</si>
  <si>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</si>
  <si>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</si>
  <si>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</si>
  <si>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</si>
  <si>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</si>
  <si>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</si>
  <si>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</si>
  <si>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</si>
  <si>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</si>
  <si>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</si>
  <si>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</si>
  <si>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</si>
  <si>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</si>
  <si>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</si>
  <si>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</si>
  <si>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</si>
  <si>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</si>
  <si>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</si>
  <si>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</si>
  <si>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</si>
  <si>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</si>
  <si>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</si>
  <si>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</si>
  <si>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</si>
  <si>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</si>
  <si>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</si>
  <si>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</si>
  <si>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</si>
  <si>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</si>
  <si>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</si>
  <si>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</si>
  <si>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</si>
  <si>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</si>
  <si>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</si>
  <si>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</si>
  <si>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</si>
  <si>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</si>
  <si>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</si>
  <si>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</si>
  <si>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</si>
  <si>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</si>
  <si>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</si>
  <si>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</si>
  <si>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</si>
  <si>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</si>
  <si>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</si>
  <si>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</si>
  <si>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</si>
  <si>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</si>
  <si>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</si>
  <si>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</si>
  <si>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</si>
  <si>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</si>
  <si>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</si>
  <si>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</si>
  <si>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</si>
  <si>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</si>
  <si>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</si>
  <si>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</si>
  <si>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</si>
  <si>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</si>
  <si>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</si>
  <si>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</si>
  <si>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</si>
  <si>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</si>
  <si>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</si>
  <si>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</si>
  <si>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</si>
  <si>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</si>
  <si>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</si>
  <si>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</si>
  <si>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</si>
  <si>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</si>
  <si>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</si>
  <si>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</si>
  <si>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</si>
  <si>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</si>
  <si>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</si>
  <si>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</si>
  <si>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</si>
  <si>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</si>
  <si>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</si>
  <si>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</si>
  <si>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</si>
  <si>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</si>
  <si>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</si>
  <si>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</si>
  <si>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</si>
  <si>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</si>
  <si>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</si>
  <si>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</si>
  <si>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</si>
  <si>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</si>
  <si>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</si>
  <si>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</si>
  <si>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</si>
  <si>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</si>
  <si>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</si>
  <si>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</si>
  <si>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</si>
  <si>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</si>
  <si>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</si>
  <si>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</si>
  <si>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</si>
  <si>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</si>
  <si>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</si>
  <si>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</si>
  <si>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</si>
  <si>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</si>
  <si>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</si>
  <si>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</si>
  <si>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</si>
  <si>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</si>
  <si>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</si>
  <si>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</si>
  <si>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</si>
  <si>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</si>
  <si>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</si>
  <si>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</si>
  <si>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</si>
  <si>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</si>
  <si>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</si>
  <si>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</si>
  <si>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</si>
  <si>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</si>
  <si>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</si>
  <si>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</si>
  <si>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</si>
  <si>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</si>
  <si>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</si>
  <si>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</si>
  <si>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</si>
  <si>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</si>
  <si>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</si>
  <si>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</si>
  <si>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</si>
  <si>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</si>
  <si>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</si>
  <si>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</si>
  <si>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</si>
  <si>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</si>
  <si>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</si>
  <si>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</si>
  <si>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</si>
  <si>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</si>
  <si>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</si>
  <si>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</si>
  <si>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</si>
  <si>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</si>
  <si>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</si>
  <si>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</si>
  <si>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</si>
  <si>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</si>
  <si>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</si>
  <si>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</si>
  <si>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</si>
  <si>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</si>
  <si>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</si>
  <si>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</si>
  <si>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</si>
  <si>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</si>
  <si>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</si>
  <si>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</si>
  <si>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</si>
  <si>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</si>
  <si>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</si>
  <si>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</si>
  <si>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</si>
  <si>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</si>
  <si>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</si>
  <si>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</si>
  <si>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</si>
  <si>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</si>
  <si>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</si>
  <si>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</si>
  <si>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</si>
  <si>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</si>
  <si>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</si>
  <si>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</si>
  <si>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</si>
  <si>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</si>
  <si>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</si>
  <si>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</si>
  <si>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</si>
  <si>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</si>
  <si>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</si>
  <si>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</si>
  <si>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</si>
  <si>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</si>
  <si>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</si>
  <si>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</si>
  <si>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</si>
  <si>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</si>
  <si>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</si>
  <si>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</si>
  <si>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</si>
  <si>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</si>
  <si>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</si>
  <si>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</si>
  <si>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</si>
  <si>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</si>
  <si>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</si>
  <si>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</si>
  <si>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</si>
  <si>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</si>
  <si>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</si>
  <si>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</si>
  <si>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</si>
  <si>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</si>
  <si>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</si>
  <si>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</si>
  <si>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</si>
  <si>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</si>
  <si>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</si>
  <si>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</si>
  <si>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</si>
  <si>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</si>
  <si>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</si>
  <si>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</si>
  <si>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</si>
  <si>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</si>
  <si>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</si>
  <si>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</si>
  <si>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</si>
  <si>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</si>
  <si>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</si>
  <si>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</si>
  <si>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</si>
  <si>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</si>
  <si>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</si>
  <si>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</si>
  <si>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</si>
  <si>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</si>
  <si>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</si>
  <si>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</si>
  <si>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</si>
  <si>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</si>
  <si>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</si>
  <si>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</si>
  <si>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</si>
  <si>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</si>
  <si>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</si>
  <si>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</si>
  <si>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</si>
  <si>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</si>
  <si>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</si>
  <si>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</si>
  <si>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</si>
  <si>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</si>
  <si>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</si>
  <si>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</si>
  <si>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</si>
  <si>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</si>
  <si>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</si>
  <si>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</si>
  <si>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</si>
  <si>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</si>
  <si>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</si>
  <si>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</si>
  <si>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</si>
  <si>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</si>
  <si>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</si>
  <si>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</si>
  <si>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</si>
  <si>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</si>
  <si>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</si>
  <si>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</si>
  <si>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</si>
  <si>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</si>
  <si>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</si>
  <si>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</si>
  <si>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</si>
  <si>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</si>
  <si>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</si>
  <si>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</si>
  <si>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</si>
  <si>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</si>
  <si>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</si>
  <si>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</si>
  <si>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</si>
  <si>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</si>
  <si>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</si>
  <si>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</si>
  <si>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</si>
  <si>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</si>
  <si>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</si>
  <si>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</si>
  <si>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</si>
  <si>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</si>
  <si>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</si>
  <si>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</si>
  <si>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</si>
  <si>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</si>
  <si>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</si>
  <si>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</si>
  <si>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</si>
  <si>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</si>
  <si>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</si>
  <si>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</si>
  <si>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</si>
  <si>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</si>
  <si>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</si>
  <si>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</si>
  <si>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</si>
  <si>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</si>
  <si>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</si>
  <si>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</si>
  <si>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</si>
  <si>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</si>
  <si>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</si>
  <si>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</si>
  <si>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</si>
  <si>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</si>
  <si>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</si>
  <si>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</si>
  <si>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</si>
  <si>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</si>
  <si>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</si>
  <si>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</si>
  <si>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</si>
  <si>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</si>
  <si>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</si>
  <si>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</si>
  <si>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</si>
  <si>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</si>
  <si>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</si>
  <si>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</si>
  <si>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</si>
  <si>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</si>
  <si>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</si>
  <si>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</si>
  <si>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</si>
  <si>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</si>
  <si>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</si>
  <si>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</si>
  <si>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</si>
  <si>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</si>
  <si>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</si>
  <si>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</si>
  <si>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</si>
  <si>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</si>
  <si>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</si>
  <si>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</si>
  <si>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</si>
  <si>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</si>
  <si>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</si>
  <si>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</si>
  <si>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</si>
  <si>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</si>
  <si>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</si>
  <si>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</si>
  <si>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</si>
  <si>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</si>
  <si>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</si>
  <si>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</si>
  <si>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</si>
  <si>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</si>
  <si>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</si>
  <si>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</si>
  <si>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</si>
  <si>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</si>
  <si>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</si>
  <si>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</si>
  <si>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</si>
  <si>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</si>
  <si>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</si>
  <si>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</si>
  <si>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</si>
  <si>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</si>
  <si>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</si>
  <si>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</si>
  <si>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</si>
  <si>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</si>
  <si>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</si>
  <si>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</si>
  <si>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</si>
  <si>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</si>
  <si>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</si>
  <si>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</si>
  <si>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</si>
  <si>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</si>
  <si>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</si>
  <si>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</si>
  <si>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</si>
  <si>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</si>
  <si>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</si>
  <si>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</si>
  <si>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</si>
  <si>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</si>
  <si>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</si>
  <si>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</si>
  <si>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</si>
  <si>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</si>
  <si>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</si>
  <si>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</si>
  <si>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</si>
  <si>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</si>
  <si>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</si>
  <si>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</si>
  <si>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</si>
  <si>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</si>
  <si>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</si>
  <si>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</si>
  <si>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</si>
  <si>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</si>
  <si>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</si>
  <si>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</si>
  <si>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</si>
  <si>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</si>
  <si>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</si>
  <si>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</si>
  <si>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</si>
  <si>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</si>
  <si>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</si>
  <si>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</si>
  <si>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</si>
  <si>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</si>
  <si>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</si>
  <si>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</si>
  <si>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</si>
  <si>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</si>
  <si>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</si>
  <si>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</si>
  <si>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</si>
  <si>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</si>
  <si>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</si>
  <si>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</si>
  <si>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</si>
  <si>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</si>
  <si>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</si>
  <si>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</si>
  <si>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</si>
  <si>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</si>
  <si>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</si>
  <si>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</si>
  <si>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</si>
  <si>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</si>
  <si>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</si>
  <si>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</si>
  <si>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</si>
  <si>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</si>
  <si>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</si>
  <si>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</si>
  <si>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</si>
  <si>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</si>
  <si>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</si>
  <si>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</si>
  <si>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</si>
  <si>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</si>
  <si>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</si>
  <si>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</si>
  <si>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</si>
  <si>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</si>
  <si>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</si>
  <si>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</si>
  <si>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</si>
  <si>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</si>
  <si>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</si>
  <si>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</si>
  <si>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</si>
  <si>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</si>
  <si>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</si>
  <si>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</si>
  <si>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</si>
  <si>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</si>
  <si>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</si>
  <si>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</si>
  <si>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</si>
  <si>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</si>
  <si>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</si>
  <si>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</si>
  <si>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</si>
  <si>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</si>
  <si>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</si>
  <si>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</si>
  <si>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</si>
  <si>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</si>
  <si>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</si>
  <si>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</si>
  <si>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</si>
  <si>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</si>
  <si>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</si>
  <si>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</si>
  <si>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</si>
  <si>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</si>
  <si>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</si>
  <si>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</si>
  <si>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</si>
  <si>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</si>
  <si>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</si>
  <si>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</si>
  <si>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</si>
  <si>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</si>
  <si>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</si>
  <si>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</si>
  <si>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</si>
  <si>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</si>
  <si>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</si>
  <si>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</si>
  <si>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</si>
  <si>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</si>
  <si>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</si>
  <si>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</si>
  <si>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</si>
  <si>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</si>
  <si>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</si>
  <si>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</si>
  <si>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</si>
  <si>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</si>
  <si>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</si>
  <si>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</si>
  <si>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</si>
  <si>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</si>
  <si>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</si>
  <si>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</si>
  <si>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</si>
  <si>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</si>
  <si>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</si>
  <si>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</si>
  <si>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</si>
  <si>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</si>
  <si>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</si>
  <si>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</si>
  <si>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</si>
  <si>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</si>
  <si>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</si>
  <si>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</si>
  <si>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</si>
  <si>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</si>
  <si>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</si>
  <si>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</si>
  <si>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</si>
  <si>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</si>
  <si>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</si>
  <si>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</si>
  <si>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</si>
  <si>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</si>
  <si>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</si>
  <si>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</si>
  <si>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</si>
  <si>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</si>
  <si>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</si>
  <si>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</si>
  <si>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</si>
  <si>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</si>
  <si>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</si>
  <si>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</si>
  <si>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</si>
  <si>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</si>
  <si>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</si>
  <si>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</si>
  <si>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</si>
  <si>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</si>
  <si>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</si>
  <si>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</si>
  <si>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</si>
  <si>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</si>
  <si>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</si>
  <si>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</si>
  <si>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</si>
  <si>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</si>
  <si>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</si>
  <si>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</si>
  <si>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</si>
  <si>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</si>
  <si>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</si>
  <si>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</si>
  <si>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</si>
  <si>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</si>
  <si>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</si>
  <si>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</si>
  <si>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</si>
  <si>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</si>
  <si>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</si>
  <si>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</si>
  <si>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</si>
  <si>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</si>
  <si>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</si>
  <si>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</si>
  <si>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</si>
  <si>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</si>
  <si>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</si>
  <si>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</si>
  <si>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</si>
  <si>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</si>
  <si>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</si>
  <si>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</si>
  <si>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</si>
  <si>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</si>
  <si>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</si>
  <si>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</si>
  <si>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</si>
  <si>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</si>
  <si>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</si>
  <si>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</si>
  <si>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</si>
  <si>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</si>
  <si>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</si>
  <si>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</si>
  <si>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</si>
  <si>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</si>
  <si>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</si>
  <si>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</si>
  <si>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</si>
  <si>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</si>
  <si>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</si>
  <si>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</si>
  <si>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</si>
  <si>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</si>
  <si>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</si>
  <si>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</si>
  <si>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</si>
  <si>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</si>
  <si>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</si>
  <si>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</si>
  <si>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</si>
  <si>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</si>
  <si>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</si>
  <si>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</si>
  <si>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</si>
  <si>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</si>
  <si>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</si>
  <si>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</si>
  <si>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</si>
  <si>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</si>
  <si>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</si>
  <si>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</si>
  <si>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</si>
  <si>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</si>
  <si>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</si>
  <si>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</si>
  <si>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</si>
  <si>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</si>
  <si>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</si>
  <si>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</si>
  <si>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</si>
  <si>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</si>
  <si>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</si>
  <si>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</si>
  <si>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</si>
  <si>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</si>
  <si>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</si>
  <si>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</si>
  <si>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</si>
  <si>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</si>
  <si>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</si>
  <si>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</si>
  <si>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</si>
  <si>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</si>
  <si>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</si>
  <si>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</si>
  <si>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</si>
  <si>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</si>
  <si>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</si>
  <si>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</si>
  <si>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</si>
  <si>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</si>
  <si>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</si>
  <si>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</si>
  <si>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</si>
  <si>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</si>
  <si>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</si>
  <si>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</si>
  <si>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</si>
  <si>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</si>
  <si>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</si>
  <si>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</si>
  <si>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</si>
  <si>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</si>
  <si>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</si>
  <si>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</si>
  <si>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</si>
  <si>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</si>
  <si>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</si>
  <si>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</si>
  <si>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</si>
  <si>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</si>
  <si>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</si>
  <si>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</si>
  <si>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</si>
  <si>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</si>
  <si>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</si>
  <si>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</si>
  <si>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</si>
  <si>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</si>
  <si>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</si>
  <si>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</si>
  <si>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</si>
  <si>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</si>
  <si>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</si>
  <si>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</si>
  <si>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</si>
  <si>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</si>
  <si>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</si>
  <si>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</si>
  <si>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</si>
  <si>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</si>
  <si>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</si>
  <si>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</si>
  <si>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</si>
  <si>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</si>
  <si>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</si>
  <si>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</si>
  <si>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</si>
  <si>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</si>
  <si>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</si>
  <si>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</si>
  <si>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</si>
  <si>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</si>
  <si>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</si>
  <si>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</si>
  <si>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</si>
  <si>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</si>
  <si>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</si>
  <si>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</si>
  <si>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</si>
  <si>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</si>
  <si>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</si>
  <si>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</si>
  <si>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</si>
  <si>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</si>
  <si>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</si>
  <si>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</si>
  <si>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</si>
  <si>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</si>
  <si>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</si>
  <si>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</si>
  <si>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</si>
  <si>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</si>
  <si>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</si>
  <si>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</si>
  <si>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</si>
  <si>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</si>
  <si>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</si>
  <si>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</si>
  <si>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</si>
  <si>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</si>
  <si>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</si>
  <si>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</si>
  <si>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</si>
  <si>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</si>
  <si>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</si>
  <si>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</si>
  <si>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</si>
  <si>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</si>
  <si>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</si>
  <si>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</si>
  <si>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</si>
  <si>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</si>
  <si>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</si>
  <si>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</si>
  <si>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</si>
  <si>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</si>
  <si>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</si>
  <si>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</si>
  <si>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</si>
  <si>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</si>
  <si>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</si>
  <si>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</si>
  <si>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</si>
  <si>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</si>
  <si>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</si>
  <si>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</si>
  <si>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</si>
  <si>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</si>
  <si>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</si>
  <si>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</si>
  <si>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</si>
  <si>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</si>
  <si>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</si>
  <si>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</si>
  <si>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</si>
  <si>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</si>
  <si>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</si>
  <si>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</si>
  <si>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</si>
  <si>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</si>
  <si>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</si>
  <si>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</si>
  <si>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</si>
  <si>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</si>
  <si>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</si>
  <si>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</si>
  <si>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</si>
  <si>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</si>
  <si>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</si>
  <si>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</si>
  <si>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</si>
  <si>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</si>
  <si>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</si>
  <si>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</si>
  <si>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</si>
  <si>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</si>
  <si>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</si>
  <si>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</si>
  <si>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</si>
  <si>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</si>
  <si>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</si>
  <si>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</si>
  <si>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</si>
  <si>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</si>
  <si>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</si>
  <si>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</si>
  <si>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</si>
  <si>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</si>
  <si>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</si>
  <si>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</si>
  <si>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</si>
  <si>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</si>
  <si>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</si>
  <si>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</si>
  <si>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</si>
  <si>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</si>
  <si>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</si>
  <si>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</si>
  <si>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</si>
  <si>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</si>
  <si>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</si>
  <si>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</si>
  <si>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</si>
  <si>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</si>
  <si>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</si>
  <si>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</si>
  <si>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</si>
  <si>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</si>
  <si>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</si>
  <si>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</si>
  <si>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</si>
  <si>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</si>
  <si>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</si>
  <si>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</si>
  <si>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</si>
  <si>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</si>
  <si>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</si>
  <si>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</si>
  <si>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</si>
  <si>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</si>
  <si>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</si>
  <si>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</si>
  <si>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</si>
  <si>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</si>
  <si>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</si>
  <si>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</si>
  <si>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</si>
  <si>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</si>
  <si>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</si>
  <si>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</si>
  <si>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</si>
  <si>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</si>
  <si>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</si>
  <si>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</si>
  <si>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</si>
  <si>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</si>
  <si>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</si>
  <si>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</si>
  <si>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</si>
  <si>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</si>
  <si>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</si>
  <si>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</si>
  <si>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</si>
  <si>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</si>
  <si>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</si>
  <si>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</si>
  <si>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</si>
  <si>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</si>
  <si>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</si>
  <si>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</si>
  <si>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</si>
  <si>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</si>
  <si>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</si>
  <si>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</si>
  <si>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</si>
  <si>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</si>
  <si>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</si>
  <si>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</si>
  <si>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</si>
  <si>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</si>
  <si>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</si>
  <si>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</si>
  <si>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</si>
  <si>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</si>
  <si>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</si>
  <si>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</si>
  <si>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</si>
  <si>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</si>
  <si>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</si>
  <si>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</si>
  <si>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</si>
  <si>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</si>
  <si>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</si>
  <si>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</si>
  <si>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</si>
  <si>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</si>
  <si>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</si>
  <si>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</si>
  <si>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</si>
  <si>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</si>
  <si>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</si>
  <si>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</si>
  <si>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</si>
  <si>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</si>
  <si>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</si>
  <si>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</si>
  <si>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</si>
  <si>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</si>
  <si>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</si>
  <si>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</si>
  <si>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</si>
  <si>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</si>
  <si>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</si>
  <si>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</si>
  <si>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</si>
  <si>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</si>
  <si>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</si>
  <si>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</si>
  <si>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</si>
  <si>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</si>
  <si>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</si>
  <si>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</si>
  <si>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</si>
  <si>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</si>
  <si>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</si>
  <si>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</si>
  <si>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</si>
  <si>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</si>
  <si>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</si>
  <si>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</si>
  <si>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</si>
  <si>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</si>
  <si>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</si>
  <si>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</si>
  <si>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</si>
  <si>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</si>
  <si>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</si>
  <si>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</si>
  <si>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</si>
  <si>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</si>
  <si>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</si>
  <si>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</si>
  <si>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</si>
  <si>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</si>
  <si>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</si>
  <si>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</si>
  <si>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</si>
  <si>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</si>
  <si>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</si>
  <si>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</si>
  <si>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</si>
  <si>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</si>
  <si>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</si>
  <si>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</si>
  <si>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</si>
  <si>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</si>
  <si>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</si>
  <si>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</si>
  <si>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</si>
  <si>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</si>
  <si>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</si>
  <si>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</si>
  <si>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</si>
  <si>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</si>
  <si>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</si>
  <si>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</si>
  <si>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</si>
  <si>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</si>
  <si>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</si>
  <si>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</si>
  <si>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</si>
  <si>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</si>
  <si>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</si>
  <si>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</si>
  <si>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</si>
  <si>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</si>
  <si>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</si>
  <si>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</si>
  <si>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</si>
  <si>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</si>
  <si>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</si>
  <si>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</si>
  <si>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</si>
  <si>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</si>
  <si>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</si>
  <si>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</si>
  <si>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</si>
  <si>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</si>
  <si>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</si>
  <si>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</si>
  <si>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</si>
  <si>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</si>
  <si>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</si>
  <si>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</si>
  <si>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</si>
  <si>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</si>
  <si>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</si>
  <si>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</si>
  <si>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</si>
  <si>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</si>
  <si>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</si>
  <si>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</si>
  <si>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</si>
  <si>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</si>
  <si>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</si>
  <si>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</si>
  <si>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</si>
  <si>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</si>
  <si>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</si>
  <si>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</si>
  <si>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</si>
  <si>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</si>
  <si>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</si>
  <si>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</si>
  <si>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</si>
  <si>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</si>
  <si>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</si>
  <si>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</si>
  <si>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</si>
  <si>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</si>
  <si>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</si>
  <si>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</si>
  <si>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</si>
  <si>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</si>
  <si>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</si>
  <si>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</si>
  <si>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</si>
  <si>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</si>
  <si>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</si>
  <si>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</si>
  <si>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</si>
  <si>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</si>
  <si>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</si>
  <si>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</si>
  <si>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</si>
  <si>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</si>
  <si>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</si>
  <si>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</si>
  <si>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</si>
  <si>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</si>
  <si>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</si>
  <si>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</si>
  <si>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</si>
  <si>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</si>
  <si>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</si>
  <si>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</si>
  <si>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</si>
  <si>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</si>
  <si>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</si>
  <si>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</si>
  <si>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</si>
  <si>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</si>
  <si>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</si>
  <si>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</si>
  <si>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</si>
  <si>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</si>
  <si>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</si>
  <si>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</si>
  <si>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</si>
  <si>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</si>
  <si>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</si>
  <si>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</si>
  <si>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</si>
  <si>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</si>
  <si>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</si>
  <si>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</si>
  <si>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</si>
  <si>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</si>
  <si>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</si>
  <si>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</si>
  <si>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</si>
  <si>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</si>
  <si>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</si>
  <si>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</si>
  <si>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</si>
  <si>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</si>
  <si>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</si>
  <si>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</si>
  <si>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</si>
  <si>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</si>
  <si>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</si>
  <si>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</si>
  <si>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</si>
  <si>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</si>
  <si>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</si>
  <si>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</si>
  <si>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</si>
  <si>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</si>
  <si>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</si>
  <si>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</si>
  <si>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</si>
  <si>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</si>
  <si>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</si>
  <si>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</si>
  <si>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</si>
  <si>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</si>
  <si>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</si>
  <si>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</si>
  <si>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</si>
  <si>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</si>
  <si>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</si>
  <si>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</si>
  <si>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</si>
  <si>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</si>
  <si>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</si>
  <si>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</si>
  <si>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</si>
  <si>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</si>
  <si>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</si>
  <si>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</si>
  <si>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</si>
  <si>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</si>
  <si>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</si>
  <si>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</si>
  <si>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</si>
  <si>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</si>
  <si>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</si>
  <si>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</si>
  <si>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</si>
  <si>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</si>
  <si>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</si>
  <si>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</si>
  <si>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</si>
  <si>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</si>
  <si>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</si>
  <si>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</si>
  <si>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</si>
  <si>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</si>
  <si>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</si>
  <si>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</si>
  <si>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</si>
  <si>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</si>
  <si>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</si>
  <si>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</si>
  <si>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</si>
  <si>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</si>
  <si>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</si>
  <si>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</si>
  <si>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</si>
  <si>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</si>
  <si>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</si>
  <si>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</si>
  <si>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</si>
  <si>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</si>
  <si>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</si>
  <si>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</si>
  <si>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</si>
  <si>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</si>
  <si>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</si>
  <si>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</si>
  <si>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</si>
  <si>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</si>
  <si>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</si>
  <si>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</si>
  <si>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</si>
  <si>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</si>
  <si>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</si>
  <si>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</si>
  <si>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</si>
  <si>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</si>
  <si>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</si>
  <si>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</si>
  <si>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</si>
  <si>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</si>
  <si>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</si>
  <si>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</si>
  <si>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</si>
  <si>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</si>
  <si>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</si>
  <si>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</si>
  <si>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</si>
  <si>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</si>
  <si>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</si>
  <si>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</si>
  <si>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</si>
  <si>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</si>
  <si>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</si>
  <si>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</si>
  <si>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</si>
  <si>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</si>
  <si>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</si>
  <si>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</si>
  <si>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</si>
  <si>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</si>
  <si>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</si>
  <si>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</si>
  <si>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</si>
  <si>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</si>
  <si>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</si>
  <si>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</si>
  <si>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</si>
  <si>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</si>
  <si>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</si>
  <si>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</si>
  <si>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</si>
  <si>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</si>
  <si>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</si>
  <si>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</si>
  <si>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</si>
  <si>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</si>
  <si>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</si>
  <si>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</si>
  <si>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</si>
  <si>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</si>
  <si>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</si>
  <si>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</si>
  <si>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</si>
  <si>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</si>
  <si>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</si>
  <si>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</si>
  <si>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</si>
  <si>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</si>
  <si>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</si>
  <si>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</si>
  <si>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</si>
  <si>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</si>
  <si>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</si>
  <si>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</si>
  <si>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</si>
  <si>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</si>
  <si>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</si>
  <si>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</si>
  <si>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</si>
  <si>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</si>
  <si>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</si>
  <si>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</si>
  <si>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</si>
  <si>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</si>
  <si>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</si>
  <si>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</si>
  <si>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</si>
  <si>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</si>
  <si>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</si>
  <si>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</si>
  <si>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</si>
  <si>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</si>
  <si>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</si>
  <si>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</si>
  <si>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</si>
  <si>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</si>
  <si>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</si>
  <si>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</si>
  <si>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</si>
  <si>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</si>
  <si>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</si>
  <si>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</si>
  <si>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</si>
  <si>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</si>
  <si>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</si>
  <si>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</si>
  <si>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</si>
  <si>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</si>
  <si>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</si>
  <si>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</si>
  <si>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</si>
  <si>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</si>
  <si>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</si>
  <si>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</si>
  <si>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</si>
  <si>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</si>
  <si>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</si>
  <si>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</si>
  <si>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</si>
  <si>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</si>
  <si>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</si>
  <si>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</si>
  <si>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</si>
  <si>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</si>
  <si>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</si>
  <si>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</si>
  <si>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</si>
  <si>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</si>
  <si>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</si>
  <si>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</si>
  <si>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</si>
  <si>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</si>
  <si>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</si>
  <si>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</si>
  <si>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</si>
  <si>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</si>
  <si>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</si>
  <si>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</si>
  <si>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</si>
  <si>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</si>
  <si>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</si>
  <si>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</si>
  <si>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</si>
  <si>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</si>
  <si>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</si>
  <si>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</si>
  <si>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</si>
  <si>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</si>
  <si>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</si>
  <si>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</si>
  <si>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</si>
  <si>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</si>
  <si>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</si>
  <si>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</si>
  <si>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</si>
  <si>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</si>
  <si>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</si>
  <si>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</si>
  <si>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</si>
  <si>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</si>
  <si>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</si>
  <si>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</si>
  <si>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</si>
  <si>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</si>
  <si>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</si>
  <si>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</si>
  <si>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</si>
  <si>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</si>
  <si>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</si>
  <si>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</si>
  <si>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</si>
  <si>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</si>
  <si>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</si>
  <si>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</si>
  <si>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</si>
  <si>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</si>
  <si>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</si>
  <si>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</si>
  <si>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</si>
  <si>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</si>
  <si>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</si>
  <si>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</si>
  <si>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</si>
  <si>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</si>
  <si>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</si>
  <si>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</si>
  <si>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</si>
  <si>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</si>
  <si>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</si>
  <si>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</si>
  <si>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</si>
  <si>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</si>
  <si>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</si>
  <si>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</si>
  <si>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</si>
  <si>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</si>
  <si>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</si>
  <si>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</si>
  <si>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</si>
  <si>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</si>
  <si>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</si>
  <si>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</si>
  <si>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</si>
  <si>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</si>
  <si>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</si>
  <si>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</si>
  <si>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</si>
  <si>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</si>
  <si>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</si>
  <si>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</si>
  <si>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</si>
  <si>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</si>
  <si>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</si>
  <si>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</si>
  <si>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</si>
  <si>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</si>
  <si>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</si>
  <si>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</si>
  <si>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</si>
  <si>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</si>
  <si>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</si>
  <si>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</si>
  <si>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</si>
  <si>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</si>
  <si>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</si>
  <si>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</si>
  <si>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</si>
  <si>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</si>
  <si>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</si>
  <si>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</si>
  <si>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</si>
  <si>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</si>
  <si>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</si>
  <si>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</si>
  <si>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</si>
  <si>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</si>
  <si>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</si>
  <si>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</si>
  <si>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</si>
  <si>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</si>
  <si>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</si>
  <si>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</si>
  <si>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</si>
  <si>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</si>
  <si>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</si>
  <si>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</si>
  <si>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</si>
  <si>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</si>
  <si>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</si>
  <si>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</si>
  <si>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</si>
  <si>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</si>
  <si>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</si>
  <si>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</si>
  <si>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</si>
  <si>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</si>
  <si>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</si>
  <si>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</si>
  <si>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</si>
  <si>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</si>
  <si>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</si>
  <si>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</si>
  <si>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</si>
  <si>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</si>
  <si>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</si>
  <si>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</si>
  <si>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</si>
  <si>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</si>
  <si>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</si>
  <si>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</si>
  <si>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</si>
  <si>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</si>
  <si>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</si>
  <si>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</si>
  <si>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</si>
  <si>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</si>
  <si>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</si>
  <si>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</si>
  <si>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</si>
  <si>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</si>
  <si>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</si>
  <si>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</si>
  <si>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</si>
  <si>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</si>
  <si>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</si>
  <si>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</si>
  <si>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</si>
  <si>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</si>
  <si>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</si>
  <si>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</si>
  <si>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</si>
  <si>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</si>
  <si>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</si>
  <si>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</si>
  <si>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</si>
  <si>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</si>
  <si>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</si>
  <si>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</si>
  <si>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</si>
  <si>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</si>
  <si>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</si>
  <si>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</si>
  <si>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</si>
  <si>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</si>
  <si>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</si>
  <si>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</si>
  <si>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</si>
  <si>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</si>
  <si>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</si>
  <si>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</si>
  <si>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</si>
  <si>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</si>
  <si>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</si>
  <si>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</si>
  <si>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</si>
  <si>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</si>
  <si>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</si>
  <si>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</si>
  <si>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</si>
  <si>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</si>
  <si>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</si>
  <si>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</si>
  <si>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</si>
  <si>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</si>
  <si>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</si>
  <si>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</si>
  <si>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</si>
  <si>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</si>
  <si>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</si>
  <si>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</si>
  <si>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</si>
  <si>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</si>
  <si>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</si>
  <si>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</si>
  <si>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</si>
  <si>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</si>
  <si>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</si>
  <si>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</si>
  <si>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</si>
  <si>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</si>
  <si>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</si>
  <si>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</si>
  <si>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</si>
  <si>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</si>
  <si>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</si>
  <si>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</si>
  <si>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</si>
  <si>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</si>
  <si>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</si>
  <si>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</si>
  <si>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</si>
  <si>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</si>
  <si>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</si>
  <si>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</si>
  <si>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</si>
  <si>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</si>
  <si>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</si>
  <si>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</si>
  <si>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</si>
  <si>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</si>
  <si>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</si>
  <si>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</si>
  <si>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</si>
  <si>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</si>
  <si>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</si>
  <si>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</si>
  <si>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</si>
  <si>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</si>
  <si>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</si>
  <si>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</si>
  <si>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</si>
  <si>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</si>
  <si>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</si>
  <si>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</si>
  <si>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</si>
  <si>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</si>
  <si>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</si>
  <si>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</si>
  <si>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</si>
  <si>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</si>
  <si>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</si>
  <si>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</si>
  <si>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</si>
  <si>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</si>
  <si>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</si>
  <si>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</si>
  <si>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</si>
  <si>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</si>
  <si>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</si>
  <si>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</si>
  <si>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</si>
  <si>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</si>
  <si>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</si>
  <si>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</si>
  <si>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</si>
  <si>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</si>
  <si>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</si>
  <si>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</si>
  <si>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</si>
  <si>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</si>
  <si>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</si>
  <si>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</si>
  <si>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</si>
  <si>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</si>
  <si>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</si>
  <si>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</si>
  <si>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</si>
  <si>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</si>
  <si>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</si>
  <si>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</si>
  <si>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</si>
  <si>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</si>
  <si>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</si>
  <si>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</si>
  <si>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</si>
  <si>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</si>
  <si>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</si>
  <si>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</si>
  <si>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</si>
  <si>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</si>
  <si>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</si>
  <si>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</si>
  <si>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</si>
  <si>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</si>
  <si>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</si>
  <si>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</si>
  <si>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</si>
  <si>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</si>
  <si>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</si>
  <si>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</si>
  <si>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</si>
  <si>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</si>
  <si>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</si>
  <si>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</si>
  <si>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</si>
  <si>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</si>
  <si>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</si>
  <si>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</si>
  <si>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</si>
  <si>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</si>
  <si>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</si>
  <si>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</si>
  <si>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</si>
  <si>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</si>
  <si>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</si>
  <si>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</si>
  <si>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</si>
  <si>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</si>
  <si>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</si>
  <si>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</si>
  <si>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</si>
  <si>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</si>
  <si>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</si>
  <si>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</si>
  <si>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</si>
  <si>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</si>
  <si>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</si>
  <si>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</si>
  <si>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</si>
  <si>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</si>
  <si>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</si>
  <si>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</si>
  <si>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</si>
  <si>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</si>
  <si>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</si>
  <si>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</si>
  <si>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</si>
  <si>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</si>
  <si>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</si>
  <si>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</si>
  <si>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</si>
  <si>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</si>
  <si>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</si>
  <si>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</si>
  <si>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</si>
  <si>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</si>
  <si>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</si>
  <si>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</si>
  <si>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</si>
  <si>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</si>
  <si>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</si>
  <si>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</si>
  <si>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</si>
  <si>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</si>
  <si>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</si>
  <si>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</si>
  <si>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</si>
  <si>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</si>
  <si>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</si>
  <si>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</si>
  <si>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</si>
  <si>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</si>
  <si>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</si>
  <si>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</si>
  <si>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</si>
  <si>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</si>
  <si>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</si>
  <si>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</si>
  <si>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</si>
  <si>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</si>
  <si>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</si>
  <si>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</si>
  <si>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</si>
  <si>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</si>
  <si>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</si>
  <si>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</si>
  <si>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</si>
  <si>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</si>
  <si>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</si>
  <si>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</si>
  <si>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</si>
  <si>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</si>
  <si>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</si>
  <si>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</si>
  <si>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</si>
  <si>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</si>
  <si>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</si>
  <si>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</si>
  <si>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</si>
  <si>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</si>
  <si>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</si>
  <si>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</si>
  <si>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</si>
  <si>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</si>
  <si>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</si>
  <si>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</si>
  <si>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</si>
  <si>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</si>
  <si>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</si>
  <si>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</si>
  <si>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</si>
  <si>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</si>
  <si>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</si>
  <si>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</si>
  <si>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</si>
  <si>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</si>
  <si>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</si>
  <si>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</si>
  <si>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</si>
  <si>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</si>
  <si>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</si>
  <si>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</si>
  <si>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</si>
  <si>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</si>
  <si>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</si>
  <si>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</si>
  <si>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</si>
  <si>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</si>
  <si>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</si>
  <si>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</si>
  <si>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</si>
  <si>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</si>
  <si>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</si>
  <si>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</si>
  <si>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</si>
  <si>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</si>
  <si>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</si>
  <si>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</si>
  <si>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</si>
  <si>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</si>
  <si>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</si>
  <si>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</si>
  <si>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</si>
  <si>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</si>
  <si>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</si>
  <si>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</si>
  <si>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</si>
  <si>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</si>
  <si>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</si>
  <si>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</si>
  <si>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</si>
  <si>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</si>
  <si>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</si>
  <si>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</si>
  <si>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</si>
  <si>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</si>
  <si>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</si>
  <si>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</si>
  <si>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</si>
  <si>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</si>
  <si>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</si>
  <si>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</si>
  <si>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</si>
  <si>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</si>
  <si>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</si>
  <si>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</si>
  <si>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</si>
  <si>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</si>
  <si>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</si>
  <si>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</si>
  <si>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</si>
  <si>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</si>
  <si>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</si>
  <si>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</si>
  <si>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</si>
  <si>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</si>
  <si>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</si>
  <si>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</si>
  <si>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</si>
  <si>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</si>
  <si>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</si>
  <si>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</si>
  <si>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</si>
  <si>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</si>
  <si>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</si>
  <si>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</si>
  <si>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</si>
  <si>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</si>
  <si>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</si>
  <si>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</si>
  <si>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</si>
  <si>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</si>
  <si>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</si>
  <si>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</si>
  <si>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</si>
  <si>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</si>
  <si>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</si>
  <si>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</si>
  <si>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</si>
  <si>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</si>
  <si>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</si>
  <si>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</si>
  <si>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</si>
  <si>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</si>
  <si>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</si>
  <si>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</si>
  <si>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</si>
  <si>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</si>
  <si>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</si>
  <si>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</si>
  <si>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</si>
  <si>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</si>
  <si>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</si>
  <si>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</si>
  <si>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</si>
  <si>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</si>
  <si>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</si>
  <si>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</si>
  <si>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</si>
  <si>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</si>
  <si>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</si>
  <si>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</si>
  <si>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</si>
  <si>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</si>
  <si>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</si>
  <si>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</si>
  <si>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</si>
  <si>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</si>
  <si>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</si>
  <si>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</si>
  <si>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</si>
  <si>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</si>
  <si>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</si>
  <si>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</si>
  <si>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</si>
  <si>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</si>
  <si>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</si>
  <si>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</si>
  <si>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</si>
  <si>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</si>
  <si>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</si>
  <si>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</si>
  <si>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</si>
  <si>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</si>
  <si>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</si>
  <si>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</si>
  <si>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</si>
  <si>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</si>
  <si>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</si>
  <si>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</si>
  <si>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</si>
  <si>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</si>
  <si>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</si>
  <si>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</si>
  <si>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</si>
  <si>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</si>
  <si>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</si>
  <si>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</si>
  <si>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</si>
  <si>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</si>
  <si>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</si>
  <si>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</si>
  <si>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</si>
  <si>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</si>
  <si>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</si>
  <si>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</si>
  <si>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</si>
  <si>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</si>
  <si>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</si>
  <si>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</si>
  <si>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</si>
  <si>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</si>
  <si>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</si>
  <si>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</si>
  <si>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</si>
  <si>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</si>
  <si>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</si>
  <si>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</si>
  <si>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</si>
  <si>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</si>
  <si>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</si>
  <si>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</si>
  <si>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</si>
  <si>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</si>
  <si>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</si>
  <si>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</si>
  <si>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</si>
  <si>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</si>
  <si>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</si>
  <si>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</si>
  <si>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</si>
  <si>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</si>
  <si>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</si>
  <si>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</si>
  <si>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</si>
  <si>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</si>
  <si>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</si>
  <si>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</si>
  <si>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</si>
  <si>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</si>
  <si>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</si>
  <si>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</si>
  <si>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</si>
  <si>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</si>
  <si>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</si>
  <si>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</si>
  <si>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</si>
  <si>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</si>
  <si>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</si>
  <si>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</si>
  <si>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</si>
  <si>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</si>
  <si>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</si>
  <si>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</si>
  <si>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</si>
  <si>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</si>
  <si>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</si>
  <si>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</si>
  <si>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</si>
  <si>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</si>
  <si>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</si>
  <si>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</si>
  <si>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</si>
  <si>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STANDARD</t>
  </si>
  <si>
    <t>BR10303113</t>
  </si>
  <si>
    <t>BR10303114</t>
  </si>
  <si>
    <t>BR10303115</t>
  </si>
  <si>
    <t>BR10303116</t>
  </si>
  <si>
    <t>BR10303118</t>
  </si>
  <si>
    <t>BR10303119</t>
  </si>
  <si>
    <t>BR10303121</t>
  </si>
  <si>
    <t>BR10303122</t>
  </si>
  <si>
    <t>BR10303125</t>
  </si>
  <si>
    <t>BR10303126</t>
  </si>
  <si>
    <t>BR10303135</t>
  </si>
  <si>
    <t>BR10303139</t>
  </si>
  <si>
    <t>BR10303140</t>
  </si>
  <si>
    <t>BR10303141</t>
  </si>
  <si>
    <t>BR10303143</t>
  </si>
  <si>
    <t>BR10303145</t>
  </si>
  <si>
    <t>BR10303146</t>
  </si>
  <si>
    <t>BR10303147</t>
  </si>
  <si>
    <t>BR10303148</t>
  </si>
  <si>
    <t>BR10303149</t>
  </si>
  <si>
    <t>BR10303151</t>
  </si>
  <si>
    <t>BR10303153</t>
  </si>
  <si>
    <t>BR10303157</t>
  </si>
  <si>
    <t>BR10303158</t>
  </si>
  <si>
    <t>BR10303161</t>
  </si>
  <si>
    <t>BR10303162</t>
  </si>
  <si>
    <t>BR10TARM10</t>
  </si>
  <si>
    <t>BR10TARM20</t>
  </si>
  <si>
    <t>BR10TARM99</t>
  </si>
  <si>
    <t>BR10TARMM1</t>
  </si>
  <si>
    <t>BR10TLRP20</t>
  </si>
  <si>
    <t>BR10303128</t>
  </si>
  <si>
    <t>BR10303129</t>
  </si>
  <si>
    <t>BR10303130</t>
  </si>
  <si>
    <t>BR10303131</t>
  </si>
  <si>
    <t>BR10303132</t>
  </si>
  <si>
    <t>BR10303133</t>
  </si>
  <si>
    <t>BR10303136</t>
  </si>
  <si>
    <t>BR10303137</t>
  </si>
  <si>
    <t>BR10303138</t>
  </si>
  <si>
    <t>BR10303142</t>
  </si>
  <si>
    <t>BR10303152</t>
  </si>
  <si>
    <t>BR10303154</t>
  </si>
  <si>
    <t>BR10303155</t>
  </si>
  <si>
    <t>BR10303160</t>
  </si>
  <si>
    <t>BR10303170</t>
  </si>
  <si>
    <t>BR10TARP10</t>
  </si>
  <si>
    <t>BR10TARP99</t>
  </si>
  <si>
    <t>BR10TARP00</t>
  </si>
  <si>
    <t>BR10TCRS41</t>
  </si>
  <si>
    <t>BR10TCRS42</t>
  </si>
  <si>
    <t>BR10TCRS44</t>
  </si>
  <si>
    <t>BR10TIRS10</t>
  </si>
  <si>
    <t>BR10TIRS51</t>
  </si>
  <si>
    <t>BR10TLRS22</t>
  </si>
  <si>
    <t>BR10TARS21</t>
  </si>
  <si>
    <t>BR10TKRS31</t>
  </si>
  <si>
    <t>BR10TKRS88</t>
  </si>
  <si>
    <t>BR10TBRQ10</t>
  </si>
  <si>
    <t>BR10TBRQ20</t>
  </si>
  <si>
    <t>BR10TGRI01</t>
  </si>
  <si>
    <t>BR10TGRI21</t>
  </si>
  <si>
    <t>BR10TGRI29</t>
  </si>
  <si>
    <t>BR10TGRI41</t>
  </si>
  <si>
    <t>BR10TGRI42</t>
  </si>
  <si>
    <t>BR10TGRI43</t>
  </si>
  <si>
    <t>BR10TGRI44</t>
  </si>
  <si>
    <t>BR10TGRI45</t>
  </si>
  <si>
    <t>BR10TGRI46</t>
  </si>
  <si>
    <t>BR10TGRI47</t>
  </si>
  <si>
    <t>BR10TGRI48</t>
  </si>
  <si>
    <t>BR10TGRI49</t>
  </si>
  <si>
    <t>BR10TGRI50</t>
  </si>
  <si>
    <t>BR10TGRI51</t>
  </si>
  <si>
    <t>BR10TGRI52</t>
  </si>
  <si>
    <t>BR10TGRI53</t>
  </si>
  <si>
    <t>BR10TGRI55</t>
  </si>
  <si>
    <t>BR10TGRI56</t>
  </si>
  <si>
    <t>BR10TGRI57</t>
  </si>
  <si>
    <t>BR10TGRI58</t>
  </si>
  <si>
    <t>US10C61700</t>
  </si>
  <si>
    <t>US10C61703</t>
  </si>
  <si>
    <t>US10C61705</t>
  </si>
  <si>
    <t>US10C61706</t>
  </si>
  <si>
    <t>US10C61707</t>
  </si>
  <si>
    <t>US10C61708</t>
  </si>
  <si>
    <t>Standard</t>
  </si>
  <si>
    <t>Hierarchy</t>
  </si>
  <si>
    <t>:</t>
  </si>
  <si>
    <t>1000/</t>
  </si>
  <si>
    <t>is</t>
  </si>
  <si>
    <t>not</t>
  </si>
  <si>
    <t>a</t>
  </si>
  <si>
    <t>valid</t>
  </si>
  <si>
    <t>value</t>
  </si>
  <si>
    <t>for</t>
  </si>
  <si>
    <t>Cost</t>
  </si>
  <si>
    <t>Center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</si>
  <si>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</si>
  <si>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</si>
  <si>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</si>
  <si>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</si>
  <si>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</si>
  <si>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</si>
  <si>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</si>
  <si>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</si>
  <si>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 xml:space="preserve">Rare Tumor SW 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</si>
  <si>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</si>
  <si>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</si>
  <si>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</si>
  <si>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</si>
  <si>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</si>
  <si>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</si>
  <si>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 xml:space="preserve">100.00 Niro-No Program </t>
  </si>
  <si>
    <t>100.10 Niro, DT</t>
  </si>
  <si>
    <t xml:space="preserve">100.11 Niro, MM-GSK </t>
  </si>
  <si>
    <t xml:space="preserve">100.15 Niro, MM 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</si>
  <si>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</si>
  <si>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</si>
  <si>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</si>
  <si>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</si>
  <si>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</si>
  <si>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</si>
  <si>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</si>
  <si>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</si>
  <si>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</si>
  <si>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</si>
  <si>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</si>
  <si>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</si>
  <si>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</si>
  <si>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</si>
  <si>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</si>
  <si>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</si>
  <si>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</si>
  <si>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</si>
  <si>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</si>
  <si>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</si>
  <si>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</si>
  <si>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</si>
  <si>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</si>
  <si>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</si>
  <si>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</si>
  <si>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</si>
  <si>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</si>
  <si>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</si>
  <si>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</si>
  <si>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CLFF_VMCA$$$DE10L80001 EL AP Accruals_2319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</si>
  <si>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</si>
  <si>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</si>
  <si>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</si>
  <si>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</si>
  <si>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</si>
  <si>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</si>
  <si>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PEMERAL_6403F2026890101__1001 Anti-TROP2_B7H3 Bs ADC/Anti-TROP2_B7H3 m</t>
  </si>
  <si>
    <t>EMERAL_6403F2026890101</t>
  </si>
  <si>
    <t>PEMERAL_6403G2026990108__0001 M2699 (TLR4) AIS/MS202699_0001</t>
  </si>
  <si>
    <t>EMERAL_6403G2026990108</t>
  </si>
  <si>
    <t>PEMERAL_6403G2026990112__0001 M2699 (TLR4) AIS/Supportive and Manageri</t>
  </si>
  <si>
    <t>EMERAL_6403G2026990112</t>
  </si>
  <si>
    <t>PEMERAL_6403G7013270509__0002 Pergoveris Pen/MS701327_0002</t>
  </si>
  <si>
    <t>EMERAL_6403G7013270509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</si>
  <si>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</si>
  <si>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</si>
  <si>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</si>
  <si>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EMERAL_6403G7013270510</t>
  </si>
  <si>
    <t>PEMERAL_6403G7013270512__0001 Pergoveris Pen/Supportive and Managerial</t>
  </si>
  <si>
    <t>EMERAL_6403G7013270512</t>
  </si>
  <si>
    <t>PEMERAL_6403H2018040201__1001 SI_Project Chronos/H.20180402.01.1001</t>
  </si>
  <si>
    <t>EMERAL_6403H2018040201</t>
  </si>
  <si>
    <t>PEMERAL_6403H2026401801__1001 DD_Ruby/H.20264018.01.1001</t>
  </si>
  <si>
    <t>EMERAL_6403H2026401801</t>
  </si>
  <si>
    <t>CSCALA_1248$A350</t>
  </si>
  <si>
    <t>CSCALA_1248$A350_L05</t>
  </si>
  <si>
    <t>CSCALA_1248$A350_L09</t>
  </si>
  <si>
    <t>CSCALA_1248$A350_L11</t>
  </si>
  <si>
    <t>CSCALA_1248$A350_L33</t>
  </si>
  <si>
    <t>CSCALA_1248$A351</t>
  </si>
  <si>
    <t>CSCALA_1248$A351_L05</t>
  </si>
  <si>
    <t>CSCALA_1248$A351_L12</t>
  </si>
  <si>
    <t>CSCALA_1248$A351_L33</t>
  </si>
  <si>
    <t>CSCALA_1248$A351_L34</t>
  </si>
  <si>
    <t>CSCALA_1248$A353 LPSO GPS</t>
  </si>
  <si>
    <t>CSCALA_1248$A353_L05</t>
  </si>
  <si>
    <t>CSCALA_1248$A353_L12</t>
  </si>
  <si>
    <t>CSCALA_1248$A353_L33</t>
  </si>
  <si>
    <t>CSCALA_1248$A353_L34</t>
  </si>
  <si>
    <t>CSCALA_1248$GM00 Quality Assurance</t>
  </si>
  <si>
    <t>H000002292</t>
  </si>
  <si>
    <t>CLFF_1000$$$CH65R00014</t>
  </si>
  <si>
    <t>H000000714</t>
  </si>
  <si>
    <t>FR8196435</t>
  </si>
  <si>
    <t>L000005617</t>
  </si>
  <si>
    <t xml:space="preserve">L000013128 </t>
  </si>
  <si>
    <t>2102L80001</t>
  </si>
  <si>
    <t>2102TFSZ63</t>
  </si>
  <si>
    <t>2102TMSZ92</t>
  </si>
  <si>
    <t>2102TMSZ95</t>
  </si>
  <si>
    <t>2102TMCZ94</t>
  </si>
  <si>
    <t>1756C05742</t>
  </si>
  <si>
    <t>2148C00002</t>
  </si>
  <si>
    <t>1919R05630</t>
  </si>
  <si>
    <t>2118R00001</t>
  </si>
  <si>
    <t>FR8196697</t>
  </si>
  <si>
    <t>L000005495</t>
  </si>
  <si>
    <t>L000013187 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</si>
  <si>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</si>
  <si>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</si>
  <si>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</si>
  <si>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</si>
  <si>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</si>
  <si>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</si>
  <si>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</si>
  <si>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Please dump all objects to O000000007 – Closed Cost Centers</t>
  </si>
  <si>
    <t>G000000235</t>
  </si>
  <si>
    <t>FR8204813</t>
  </si>
  <si>
    <t xml:space="preserve">L000013928 </t>
  </si>
  <si>
    <t>L000013681</t>
  </si>
  <si>
    <t>FR8204919</t>
  </si>
  <si>
    <t>FR8205239</t>
  </si>
  <si>
    <t>DS Value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</si>
</sst>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92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0" fillId="0" borderId="27" xfId="0" applyFont="1" applyBorder="1" applyAlignment="1"/>
    <xf numFmtId="0" fontId="24" fillId="0" borderId="0" xfId="0" applyFont="1"/>
  </cellXfs>
  <cellStyles count="92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39" totalsRowShown="0">
  <autoFilter ref="A1:M839" xr:uid="{00000000-000C-0000-FFFF-FFFF00000000}">
    <filterColumn colId="10">
      <filters>
        <filter val="Please dump all objects to O000000007 – Closed Cost Centers"/>
        <filter val="todo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/>
  <cols>
    <col min="1" max="1" width="14.85546875" bestFit="1" customWidth="1"/>
    <col min="2" max="2" width="14.7109375" bestFit="1" customWidth="1"/>
  </cols>
  <sheetData>
    <row r="1" spans="1:2">
      <c r="A1" s="45" t="s">
        <v>0</v>
      </c>
    </row>
    <row r="3" spans="1:2">
      <c r="A3" s="45" t="s">
        <v>11</v>
      </c>
      <c r="B3" t="s">
        <v>6619</v>
      </c>
    </row>
    <row r="4" spans="1:2">
      <c r="A4" s="32" t="s">
        <v>8066</v>
      </c>
      <c r="B4" s="44">
        <v>1</v>
      </c>
    </row>
    <row r="5" spans="1:2">
      <c r="A5" s="67" t="s">
        <v>8557</v>
      </c>
      <c r="B5" s="44">
        <v>1</v>
      </c>
    </row>
    <row r="6" spans="1:2">
      <c r="A6" s="32" t="s">
        <v>8149</v>
      </c>
      <c r="B6" s="44">
        <v>9</v>
      </c>
    </row>
    <row r="7" spans="1:2">
      <c r="A7" s="67" t="s">
        <v>8555</v>
      </c>
      <c r="B7" s="44">
        <v>7</v>
      </c>
    </row>
    <row r="8" spans="1:2">
      <c r="A8" s="67" t="s">
        <v>8556</v>
      </c>
      <c r="B8" s="44">
        <v>2</v>
      </c>
    </row>
    <row r="9" spans="1:2">
      <c r="A9" s="32" t="s">
        <v>8551</v>
      </c>
      <c r="B9" s="44">
        <v>386</v>
      </c>
    </row>
    <row r="10" spans="1:2">
      <c r="A10" s="67" t="s">
        <v>8555</v>
      </c>
      <c r="B10" s="44">
        <v>151</v>
      </c>
    </row>
    <row r="11" spans="1:2">
      <c r="A11" s="67" t="s">
        <v>8556</v>
      </c>
      <c r="B11" s="44">
        <v>235</v>
      </c>
    </row>
    <row r="12" spans="1:2">
      <c r="A12" s="32" t="s">
        <v>8553</v>
      </c>
      <c r="B12" s="44">
        <v>3</v>
      </c>
    </row>
    <row r="13" spans="1:2">
      <c r="A13" s="67" t="s">
        <v>8555</v>
      </c>
      <c r="B13" s="44">
        <v>3</v>
      </c>
    </row>
    <row r="14" spans="1:2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39"/>
  <sheetViews>
    <sheetView tabSelected="1" topLeftCell="E1" zoomScale="115" zoomScaleNormal="115" workbookViewId="0">
      <selection activeCell="K846" sqref="K846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/>
      <c r="M26" s="9" t="s">
        <v>7943</v>
      </c>
    </row>
    <row r="27" spans="1:13" hidden="1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/>
      <c r="M27" s="36" t="s">
        <v>7943</v>
      </c>
    </row>
    <row r="28" spans="1:13" hidden="1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/>
      <c r="M28" s="36" t="s">
        <v>7943</v>
      </c>
    </row>
    <row r="29" spans="1:13" hidden="1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/>
      <c r="M29" s="36" t="s">
        <v>7943</v>
      </c>
    </row>
    <row r="30" spans="1:13" hidden="1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/>
      <c r="M30" s="36" t="s">
        <v>7943</v>
      </c>
    </row>
    <row r="31" spans="1:13" hidden="1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/>
      <c r="M31" s="36" t="s">
        <v>7943</v>
      </c>
    </row>
    <row r="32" spans="1:13" hidden="1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/>
      <c r="M32" s="36" t="s">
        <v>7943</v>
      </c>
    </row>
    <row r="33" spans="1:13" hidden="1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/>
      <c r="M33" s="36" t="s">
        <v>7943</v>
      </c>
    </row>
    <row r="34" spans="1:13" hidden="1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/>
      <c r="M34" s="36" t="s">
        <v>7943</v>
      </c>
    </row>
    <row r="35" spans="1:13" hidden="1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/>
      <c r="M35" s="36" t="s">
        <v>7943</v>
      </c>
    </row>
    <row r="36" spans="1:13" hidden="1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/>
      <c r="M36" s="36" t="s">
        <v>7943</v>
      </c>
    </row>
    <row r="37" spans="1:13" hidden="1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/>
      <c r="M37" s="36" t="s">
        <v>7943</v>
      </c>
    </row>
    <row r="38" spans="1:13" hidden="1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/>
      <c r="M38" s="36" t="s">
        <v>7943</v>
      </c>
    </row>
    <row r="39" spans="1:13" hidden="1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/>
      <c r="M39" s="36" t="s">
        <v>7943</v>
      </c>
    </row>
    <row r="40" spans="1:13" hidden="1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/>
      <c r="M40" s="36" t="s">
        <v>7943</v>
      </c>
    </row>
    <row r="41" spans="1:13" hidden="1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/>
      <c r="M41" s="36" t="s">
        <v>7943</v>
      </c>
    </row>
    <row r="42" spans="1:13" hidden="1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/>
      <c r="M42" s="36" t="s">
        <v>7943</v>
      </c>
    </row>
    <row r="43" spans="1:13" hidden="1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/>
      <c r="M43" s="36" t="s">
        <v>7943</v>
      </c>
    </row>
    <row r="44" spans="1:13" hidden="1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/>
      <c r="M44" s="36" t="s">
        <v>7943</v>
      </c>
    </row>
    <row r="45" spans="1:13" hidden="1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/>
      <c r="M45" s="36" t="s">
        <v>7943</v>
      </c>
    </row>
    <row r="46" spans="1:13" hidden="1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/>
      <c r="M46" s="36" t="s">
        <v>7943</v>
      </c>
    </row>
    <row r="47" spans="1:13" hidden="1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/>
      <c r="M47" s="36" t="s">
        <v>7943</v>
      </c>
    </row>
    <row r="48" spans="1:13" hidden="1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/>
      <c r="M48" s="36" t="s">
        <v>7943</v>
      </c>
    </row>
    <row r="49" spans="1:13" hidden="1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/>
      <c r="M49" s="36" t="s">
        <v>7943</v>
      </c>
    </row>
    <row r="50" spans="1:13" hidden="1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/>
      <c r="M50" s="36" t="s">
        <v>7943</v>
      </c>
    </row>
    <row r="51" spans="1:13" hidden="1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/>
      <c r="M51" s="36" t="s">
        <v>7943</v>
      </c>
    </row>
    <row r="52" spans="1:13" hidden="1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/>
      <c r="M56" s="9" t="s">
        <v>8016</v>
      </c>
    </row>
    <row r="57" spans="1:13" hidden="1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/>
      <c r="M57" s="36" t="s">
        <v>8016</v>
      </c>
    </row>
    <row r="58" spans="1:13" hidden="1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/>
      <c r="M58" s="36" t="s">
        <v>8016</v>
      </c>
    </row>
    <row r="59" spans="1:13" hidden="1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/>
      <c r="M59" s="36" t="s">
        <v>8016</v>
      </c>
    </row>
    <row r="60" spans="1:13" hidden="1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/>
      <c r="M60" s="36" t="s">
        <v>8016</v>
      </c>
    </row>
    <row r="61" spans="1:13" hidden="1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/>
      <c r="M61" s="36" t="s">
        <v>8016</v>
      </c>
    </row>
    <row r="62" spans="1:13" hidden="1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/>
      <c r="M62" s="36" t="s">
        <v>8016</v>
      </c>
    </row>
    <row r="63" spans="1:13" hidden="1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/>
      <c r="M63" s="36" t="s">
        <v>8016</v>
      </c>
    </row>
    <row r="64" spans="1:13" hidden="1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/>
      <c r="M64" s="36" t="s">
        <v>8016</v>
      </c>
    </row>
    <row r="65" spans="1:13" hidden="1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/>
      <c r="M65" s="36" t="s">
        <v>8016</v>
      </c>
    </row>
    <row r="66" spans="1:13" hidden="1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/>
      <c r="M66" s="36" t="s">
        <v>8016</v>
      </c>
    </row>
    <row r="67" spans="1:13" hidden="1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/>
      <c r="M67" s="36" t="s">
        <v>8016</v>
      </c>
    </row>
    <row r="68" spans="1:13" hidden="1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/>
      <c r="M68" s="36" t="s">
        <v>8016</v>
      </c>
    </row>
    <row r="69" spans="1:13" hidden="1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/>
      <c r="M69" s="36" t="s">
        <v>8016</v>
      </c>
    </row>
    <row r="70" spans="1:13" hidden="1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/>
      <c r="M70" s="36" t="s">
        <v>8016</v>
      </c>
    </row>
    <row r="71" spans="1:13" hidden="1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/>
      <c r="M71" s="36" t="s">
        <v>8016</v>
      </c>
    </row>
    <row r="72" spans="1:13" hidden="1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/>
      <c r="M72" s="36" t="s">
        <v>8016</v>
      </c>
    </row>
    <row r="73" spans="1:13" hidden="1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/>
      <c r="M73" s="36" t="s">
        <v>8016</v>
      </c>
    </row>
    <row r="74" spans="1:13" hidden="1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/>
      <c r="M74" s="36" t="s">
        <v>8016</v>
      </c>
    </row>
    <row r="75" spans="1:13" hidden="1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/>
      <c r="M75" s="36" t="s">
        <v>8016</v>
      </c>
    </row>
    <row r="76" spans="1:13" hidden="1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/>
      <c r="M76" s="36" t="s">
        <v>8016</v>
      </c>
    </row>
    <row r="77" spans="1:13" hidden="1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/>
      <c r="M77" s="36" t="s">
        <v>8016</v>
      </c>
    </row>
    <row r="78" spans="1:13" hidden="1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/>
      <c r="M78" s="36" t="s">
        <v>8016</v>
      </c>
    </row>
    <row r="79" spans="1:13" hidden="1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/>
      <c r="M79" s="36" t="s">
        <v>8016</v>
      </c>
    </row>
    <row r="80" spans="1:13" hidden="1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/>
      <c r="M80" s="36" t="s">
        <v>8016</v>
      </c>
    </row>
    <row r="81" spans="1:13" hidden="1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/>
      <c r="M81" s="36" t="s">
        <v>8016</v>
      </c>
    </row>
    <row r="82" spans="1:13" hidden="1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/>
      <c r="M82" s="36" t="s">
        <v>8016</v>
      </c>
    </row>
    <row r="83" spans="1:13" hidden="1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/>
      <c r="M83" s="36" t="s">
        <v>8016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/>
      <c r="M84" s="36" t="s">
        <v>8016</v>
      </c>
    </row>
    <row r="85" spans="1:13" hidden="1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/>
      <c r="M85" s="36" t="s">
        <v>8016</v>
      </c>
    </row>
    <row r="86" spans="1:13" hidden="1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/>
      <c r="M86" s="36" t="s">
        <v>8016</v>
      </c>
    </row>
    <row r="87" spans="1:13" hidden="1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/>
      <c r="M87" s="36" t="s">
        <v>8016</v>
      </c>
    </row>
    <row r="88" spans="1:13" hidden="1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/>
      <c r="M88" s="36" t="s">
        <v>8016</v>
      </c>
    </row>
    <row r="89" spans="1:13" hidden="1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/>
      <c r="M89" s="36" t="s">
        <v>8016</v>
      </c>
    </row>
    <row r="90" spans="1:13" hidden="1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/>
      <c r="M90" s="36" t="s">
        <v>8016</v>
      </c>
    </row>
    <row r="91" spans="1:13" hidden="1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/>
      <c r="M91" s="36" t="s">
        <v>8016</v>
      </c>
    </row>
    <row r="92" spans="1:13" hidden="1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/>
      <c r="M92" s="36" t="s">
        <v>8016</v>
      </c>
    </row>
    <row r="93" spans="1:13" hidden="1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/>
      <c r="M93" s="36" t="s">
        <v>8016</v>
      </c>
    </row>
    <row r="94" spans="1:13" hidden="1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/>
      <c r="M94" s="36" t="s">
        <v>8016</v>
      </c>
    </row>
    <row r="95" spans="1:13" hidden="1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/>
      <c r="M95" s="36" t="s">
        <v>8016</v>
      </c>
    </row>
    <row r="96" spans="1:13" hidden="1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/>
      <c r="M96" s="36" t="s">
        <v>8016</v>
      </c>
    </row>
    <row r="97" spans="1:13" hidden="1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/>
      <c r="M97" s="36" t="s">
        <v>8016</v>
      </c>
    </row>
    <row r="98" spans="1:13" hidden="1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/>
      <c r="M98" s="36" t="s">
        <v>8016</v>
      </c>
    </row>
    <row r="99" spans="1:13" hidden="1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/>
      <c r="M99" s="36" t="s">
        <v>8016</v>
      </c>
    </row>
    <row r="100" spans="1:13" hidden="1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/>
      <c r="M100" s="36" t="s">
        <v>8016</v>
      </c>
    </row>
    <row r="101" spans="1:13" hidden="1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/>
      <c r="M101" s="36" t="s">
        <v>8016</v>
      </c>
    </row>
    <row r="102" spans="1:13" hidden="1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/>
      <c r="M102" s="36" t="s">
        <v>8016</v>
      </c>
    </row>
    <row r="103" spans="1:13" hidden="1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/>
      <c r="M103" s="36" t="s">
        <v>8016</v>
      </c>
    </row>
    <row r="104" spans="1:13" hidden="1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/>
      <c r="M104" s="36" t="s">
        <v>8016</v>
      </c>
    </row>
    <row r="105" spans="1:13" hidden="1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/>
      <c r="M105" s="36" t="s">
        <v>8016</v>
      </c>
    </row>
    <row r="106" spans="1:13" hidden="1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/>
      <c r="M106" s="36" t="s">
        <v>8016</v>
      </c>
    </row>
    <row r="107" spans="1:13" hidden="1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/>
      <c r="M107" s="36" t="s">
        <v>8016</v>
      </c>
    </row>
    <row r="108" spans="1:13" hidden="1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/>
      <c r="M108" s="36" t="s">
        <v>8016</v>
      </c>
    </row>
    <row r="109" spans="1:13" hidden="1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/>
      <c r="M109" s="36" t="s">
        <v>8016</v>
      </c>
    </row>
    <row r="110" spans="1:13" hidden="1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/>
      <c r="M110" s="36" t="s">
        <v>8016</v>
      </c>
    </row>
    <row r="111" spans="1:13" hidden="1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/>
      <c r="M111" s="36" t="s">
        <v>8016</v>
      </c>
    </row>
    <row r="112" spans="1:13" hidden="1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/>
      <c r="M112" s="36" t="s">
        <v>8016</v>
      </c>
    </row>
    <row r="113" spans="1:13" hidden="1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/>
      <c r="M113" s="36" t="s">
        <v>8016</v>
      </c>
    </row>
    <row r="114" spans="1:13" hidden="1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/>
      <c r="M114" s="36" t="s">
        <v>8016</v>
      </c>
    </row>
    <row r="115" spans="1:13" hidden="1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/>
      <c r="M115" s="36" t="s">
        <v>8016</v>
      </c>
    </row>
    <row r="116" spans="1:13" hidden="1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/>
      <c r="M116" s="36" t="s">
        <v>8016</v>
      </c>
    </row>
    <row r="117" spans="1:13" hidden="1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/>
      <c r="M117" s="36" t="s">
        <v>8016</v>
      </c>
    </row>
    <row r="118" spans="1:13" hidden="1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/>
      <c r="M118" s="36" t="s">
        <v>8016</v>
      </c>
    </row>
    <row r="119" spans="1:13" hidden="1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/>
      <c r="M119" s="36" t="s">
        <v>8016</v>
      </c>
    </row>
    <row r="120" spans="1:13" hidden="1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/>
      <c r="M120" s="36" t="s">
        <v>8016</v>
      </c>
    </row>
    <row r="121" spans="1:13" hidden="1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/>
      <c r="M121" s="36" t="s">
        <v>8016</v>
      </c>
    </row>
    <row r="122" spans="1:13" hidden="1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/>
      <c r="M122" s="36" t="s">
        <v>8016</v>
      </c>
    </row>
    <row r="123" spans="1:13" hidden="1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/>
      <c r="M123" s="36" t="s">
        <v>8016</v>
      </c>
    </row>
    <row r="124" spans="1:13" hidden="1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/>
      <c r="M124" s="36" t="s">
        <v>8016</v>
      </c>
    </row>
    <row r="125" spans="1:13" hidden="1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/>
      <c r="M125" s="36" t="s">
        <v>8016</v>
      </c>
    </row>
    <row r="126" spans="1:13" hidden="1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/>
      <c r="M126" s="36" t="s">
        <v>8016</v>
      </c>
    </row>
    <row r="127" spans="1:13" hidden="1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/>
      <c r="M127" s="36" t="s">
        <v>8016</v>
      </c>
    </row>
    <row r="128" spans="1:13" hidden="1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/>
      <c r="M128" s="36" t="s">
        <v>8016</v>
      </c>
    </row>
    <row r="129" spans="1:13" hidden="1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/>
      <c r="M129" s="36" t="s">
        <v>8016</v>
      </c>
    </row>
    <row r="130" spans="1:13" hidden="1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/>
      <c r="M130" s="36" t="s">
        <v>8016</v>
      </c>
    </row>
    <row r="131" spans="1:13" hidden="1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/>
      <c r="M131" s="36" t="s">
        <v>8016</v>
      </c>
    </row>
    <row r="132" spans="1:13" hidden="1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/>
      <c r="M132" s="36" t="s">
        <v>8016</v>
      </c>
    </row>
    <row r="133" spans="1:13" hidden="1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/>
      <c r="M133" s="36" t="s">
        <v>8016</v>
      </c>
    </row>
    <row r="134" spans="1:13" hidden="1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/>
      <c r="M134" s="36" t="s">
        <v>8016</v>
      </c>
    </row>
    <row r="135" spans="1:13" hidden="1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/>
      <c r="M135" s="36" t="s">
        <v>8016</v>
      </c>
    </row>
    <row r="136" spans="1:13" hidden="1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/>
      <c r="M136" s="36" t="s">
        <v>8016</v>
      </c>
    </row>
    <row r="137" spans="1:13" hidden="1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/>
      <c r="M137" s="36" t="s">
        <v>8016</v>
      </c>
    </row>
    <row r="138" spans="1:13" hidden="1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/>
      <c r="M138" s="36" t="s">
        <v>8016</v>
      </c>
    </row>
    <row r="139" spans="1:13" hidden="1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/>
      <c r="M139" s="36" t="s">
        <v>8016</v>
      </c>
    </row>
    <row r="140" spans="1:13" hidden="1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/>
      <c r="M140" s="36" t="s">
        <v>8016</v>
      </c>
    </row>
    <row r="141" spans="1:13" hidden="1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/>
      <c r="M141" s="36" t="s">
        <v>8016</v>
      </c>
    </row>
    <row r="142" spans="1:13" hidden="1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/>
      <c r="M142" s="36" t="s">
        <v>8016</v>
      </c>
    </row>
    <row r="143" spans="1:13" hidden="1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/>
      <c r="M143" s="36" t="s">
        <v>8016</v>
      </c>
    </row>
    <row r="144" spans="1:13" hidden="1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/>
      <c r="M144" s="36" t="s">
        <v>8016</v>
      </c>
    </row>
    <row r="145" spans="1:13" hidden="1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/>
      <c r="M145" s="36" t="s">
        <v>8016</v>
      </c>
    </row>
    <row r="146" spans="1:13" hidden="1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/>
      <c r="M146" s="36" t="s">
        <v>8016</v>
      </c>
    </row>
    <row r="147" spans="1:13" hidden="1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/>
      <c r="M147" s="36" t="s">
        <v>8016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/>
      <c r="M148" s="36" t="s">
        <v>8016</v>
      </c>
    </row>
    <row r="149" spans="1:13" hidden="1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/>
      <c r="M149" s="36" t="s">
        <v>8016</v>
      </c>
    </row>
    <row r="150" spans="1:13" hidden="1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/>
      <c r="M150" s="36" t="s">
        <v>8016</v>
      </c>
    </row>
    <row r="151" spans="1:13" hidden="1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/>
      <c r="M151" s="36" t="s">
        <v>8016</v>
      </c>
    </row>
    <row r="152" spans="1:13" hidden="1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/>
      <c r="M152" s="36" t="s">
        <v>8016</v>
      </c>
    </row>
    <row r="153" spans="1:13" hidden="1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/>
      <c r="M154" s="9" t="s">
        <v>8113</v>
      </c>
    </row>
    <row r="155" spans="1:13" hidden="1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/>
      <c r="M155" s="36" t="s">
        <v>8113</v>
      </c>
    </row>
    <row r="156" spans="1:13" hidden="1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/>
      <c r="M156" s="36" t="s">
        <v>8113</v>
      </c>
    </row>
    <row r="157" spans="1:13" hidden="1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/>
      <c r="M157" s="36" t="s">
        <v>8113</v>
      </c>
    </row>
    <row r="158" spans="1:13" hidden="1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/>
      <c r="M158" s="36" t="s">
        <v>8113</v>
      </c>
    </row>
    <row r="159" spans="1:13" hidden="1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/>
      <c r="M159" s="36" t="s">
        <v>8113</v>
      </c>
    </row>
    <row r="160" spans="1:13" hidden="1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/>
      <c r="M160" s="36" t="s">
        <v>8113</v>
      </c>
    </row>
    <row r="161" spans="1:13" hidden="1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/>
      <c r="M161" s="36" t="s">
        <v>8113</v>
      </c>
    </row>
    <row r="162" spans="1:13" hidden="1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/>
      <c r="M162" s="36" t="s">
        <v>8113</v>
      </c>
    </row>
    <row r="163" spans="1:13" hidden="1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/>
      <c r="M163" s="36" t="s">
        <v>8113</v>
      </c>
    </row>
    <row r="164" spans="1:13" hidden="1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/>
      <c r="M164" s="36" t="s">
        <v>8113</v>
      </c>
    </row>
    <row r="165" spans="1:13" hidden="1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/>
      <c r="M165" s="36" t="s">
        <v>8113</v>
      </c>
    </row>
    <row r="166" spans="1:13" hidden="1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/>
      <c r="M166" s="36" t="s">
        <v>8113</v>
      </c>
    </row>
    <row r="167" spans="1:13" hidden="1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/>
      <c r="M167" s="36" t="s">
        <v>8113</v>
      </c>
    </row>
    <row r="168" spans="1:13" hidden="1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/>
      <c r="M168" s="36" t="s">
        <v>8113</v>
      </c>
    </row>
    <row r="169" spans="1:13" hidden="1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/>
      <c r="M169" s="36" t="s">
        <v>8113</v>
      </c>
    </row>
    <row r="170" spans="1:13" hidden="1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/>
      <c r="M170" s="36" t="s">
        <v>8113</v>
      </c>
    </row>
    <row r="171" spans="1:13" hidden="1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/>
      <c r="M171" s="36" t="s">
        <v>8113</v>
      </c>
    </row>
    <row r="172" spans="1:13" hidden="1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/>
      <c r="M172" s="36" t="s">
        <v>8113</v>
      </c>
    </row>
    <row r="173" spans="1:13" hidden="1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/>
      <c r="M173" s="36" t="s">
        <v>8113</v>
      </c>
    </row>
    <row r="174" spans="1:13" hidden="1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/>
      <c r="M174" s="36" t="s">
        <v>8113</v>
      </c>
    </row>
    <row r="175" spans="1:13" hidden="1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/>
      <c r="M175" s="36" t="s">
        <v>8113</v>
      </c>
    </row>
    <row r="176" spans="1:13" hidden="1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/>
      <c r="M176" s="36" t="s">
        <v>8113</v>
      </c>
    </row>
    <row r="177" spans="1:13" hidden="1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/>
      <c r="M177" s="36" t="s">
        <v>8113</v>
      </c>
    </row>
    <row r="178" spans="1:13" hidden="1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/>
      <c r="M178" s="36" t="s">
        <v>8113</v>
      </c>
    </row>
    <row r="179" spans="1:13" hidden="1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/>
      <c r="M179" s="36" t="s">
        <v>8113</v>
      </c>
    </row>
    <row r="180" spans="1:13" hidden="1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/>
      <c r="M180" s="36" t="s">
        <v>8113</v>
      </c>
    </row>
    <row r="181" spans="1:13" hidden="1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/>
      <c r="M181" s="36" t="s">
        <v>8113</v>
      </c>
    </row>
    <row r="182" spans="1:13" hidden="1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/>
      <c r="M182" s="36" t="s">
        <v>8113</v>
      </c>
    </row>
    <row r="183" spans="1:13" hidden="1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/>
      <c r="M186" s="9" t="s">
        <v>8129</v>
      </c>
    </row>
    <row r="187" spans="1:13" hidden="1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/>
      <c r="M187" s="36" t="s">
        <v>8129</v>
      </c>
    </row>
    <row r="188" spans="1:13" hidden="1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/>
      <c r="M188" s="36" t="s">
        <v>8129</v>
      </c>
    </row>
    <row r="189" spans="1:13" hidden="1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/>
      <c r="M189" s="36" t="s">
        <v>8129</v>
      </c>
    </row>
    <row r="190" spans="1:13" hidden="1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/>
      <c r="M190" s="36" t="s">
        <v>8129</v>
      </c>
    </row>
    <row r="191" spans="1:13" hidden="1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/>
      <c r="M191" s="36" t="s">
        <v>8129</v>
      </c>
    </row>
    <row r="192" spans="1:13" hidden="1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/>
      <c r="M192" s="36" t="s">
        <v>8129</v>
      </c>
    </row>
    <row r="193" spans="1:13" hidden="1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/>
      <c r="M193" s="36" t="s">
        <v>8129</v>
      </c>
    </row>
    <row r="194" spans="1:13" hidden="1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/>
      <c r="M194" s="36" t="s">
        <v>8129</v>
      </c>
    </row>
    <row r="195" spans="1:13" hidden="1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/>
      <c r="M195" s="36" t="s">
        <v>8129</v>
      </c>
    </row>
    <row r="196" spans="1:13" hidden="1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 hidden="1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 hidden="1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 hidden="1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 hidden="1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 hidden="1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 hidden="1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 hidden="1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 hidden="1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 hidden="1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8709</v>
      </c>
      <c r="D594" s="68" t="s">
        <v>7911</v>
      </c>
      <c r="F594" s="69" t="s">
        <v>8708</v>
      </c>
      <c r="G594" s="36" t="s">
        <v>13</v>
      </c>
      <c r="H594" s="36" t="str">
        <f>IFERROR(VLOOKUP(Table2[[#This Row], [Ticket]],Okey!A:B,2,0),"")</f>
        <v/>
      </c>
      <c r="J594" s="9" t="s">
        <v>19</v>
      </c>
      <c r="K594" s="36" t="s">
        <v>6567</v>
      </c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8715</v>
      </c>
      <c r="D595" s="9" t="s">
        <v>8710</v>
      </c>
      <c r="E595" s="38" t="s">
        <v>8711</v>
      </c>
      <c r="G595" s="9" t="s">
        <v>15</v>
      </c>
      <c r="H595" s="36" t="str">
        <f>IFERROR(VLOOKUP(Table2[[#This Row], [Ticket]],Okey!A:B,2,0),"")</f>
        <v/>
      </c>
      <c r="K595" s="9" t="s">
        <v>7857</v>
      </c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8715</v>
      </c>
      <c r="D596" s="36" t="s">
        <v>8868</v>
      </c>
      <c r="E596" s="9" t="s">
        <v>8712</v>
      </c>
      <c r="F596" s="9" t="s">
        <v>8710</v>
      </c>
      <c r="G596" s="9" t="s">
        <v>14</v>
      </c>
      <c r="H596" s="36" t="str">
        <f>IFERROR(VLOOKUP(Table2[[#This Row], [Ticket]],Okey!A:B,2,0),"")</f>
        <v/>
      </c>
      <c r="K596" s="9" t="s">
        <v>8705</v>
      </c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8715</v>
      </c>
      <c r="D597" s="36" t="s">
        <v>8869</v>
      </c>
      <c r="E597" s="9" t="s">
        <v>8713</v>
      </c>
      <c r="F597" s="9" t="s">
        <v>8710</v>
      </c>
      <c r="G597" s="36" t="s">
        <v>14</v>
      </c>
      <c r="H597" s="36" t="str">
        <f>IFERROR(VLOOKUP(Table2[[#This Row], [Ticket]],Okey!A:B,2,0),"")</f>
        <v/>
      </c>
      <c r="K597" s="36" t="s">
        <v>8705</v>
      </c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8715</v>
      </c>
      <c r="D598" s="36" t="s">
        <v>8870</v>
      </c>
      <c r="E598" s="9" t="s">
        <v>8714</v>
      </c>
      <c r="F598" s="9" t="s">
        <v>8710</v>
      </c>
      <c r="G598" s="36" t="s">
        <v>14</v>
      </c>
      <c r="H598" s="36" t="str">
        <f>IFERROR(VLOOKUP(Table2[[#This Row], [Ticket]],Okey!A:B,2,0),"")</f>
        <v/>
      </c>
      <c r="K598" s="36" t="s">
        <v>8705</v>
      </c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8716</v>
      </c>
      <c r="D599" s="9" t="s">
        <v>8871</v>
      </c>
      <c r="E599" s="9" t="s">
        <v>8717</v>
      </c>
      <c r="F599" s="9" t="s">
        <v>3655</v>
      </c>
      <c r="G599" s="36" t="s">
        <v>14</v>
      </c>
      <c r="H599" s="36" t="str">
        <f>IFERROR(VLOOKUP(Table2[[#This Row], [Ticket]],Okey!A:B,2,0),"")</f>
        <v/>
      </c>
      <c r="K599" s="36" t="s">
        <v>8705</v>
      </c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8718</v>
      </c>
      <c r="D600" s="36" t="s">
        <v>8872</v>
      </c>
      <c r="E600" s="9" t="s">
        <v>8719</v>
      </c>
      <c r="F600" s="9" t="s">
        <v>3167</v>
      </c>
      <c r="G600" s="36" t="s">
        <v>14</v>
      </c>
      <c r="H600" s="36" t="str">
        <f>IFERROR(VLOOKUP(Table2[[#This Row], [Ticket]],Okey!A:B,2,0),"")</f>
        <v/>
      </c>
      <c r="K600" s="36" t="s">
        <v>8705</v>
      </c>
      <c r="M600" s="9" t="s">
        <v>8016</v>
      </c>
    </row>
    <row r="601" spans="1:13" hidden="1">
      <c r="A601" s="42">
        <f t="shared" si="10"/>
        <v>600</v>
      </c>
      <c r="B601" s="36" t="s">
        <v>6</v>
      </c>
      <c r="C601" s="36" t="s">
        <v>8718</v>
      </c>
      <c r="D601" s="9" t="s">
        <v>8874</v>
      </c>
      <c r="E601" s="9" t="s">
        <v>8720</v>
      </c>
      <c r="F601" s="9" t="s">
        <v>8051</v>
      </c>
      <c r="G601" s="36" t="s">
        <v>14</v>
      </c>
      <c r="H601" s="36" t="str">
        <f>IFERROR(VLOOKUP(Table2[[#This Row], [Ticket]],Okey!A:B,2,0),"")</f>
        <v/>
      </c>
      <c r="K601" s="36" t="s">
        <v>8705</v>
      </c>
      <c r="M601" s="36" t="s">
        <v>8016</v>
      </c>
    </row>
    <row r="602" spans="1:13" hidden="1">
      <c r="A602" s="42">
        <f t="shared" si="10"/>
        <v>601</v>
      </c>
      <c r="B602" s="36" t="s">
        <v>6</v>
      </c>
      <c r="C602" s="36" t="s">
        <v>8718</v>
      </c>
      <c r="D602" s="9" t="s">
        <v>8875</v>
      </c>
      <c r="E602" s="9" t="s">
        <v>8721</v>
      </c>
      <c r="F602" s="9" t="s">
        <v>4301</v>
      </c>
      <c r="G602" s="36" t="s">
        <v>14</v>
      </c>
      <c r="H602" s="36" t="str">
        <f>IFERROR(VLOOKUP(Table2[[#This Row], [Ticket]],Okey!A:B,2,0),"")</f>
        <v/>
      </c>
      <c r="K602" s="36" t="s">
        <v>8705</v>
      </c>
      <c r="M602" s="36" t="s">
        <v>8016</v>
      </c>
    </row>
    <row r="603" spans="1:13" hidden="1">
      <c r="A603" s="42">
        <f t="shared" si="10"/>
        <v>602</v>
      </c>
      <c r="B603" s="36" t="s">
        <v>6</v>
      </c>
      <c r="C603" s="36" t="s">
        <v>8718</v>
      </c>
      <c r="D603" s="9" t="s">
        <v>8876</v>
      </c>
      <c r="E603" s="9" t="s">
        <v>8722</v>
      </c>
      <c r="F603" s="9" t="s">
        <v>8035</v>
      </c>
      <c r="G603" s="36" t="s">
        <v>14</v>
      </c>
      <c r="H603" s="36" t="str">
        <f>IFERROR(VLOOKUP(Table2[[#This Row], [Ticket]],Okey!A:B,2,0),"")</f>
        <v/>
      </c>
      <c r="K603" s="36" t="s">
        <v>8705</v>
      </c>
      <c r="M603" s="36" t="s">
        <v>8016</v>
      </c>
    </row>
    <row r="604" spans="1:13" hidden="1">
      <c r="A604" s="42">
        <f t="shared" si="10"/>
        <v>603</v>
      </c>
      <c r="B604" s="36" t="s">
        <v>6</v>
      </c>
      <c r="C604" s="36" t="s">
        <v>8718</v>
      </c>
      <c r="D604" s="9" t="s">
        <v>8877</v>
      </c>
      <c r="E604" s="9" t="s">
        <v>8723</v>
      </c>
      <c r="F604" s="9" t="s">
        <v>2653</v>
      </c>
      <c r="G604" s="36" t="s">
        <v>14</v>
      </c>
      <c r="H604" s="36" t="str">
        <f>IFERROR(VLOOKUP(Table2[[#This Row], [Ticket]],Okey!A:B,2,0),"")</f>
        <v/>
      </c>
      <c r="K604" s="36" t="s">
        <v>8705</v>
      </c>
      <c r="M604" s="36" t="s">
        <v>8016</v>
      </c>
    </row>
    <row r="605" spans="1:13" hidden="1">
      <c r="A605" s="42">
        <f t="shared" si="10"/>
        <v>604</v>
      </c>
      <c r="B605" s="36" t="s">
        <v>6</v>
      </c>
      <c r="C605" s="36" t="s">
        <v>8718</v>
      </c>
      <c r="D605" s="9" t="s">
        <v>8878</v>
      </c>
      <c r="E605" s="9" t="s">
        <v>8724</v>
      </c>
      <c r="F605" s="9" t="s">
        <v>2653</v>
      </c>
      <c r="G605" s="36" t="s">
        <v>14</v>
      </c>
      <c r="H605" s="36" t="str">
        <f>IFERROR(VLOOKUP(Table2[[#This Row], [Ticket]],Okey!A:B,2,0),"")</f>
        <v/>
      </c>
      <c r="K605" s="36" t="s">
        <v>8705</v>
      </c>
      <c r="M605" s="36" t="s">
        <v>8016</v>
      </c>
    </row>
    <row r="606" spans="1:13" hidden="1">
      <c r="A606" s="42">
        <f t="shared" si="10"/>
        <v>605</v>
      </c>
      <c r="B606" s="36" t="s">
        <v>6</v>
      </c>
      <c r="C606" s="36" t="s">
        <v>8718</v>
      </c>
      <c r="D606" s="9" t="s">
        <v>8879</v>
      </c>
      <c r="E606" s="9" t="s">
        <v>8725</v>
      </c>
      <c r="F606" s="9" t="s">
        <v>2653</v>
      </c>
      <c r="G606" s="36" t="s">
        <v>14</v>
      </c>
      <c r="H606" s="36" t="str">
        <f>IFERROR(VLOOKUP(Table2[[#This Row], [Ticket]],Okey!A:B,2,0),"")</f>
        <v/>
      </c>
      <c r="K606" s="36" t="s">
        <v>8705</v>
      </c>
      <c r="M606" s="36" t="s">
        <v>8016</v>
      </c>
    </row>
    <row r="607" spans="1:13" hidden="1">
      <c r="A607" s="42">
        <f t="shared" si="10"/>
        <v>606</v>
      </c>
      <c r="B607" s="36" t="s">
        <v>6</v>
      </c>
      <c r="C607" s="36" t="s">
        <v>8718</v>
      </c>
      <c r="D607" s="9" t="s">
        <v>8880</v>
      </c>
      <c r="E607" s="9" t="s">
        <v>8726</v>
      </c>
      <c r="F607" s="9" t="s">
        <v>2653</v>
      </c>
      <c r="G607" s="36" t="s">
        <v>14</v>
      </c>
      <c r="H607" s="36" t="str">
        <f>IFERROR(VLOOKUP(Table2[[#This Row], [Ticket]],Okey!A:B,2,0),"")</f>
        <v/>
      </c>
      <c r="K607" s="36" t="s">
        <v>8705</v>
      </c>
      <c r="M607" s="36" t="s">
        <v>8016</v>
      </c>
    </row>
    <row r="608" spans="1:13" hidden="1">
      <c r="A608" s="42">
        <f t="shared" si="10"/>
        <v>607</v>
      </c>
      <c r="B608" s="36" t="s">
        <v>6</v>
      </c>
      <c r="C608" s="36" t="s">
        <v>8718</v>
      </c>
      <c r="D608" s="9" t="s">
        <v>8881</v>
      </c>
      <c r="E608" s="9" t="s">
        <v>8727</v>
      </c>
      <c r="F608" s="9" t="s">
        <v>2653</v>
      </c>
      <c r="G608" s="36" t="s">
        <v>14</v>
      </c>
      <c r="H608" s="36" t="str">
        <f>IFERROR(VLOOKUP(Table2[[#This Row], [Ticket]],Okey!A:B,2,0),"")</f>
        <v/>
      </c>
      <c r="K608" s="36" t="s">
        <v>8705</v>
      </c>
      <c r="M608" s="36" t="s">
        <v>8016</v>
      </c>
    </row>
    <row r="609" spans="1:13" hidden="1">
      <c r="A609" s="42">
        <f t="shared" si="10"/>
        <v>608</v>
      </c>
      <c r="B609" s="36" t="s">
        <v>6</v>
      </c>
      <c r="C609" s="36" t="s">
        <v>8718</v>
      </c>
      <c r="D609" s="9" t="s">
        <v>8882</v>
      </c>
      <c r="E609" s="9" t="s">
        <v>8728</v>
      </c>
      <c r="F609" s="9" t="s">
        <v>8784</v>
      </c>
      <c r="G609" s="36" t="s">
        <v>14</v>
      </c>
      <c r="H609" s="36" t="str">
        <f>IFERROR(VLOOKUP(Table2[[#This Row], [Ticket]],Okey!A:B,2,0),"")</f>
        <v/>
      </c>
      <c r="K609" s="36" t="s">
        <v>8705</v>
      </c>
      <c r="M609" s="36" t="s">
        <v>8016</v>
      </c>
    </row>
    <row r="610" spans="1:13" hidden="1">
      <c r="A610" s="42">
        <f t="shared" si="10"/>
        <v>609</v>
      </c>
      <c r="B610" s="36" t="s">
        <v>6</v>
      </c>
      <c r="C610" s="36" t="s">
        <v>8718</v>
      </c>
      <c r="D610" s="9" t="s">
        <v>8883</v>
      </c>
      <c r="E610" s="9" t="s">
        <v>8729</v>
      </c>
      <c r="F610" s="9" t="s">
        <v>2551</v>
      </c>
      <c r="G610" s="36" t="s">
        <v>14</v>
      </c>
      <c r="H610" s="36" t="str">
        <f>IFERROR(VLOOKUP(Table2[[#This Row], [Ticket]],Okey!A:B,2,0),"")</f>
        <v/>
      </c>
      <c r="K610" s="36" t="s">
        <v>8705</v>
      </c>
      <c r="M610" s="36" t="s">
        <v>8016</v>
      </c>
    </row>
    <row r="611" spans="1:13" hidden="1">
      <c r="A611" s="42">
        <f t="shared" si="10"/>
        <v>610</v>
      </c>
      <c r="B611" s="36" t="s">
        <v>6</v>
      </c>
      <c r="C611" s="36" t="s">
        <v>8718</v>
      </c>
      <c r="D611" s="9" t="s">
        <v>8884</v>
      </c>
      <c r="E611" s="9" t="s">
        <v>8730</v>
      </c>
      <c r="F611" s="9" t="s">
        <v>2234</v>
      </c>
      <c r="G611" s="36" t="s">
        <v>14</v>
      </c>
      <c r="H611" s="36" t="str">
        <f>IFERROR(VLOOKUP(Table2[[#This Row], [Ticket]],Okey!A:B,2,0),"")</f>
        <v/>
      </c>
      <c r="K611" s="36" t="s">
        <v>8705</v>
      </c>
      <c r="M611" s="36" t="s">
        <v>8016</v>
      </c>
    </row>
    <row r="612" spans="1:13" hidden="1">
      <c r="A612" s="42">
        <f t="shared" si="10"/>
        <v>611</v>
      </c>
      <c r="B612" s="36" t="s">
        <v>6</v>
      </c>
      <c r="C612" s="36" t="s">
        <v>8718</v>
      </c>
      <c r="D612" s="9" t="s">
        <v>8885</v>
      </c>
      <c r="E612" s="9" t="s">
        <v>8731</v>
      </c>
      <c r="F612" s="9" t="s">
        <v>2203</v>
      </c>
      <c r="G612" s="36" t="s">
        <v>14</v>
      </c>
      <c r="H612" s="36" t="str">
        <f>IFERROR(VLOOKUP(Table2[[#This Row], [Ticket]],Okey!A:B,2,0),"")</f>
        <v/>
      </c>
      <c r="K612" s="36" t="s">
        <v>8705</v>
      </c>
      <c r="M612" s="36" t="s">
        <v>8016</v>
      </c>
    </row>
    <row r="613" spans="1:13" hidden="1">
      <c r="A613" s="42">
        <f t="shared" si="10"/>
        <v>612</v>
      </c>
      <c r="B613" s="36" t="s">
        <v>6</v>
      </c>
      <c r="C613" s="36" t="s">
        <v>8718</v>
      </c>
      <c r="D613" s="9" t="s">
        <v>8886</v>
      </c>
      <c r="E613" s="9" t="s">
        <v>8732</v>
      </c>
      <c r="F613" s="9" t="s">
        <v>5238</v>
      </c>
      <c r="G613" s="36" t="s">
        <v>14</v>
      </c>
      <c r="H613" s="36" t="str">
        <f>IFERROR(VLOOKUP(Table2[[#This Row], [Ticket]],Okey!A:B,2,0),"")</f>
        <v/>
      </c>
      <c r="K613" s="36" t="s">
        <v>8705</v>
      </c>
      <c r="M613" s="36" t="s">
        <v>8016</v>
      </c>
    </row>
    <row r="614" spans="1:13" hidden="1">
      <c r="A614" s="42">
        <f t="shared" si="10"/>
        <v>613</v>
      </c>
      <c r="B614" s="36" t="s">
        <v>6</v>
      </c>
      <c r="C614" s="36" t="s">
        <v>8718</v>
      </c>
      <c r="D614" s="9" t="s">
        <v>8887</v>
      </c>
      <c r="E614" s="9" t="s">
        <v>8733</v>
      </c>
      <c r="F614" s="9" t="s">
        <v>5238</v>
      </c>
      <c r="G614" s="36" t="s">
        <v>14</v>
      </c>
      <c r="H614" s="36" t="str">
        <f>IFERROR(VLOOKUP(Table2[[#This Row], [Ticket]],Okey!A:B,2,0),"")</f>
        <v/>
      </c>
      <c r="K614" s="36" t="s">
        <v>8705</v>
      </c>
      <c r="M614" s="36" t="s">
        <v>8016</v>
      </c>
    </row>
    <row r="615" spans="1:13" hidden="1">
      <c r="A615" s="42">
        <f t="shared" si="10"/>
        <v>614</v>
      </c>
      <c r="B615" s="36" t="s">
        <v>6</v>
      </c>
      <c r="C615" s="36" t="s">
        <v>8718</v>
      </c>
      <c r="D615" s="9" t="s">
        <v>8888</v>
      </c>
      <c r="E615" s="9" t="s">
        <v>8734</v>
      </c>
      <c r="F615" s="9" t="s">
        <v>5238</v>
      </c>
      <c r="G615" s="36" t="s">
        <v>14</v>
      </c>
      <c r="H615" s="36" t="str">
        <f>IFERROR(VLOOKUP(Table2[[#This Row], [Ticket]],Okey!A:B,2,0),"")</f>
        <v/>
      </c>
      <c r="K615" s="36" t="s">
        <v>8705</v>
      </c>
      <c r="M615" s="36" t="s">
        <v>8016</v>
      </c>
    </row>
    <row r="616" spans="1:13" hidden="1">
      <c r="A616" s="42">
        <f t="shared" si="10"/>
        <v>615</v>
      </c>
      <c r="B616" s="36" t="s">
        <v>6</v>
      </c>
      <c r="C616" s="36" t="s">
        <v>8718</v>
      </c>
      <c r="D616" s="9" t="s">
        <v>8889</v>
      </c>
      <c r="E616" s="9" t="s">
        <v>8735</v>
      </c>
      <c r="F616" s="9" t="s">
        <v>5238</v>
      </c>
      <c r="G616" s="36" t="s">
        <v>14</v>
      </c>
      <c r="H616" s="36" t="str">
        <f>IFERROR(VLOOKUP(Table2[[#This Row], [Ticket]],Okey!A:B,2,0),"")</f>
        <v/>
      </c>
      <c r="K616" s="36" t="s">
        <v>8705</v>
      </c>
      <c r="M616" s="36" t="s">
        <v>8016</v>
      </c>
    </row>
    <row r="617" spans="1:13" hidden="1">
      <c r="A617" s="42">
        <f t="shared" si="10"/>
        <v>616</v>
      </c>
      <c r="B617" s="36" t="s">
        <v>6</v>
      </c>
      <c r="C617" s="36" t="s">
        <v>8718</v>
      </c>
      <c r="D617" s="9" t="s">
        <v>8890</v>
      </c>
      <c r="E617" s="9" t="s">
        <v>8736</v>
      </c>
      <c r="F617" s="9" t="s">
        <v>5238</v>
      </c>
      <c r="G617" s="36" t="s">
        <v>14</v>
      </c>
      <c r="H617" s="36" t="str">
        <f>IFERROR(VLOOKUP(Table2[[#This Row], [Ticket]],Okey!A:B,2,0),"")</f>
        <v/>
      </c>
      <c r="K617" s="36" t="s">
        <v>8705</v>
      </c>
      <c r="M617" s="36" t="s">
        <v>8016</v>
      </c>
    </row>
    <row r="618" spans="1:13" hidden="1">
      <c r="A618" s="42">
        <f t="shared" si="10"/>
        <v>617</v>
      </c>
      <c r="B618" s="36" t="s">
        <v>6</v>
      </c>
      <c r="C618" s="36" t="s">
        <v>8718</v>
      </c>
      <c r="D618" s="9" t="s">
        <v>8891</v>
      </c>
      <c r="E618" s="9" t="s">
        <v>8737</v>
      </c>
      <c r="F618" s="9" t="s">
        <v>5238</v>
      </c>
      <c r="G618" s="36" t="s">
        <v>14</v>
      </c>
      <c r="H618" s="36" t="str">
        <f>IFERROR(VLOOKUP(Table2[[#This Row], [Ticket]],Okey!A:B,2,0),"")</f>
        <v/>
      </c>
      <c r="K618" s="36" t="s">
        <v>8705</v>
      </c>
      <c r="M618" s="36" t="s">
        <v>8016</v>
      </c>
    </row>
    <row r="619" spans="1:13" hidden="1">
      <c r="A619" s="42">
        <f t="shared" si="10"/>
        <v>618</v>
      </c>
      <c r="B619" s="36" t="s">
        <v>6</v>
      </c>
      <c r="C619" s="36" t="s">
        <v>8718</v>
      </c>
      <c r="D619" s="9" t="s">
        <v>8892</v>
      </c>
      <c r="E619" s="9" t="s">
        <v>8738</v>
      </c>
      <c r="F619" s="9" t="s">
        <v>5238</v>
      </c>
      <c r="G619" s="36" t="s">
        <v>14</v>
      </c>
      <c r="H619" s="36" t="str">
        <f>IFERROR(VLOOKUP(Table2[[#This Row], [Ticket]],Okey!A:B,2,0),"")</f>
        <v/>
      </c>
      <c r="K619" s="36" t="s">
        <v>8705</v>
      </c>
      <c r="M619" s="36" t="s">
        <v>8016</v>
      </c>
    </row>
    <row r="620" spans="1:13" hidden="1">
      <c r="A620" s="42">
        <f t="shared" si="10"/>
        <v>619</v>
      </c>
      <c r="B620" s="36" t="s">
        <v>6</v>
      </c>
      <c r="C620" s="36" t="s">
        <v>8718</v>
      </c>
      <c r="D620" s="9" t="s">
        <v>8893</v>
      </c>
      <c r="E620" s="9" t="s">
        <v>8739</v>
      </c>
      <c r="F620" s="36" t="s">
        <v>8892</v>
      </c>
      <c r="G620" s="36" t="s">
        <v>14</v>
      </c>
      <c r="H620" s="36" t="str">
        <f>IFERROR(VLOOKUP(Table2[[#This Row], [Ticket]],Okey!A:B,2,0),"")</f>
        <v/>
      </c>
      <c r="K620" s="36" t="s">
        <v>8705</v>
      </c>
      <c r="M620" s="36" t="s">
        <v>8016</v>
      </c>
    </row>
    <row r="621" spans="1:13" hidden="1">
      <c r="A621" s="42">
        <f t="shared" si="10"/>
        <v>620</v>
      </c>
      <c r="B621" s="36" t="s">
        <v>6</v>
      </c>
      <c r="C621" s="36" t="s">
        <v>8718</v>
      </c>
      <c r="D621" s="9" t="s">
        <v>8894</v>
      </c>
      <c r="E621" s="9" t="s">
        <v>8740</v>
      </c>
      <c r="F621" s="36" t="s">
        <v>8892</v>
      </c>
      <c r="G621" s="36" t="s">
        <v>14</v>
      </c>
      <c r="H621" s="36" t="str">
        <f>IFERROR(VLOOKUP(Table2[[#This Row], [Ticket]],Okey!A:B,2,0),"")</f>
        <v/>
      </c>
      <c r="K621" s="36" t="s">
        <v>8705</v>
      </c>
      <c r="M621" s="36" t="s">
        <v>8016</v>
      </c>
    </row>
    <row r="622" spans="1:13" hidden="1">
      <c r="A622" s="42">
        <f t="shared" si="10"/>
        <v>621</v>
      </c>
      <c r="B622" s="36" t="s">
        <v>6</v>
      </c>
      <c r="C622" s="36" t="s">
        <v>8718</v>
      </c>
      <c r="D622" s="9" t="s">
        <v>8895</v>
      </c>
      <c r="E622" s="9" t="s">
        <v>8741</v>
      </c>
      <c r="F622" s="36" t="s">
        <v>8892</v>
      </c>
      <c r="G622" s="36" t="s">
        <v>14</v>
      </c>
      <c r="H622" s="36" t="str">
        <f>IFERROR(VLOOKUP(Table2[[#This Row], [Ticket]],Okey!A:B,2,0),"")</f>
        <v/>
      </c>
      <c r="K622" s="36" t="s">
        <v>8705</v>
      </c>
      <c r="M622" s="36" t="s">
        <v>8016</v>
      </c>
    </row>
    <row r="623" spans="1:13" hidden="1">
      <c r="A623" s="42">
        <f t="shared" si="10"/>
        <v>622</v>
      </c>
      <c r="B623" s="36" t="s">
        <v>6</v>
      </c>
      <c r="C623" s="36" t="s">
        <v>8718</v>
      </c>
      <c r="D623" s="9" t="s">
        <v>8896</v>
      </c>
      <c r="E623" s="9" t="s">
        <v>8742</v>
      </c>
      <c r="F623" s="36" t="s">
        <v>8892</v>
      </c>
      <c r="G623" s="36" t="s">
        <v>14</v>
      </c>
      <c r="H623" s="36" t="str">
        <f>IFERROR(VLOOKUP(Table2[[#This Row], [Ticket]],Okey!A:B,2,0),"")</f>
        <v/>
      </c>
      <c r="K623" s="36" t="s">
        <v>8705</v>
      </c>
      <c r="M623" s="36" t="s">
        <v>8016</v>
      </c>
    </row>
    <row r="624" spans="1:13" hidden="1">
      <c r="A624" s="42">
        <f t="shared" si="10"/>
        <v>623</v>
      </c>
      <c r="B624" s="36" t="s">
        <v>6</v>
      </c>
      <c r="C624" s="36" t="s">
        <v>8718</v>
      </c>
      <c r="D624" s="9" t="s">
        <v>8897</v>
      </c>
      <c r="E624" s="9" t="s">
        <v>8743</v>
      </c>
      <c r="F624" s="9" t="s">
        <v>2199</v>
      </c>
      <c r="G624" s="36" t="s">
        <v>14</v>
      </c>
      <c r="H624" s="36" t="str">
        <f>IFERROR(VLOOKUP(Table2[[#This Row], [Ticket]],Okey!A:B,2,0),"")</f>
        <v/>
      </c>
      <c r="K624" s="36" t="s">
        <v>8705</v>
      </c>
      <c r="M624" s="36" t="s">
        <v>8016</v>
      </c>
    </row>
    <row r="625" spans="1:13" hidden="1">
      <c r="A625" s="42">
        <f t="shared" si="10"/>
        <v>624</v>
      </c>
      <c r="B625" s="36" t="s">
        <v>6</v>
      </c>
      <c r="C625" s="36" t="s">
        <v>8718</v>
      </c>
      <c r="D625" s="9" t="s">
        <v>8898</v>
      </c>
      <c r="E625" s="9" t="s">
        <v>8744</v>
      </c>
      <c r="F625" s="9" t="s">
        <v>2544</v>
      </c>
      <c r="G625" s="36" t="s">
        <v>14</v>
      </c>
      <c r="H625" s="36" t="str">
        <f>IFERROR(VLOOKUP(Table2[[#This Row], [Ticket]],Okey!A:B,2,0),"")</f>
        <v/>
      </c>
      <c r="K625" s="36" t="s">
        <v>8705</v>
      </c>
      <c r="M625" s="36" t="s">
        <v>8016</v>
      </c>
    </row>
    <row r="626" spans="1:13" hidden="1">
      <c r="A626" s="42">
        <f t="shared" si="10"/>
        <v>625</v>
      </c>
      <c r="B626" s="36" t="s">
        <v>6</v>
      </c>
      <c r="C626" s="36" t="s">
        <v>8718</v>
      </c>
      <c r="D626" s="9" t="s">
        <v>8899</v>
      </c>
      <c r="E626" s="9" t="s">
        <v>8745</v>
      </c>
      <c r="F626" s="9" t="s">
        <v>8785</v>
      </c>
      <c r="G626" s="36" t="s">
        <v>14</v>
      </c>
      <c r="H626" s="36" t="str">
        <f>IFERROR(VLOOKUP(Table2[[#This Row], [Ticket]],Okey!A:B,2,0),"")</f>
        <v/>
      </c>
      <c r="K626" s="36" t="s">
        <v>8705</v>
      </c>
      <c r="M626" s="36" t="s">
        <v>8016</v>
      </c>
    </row>
    <row r="627" spans="1:13" hidden="1">
      <c r="A627" s="42">
        <f t="shared" si="10"/>
        <v>626</v>
      </c>
      <c r="B627" s="36" t="s">
        <v>6</v>
      </c>
      <c r="C627" s="36" t="s">
        <v>8718</v>
      </c>
      <c r="D627" s="9" t="s">
        <v>8900</v>
      </c>
      <c r="E627" s="9" t="s">
        <v>8746</v>
      </c>
      <c r="F627" s="9" t="s">
        <v>8785</v>
      </c>
      <c r="G627" s="36" t="s">
        <v>14</v>
      </c>
      <c r="H627" s="36" t="str">
        <f>IFERROR(VLOOKUP(Table2[[#This Row], [Ticket]],Okey!A:B,2,0),"")</f>
        <v/>
      </c>
      <c r="K627" s="36" t="s">
        <v>8705</v>
      </c>
      <c r="M627" s="36" t="s">
        <v>8016</v>
      </c>
    </row>
    <row r="628" spans="1:13" hidden="1">
      <c r="A628" s="42">
        <f t="shared" si="10"/>
        <v>627</v>
      </c>
      <c r="B628" s="36" t="s">
        <v>6</v>
      </c>
      <c r="C628" s="36" t="s">
        <v>8718</v>
      </c>
      <c r="D628" s="9" t="s">
        <v>8901</v>
      </c>
      <c r="E628" s="9" t="s">
        <v>8747</v>
      </c>
      <c r="F628" s="9" t="s">
        <v>2149</v>
      </c>
      <c r="G628" s="36" t="s">
        <v>14</v>
      </c>
      <c r="H628" s="36" t="str">
        <f>IFERROR(VLOOKUP(Table2[[#This Row], [Ticket]],Okey!A:B,2,0),"")</f>
        <v/>
      </c>
      <c r="K628" s="36" t="s">
        <v>8705</v>
      </c>
      <c r="M628" s="36" t="s">
        <v>8016</v>
      </c>
    </row>
    <row r="629" spans="1:13" hidden="1">
      <c r="A629" s="42">
        <f t="shared" si="10"/>
        <v>628</v>
      </c>
      <c r="B629" s="36" t="s">
        <v>6</v>
      </c>
      <c r="C629" s="36" t="s">
        <v>8718</v>
      </c>
      <c r="D629" s="9" t="s">
        <v>8902</v>
      </c>
      <c r="E629" s="9" t="s">
        <v>8748</v>
      </c>
      <c r="F629" s="9" t="s">
        <v>2151</v>
      </c>
      <c r="G629" s="36" t="s">
        <v>14</v>
      </c>
      <c r="H629" s="36" t="str">
        <f>IFERROR(VLOOKUP(Table2[[#This Row], [Ticket]],Okey!A:B,2,0),"")</f>
        <v/>
      </c>
      <c r="K629" s="36" t="s">
        <v>8705</v>
      </c>
      <c r="M629" s="36" t="s">
        <v>8016</v>
      </c>
    </row>
    <row r="630" spans="1:13" hidden="1">
      <c r="A630" s="42">
        <f t="shared" si="10"/>
        <v>629</v>
      </c>
      <c r="B630" s="36" t="s">
        <v>6</v>
      </c>
      <c r="C630" s="36" t="s">
        <v>8718</v>
      </c>
      <c r="D630" s="9" t="s">
        <v>8903</v>
      </c>
      <c r="E630" s="9" t="s">
        <v>8749</v>
      </c>
      <c r="F630" s="9" t="s">
        <v>2537</v>
      </c>
      <c r="G630" s="36" t="s">
        <v>14</v>
      </c>
      <c r="H630" s="36" t="str">
        <f>IFERROR(VLOOKUP(Table2[[#This Row], [Ticket]],Okey!A:B,2,0),"")</f>
        <v/>
      </c>
      <c r="K630" s="36" t="s">
        <v>8705</v>
      </c>
      <c r="M630" s="36" t="s">
        <v>8016</v>
      </c>
    </row>
    <row r="631" spans="1:13" hidden="1">
      <c r="A631" s="42">
        <f t="shared" si="10"/>
        <v>630</v>
      </c>
      <c r="B631" s="36" t="s">
        <v>6</v>
      </c>
      <c r="C631" s="36" t="s">
        <v>8718</v>
      </c>
      <c r="D631" s="9" t="s">
        <v>8904</v>
      </c>
      <c r="E631" s="9" t="s">
        <v>8750</v>
      </c>
      <c r="F631" s="9" t="s">
        <v>8785</v>
      </c>
      <c r="G631" s="36" t="s">
        <v>14</v>
      </c>
      <c r="H631" s="36" t="str">
        <f>IFERROR(VLOOKUP(Table2[[#This Row], [Ticket]],Okey!A:B,2,0),"")</f>
        <v/>
      </c>
      <c r="K631" s="36" t="s">
        <v>8705</v>
      </c>
      <c r="M631" s="36" t="s">
        <v>8016</v>
      </c>
    </row>
    <row r="632" spans="1:13" hidden="1">
      <c r="A632" s="42">
        <f t="shared" si="10"/>
        <v>631</v>
      </c>
      <c r="B632" s="36" t="s">
        <v>6</v>
      </c>
      <c r="C632" s="36" t="s">
        <v>8718</v>
      </c>
      <c r="D632" s="9" t="s">
        <v>8905</v>
      </c>
      <c r="E632" s="9" t="s">
        <v>8751</v>
      </c>
      <c r="F632" s="36" t="s">
        <v>8904</v>
      </c>
      <c r="G632" s="36" t="s">
        <v>14</v>
      </c>
      <c r="H632" s="36" t="str">
        <f>IFERROR(VLOOKUP(Table2[[#This Row], [Ticket]],Okey!A:B,2,0),"")</f>
        <v/>
      </c>
      <c r="K632" s="36" t="s">
        <v>8705</v>
      </c>
      <c r="M632" s="36" t="s">
        <v>8016</v>
      </c>
    </row>
    <row r="633" spans="1:13" hidden="1">
      <c r="A633" s="42">
        <f t="shared" si="10"/>
        <v>632</v>
      </c>
      <c r="B633" s="36" t="s">
        <v>6</v>
      </c>
      <c r="C633" s="36" t="s">
        <v>8718</v>
      </c>
      <c r="D633" s="9" t="s">
        <v>8906</v>
      </c>
      <c r="E633" s="9" t="s">
        <v>8752</v>
      </c>
      <c r="F633" s="9" t="s">
        <v>8785</v>
      </c>
      <c r="G633" s="36" t="s">
        <v>14</v>
      </c>
      <c r="H633" s="36" t="str">
        <f>IFERROR(VLOOKUP(Table2[[#This Row], [Ticket]],Okey!A:B,2,0),"")</f>
        <v/>
      </c>
      <c r="K633" s="36" t="s">
        <v>8705</v>
      </c>
      <c r="M633" s="36" t="s">
        <v>8016</v>
      </c>
    </row>
    <row r="634" spans="1:13" hidden="1">
      <c r="A634" s="42">
        <f t="shared" si="10"/>
        <v>633</v>
      </c>
      <c r="B634" s="36" t="s">
        <v>6</v>
      </c>
      <c r="C634" s="36" t="s">
        <v>8718</v>
      </c>
      <c r="D634" s="9" t="s">
        <v>8907</v>
      </c>
      <c r="E634" s="9" t="s">
        <v>8753</v>
      </c>
      <c r="F634" s="9" t="s">
        <v>8786</v>
      </c>
      <c r="G634" s="36" t="s">
        <v>14</v>
      </c>
      <c r="H634" s="36" t="str">
        <f>IFERROR(VLOOKUP(Table2[[#This Row], [Ticket]],Okey!A:B,2,0),"")</f>
        <v/>
      </c>
      <c r="K634" s="36" t="s">
        <v>8705</v>
      </c>
      <c r="M634" s="36" t="s">
        <v>8016</v>
      </c>
    </row>
    <row r="635" spans="1:13" hidden="1">
      <c r="A635" s="42">
        <f t="shared" si="10"/>
        <v>634</v>
      </c>
      <c r="B635" s="36" t="s">
        <v>6</v>
      </c>
      <c r="C635" s="36" t="s">
        <v>8718</v>
      </c>
      <c r="D635" s="9" t="s">
        <v>8908</v>
      </c>
      <c r="E635" s="9" t="s">
        <v>8754</v>
      </c>
      <c r="F635" s="9" t="s">
        <v>2418</v>
      </c>
      <c r="G635" s="36" t="s">
        <v>14</v>
      </c>
      <c r="H635" s="36" t="str">
        <f>IFERROR(VLOOKUP(Table2[[#This Row], [Ticket]],Okey!A:B,2,0),"")</f>
        <v/>
      </c>
      <c r="K635" s="36" t="s">
        <v>8705</v>
      </c>
      <c r="M635" s="36" t="s">
        <v>8016</v>
      </c>
    </row>
    <row r="636" spans="1:13" hidden="1">
      <c r="A636" s="42">
        <f t="shared" si="10"/>
        <v>635</v>
      </c>
      <c r="B636" s="36" t="s">
        <v>6</v>
      </c>
      <c r="C636" s="36" t="s">
        <v>8718</v>
      </c>
      <c r="D636" s="9" t="s">
        <v>8909</v>
      </c>
      <c r="E636" s="9" t="s">
        <v>8755</v>
      </c>
      <c r="F636" s="9" t="s">
        <v>8786</v>
      </c>
      <c r="G636" s="36" t="s">
        <v>14</v>
      </c>
      <c r="H636" s="36" t="str">
        <f>IFERROR(VLOOKUP(Table2[[#This Row], [Ticket]],Okey!A:B,2,0),"")</f>
        <v/>
      </c>
      <c r="K636" s="36" t="s">
        <v>8705</v>
      </c>
      <c r="M636" s="36" t="s">
        <v>8016</v>
      </c>
    </row>
    <row r="637" spans="1:13" hidden="1">
      <c r="A637" s="42">
        <f t="shared" si="10"/>
        <v>636</v>
      </c>
      <c r="B637" s="36" t="s">
        <v>6</v>
      </c>
      <c r="C637" s="36" t="s">
        <v>8718</v>
      </c>
      <c r="D637" s="9" t="s">
        <v>8910</v>
      </c>
      <c r="E637" s="9" t="s">
        <v>8756</v>
      </c>
      <c r="F637" s="9" t="s">
        <v>2558</v>
      </c>
      <c r="G637" s="36" t="s">
        <v>14</v>
      </c>
      <c r="H637" s="36" t="str">
        <f>IFERROR(VLOOKUP(Table2[[#This Row], [Ticket]],Okey!A:B,2,0),"")</f>
        <v/>
      </c>
      <c r="K637" s="36" t="s">
        <v>8705</v>
      </c>
      <c r="M637" s="36" t="s">
        <v>8016</v>
      </c>
    </row>
    <row r="638" spans="1:13" hidden="1">
      <c r="A638" s="42">
        <f t="shared" si="10"/>
        <v>637</v>
      </c>
      <c r="B638" s="36" t="s">
        <v>6</v>
      </c>
      <c r="C638" s="36" t="s">
        <v>8718</v>
      </c>
      <c r="D638" s="9" t="s">
        <v>8911</v>
      </c>
      <c r="E638" s="9" t="s">
        <v>8757</v>
      </c>
      <c r="F638" s="9" t="s">
        <v>5836</v>
      </c>
      <c r="G638" s="36" t="s">
        <v>14</v>
      </c>
      <c r="H638" s="36" t="str">
        <f>IFERROR(VLOOKUP(Table2[[#This Row], [Ticket]],Okey!A:B,2,0),"")</f>
        <v/>
      </c>
      <c r="K638" s="36" t="s">
        <v>8705</v>
      </c>
      <c r="M638" s="36" t="s">
        <v>8016</v>
      </c>
    </row>
    <row r="639" spans="1:13" hidden="1">
      <c r="A639" s="42">
        <f t="shared" si="10"/>
        <v>638</v>
      </c>
      <c r="B639" s="36" t="s">
        <v>6</v>
      </c>
      <c r="C639" s="36" t="s">
        <v>8718</v>
      </c>
      <c r="D639" s="9" t="s">
        <v>8912</v>
      </c>
      <c r="E639" s="9" t="s">
        <v>8758</v>
      </c>
      <c r="F639" s="9" t="s">
        <v>5799</v>
      </c>
      <c r="G639" s="36" t="s">
        <v>14</v>
      </c>
      <c r="H639" s="36" t="str">
        <f>IFERROR(VLOOKUP(Table2[[#This Row], [Ticket]],Okey!A:B,2,0),"")</f>
        <v/>
      </c>
      <c r="K639" s="36" t="s">
        <v>8705</v>
      </c>
      <c r="M639" s="36" t="s">
        <v>8016</v>
      </c>
    </row>
    <row r="640" spans="1:13" hidden="1">
      <c r="A640" s="42">
        <f t="shared" si="10"/>
        <v>639</v>
      </c>
      <c r="B640" s="36" t="s">
        <v>6</v>
      </c>
      <c r="C640" s="36" t="s">
        <v>8718</v>
      </c>
      <c r="D640" s="9" t="s">
        <v>8913</v>
      </c>
      <c r="E640" s="9" t="s">
        <v>8759</v>
      </c>
      <c r="F640" s="9" t="s">
        <v>5854</v>
      </c>
      <c r="G640" s="36" t="s">
        <v>14</v>
      </c>
      <c r="H640" s="36" t="str">
        <f>IFERROR(VLOOKUP(Table2[[#This Row], [Ticket]],Okey!A:B,2,0),"")</f>
        <v/>
      </c>
      <c r="K640" s="36" t="s">
        <v>8705</v>
      </c>
      <c r="M640" s="36" t="s">
        <v>8016</v>
      </c>
    </row>
    <row r="641" spans="1:13" hidden="1">
      <c r="A641" s="42">
        <f t="shared" si="10"/>
        <v>640</v>
      </c>
      <c r="B641" s="36" t="s">
        <v>6</v>
      </c>
      <c r="C641" s="36" t="s">
        <v>8718</v>
      </c>
      <c r="D641" s="9" t="s">
        <v>8914</v>
      </c>
      <c r="E641" s="9" t="s">
        <v>8760</v>
      </c>
      <c r="F641" s="9" t="s">
        <v>4288</v>
      </c>
      <c r="G641" s="36" t="s">
        <v>14</v>
      </c>
      <c r="H641" s="36" t="str">
        <f>IFERROR(VLOOKUP(Table2[[#This Row], [Ticket]],Okey!A:B,2,0),"")</f>
        <v/>
      </c>
      <c r="K641" s="36" t="s">
        <v>8705</v>
      </c>
      <c r="M641" s="36" t="s">
        <v>8016</v>
      </c>
    </row>
    <row r="642" spans="1:13" hidden="1">
      <c r="A642" s="42">
        <f t="shared" si="10"/>
        <v>641</v>
      </c>
      <c r="B642" s="36" t="s">
        <v>6</v>
      </c>
      <c r="C642" s="36" t="s">
        <v>8718</v>
      </c>
      <c r="D642" s="9" t="s">
        <v>8915</v>
      </c>
      <c r="E642" s="9" t="s">
        <v>8761</v>
      </c>
      <c r="F642" s="9" t="s">
        <v>4208</v>
      </c>
      <c r="G642" s="36" t="s">
        <v>14</v>
      </c>
      <c r="H642" s="36" t="str">
        <f>IFERROR(VLOOKUP(Table2[[#This Row], [Ticket]],Okey!A:B,2,0),"")</f>
        <v/>
      </c>
      <c r="K642" s="36" t="s">
        <v>8705</v>
      </c>
      <c r="M642" s="36" t="s">
        <v>8016</v>
      </c>
    </row>
    <row r="643" spans="1:13" hidden="1">
      <c r="A643" s="42">
        <f t="shared" si="10"/>
        <v>642</v>
      </c>
      <c r="B643" s="36" t="s">
        <v>6</v>
      </c>
      <c r="C643" s="36" t="s">
        <v>8718</v>
      </c>
      <c r="D643" s="9" t="s">
        <v>8916</v>
      </c>
      <c r="E643" s="9" t="s">
        <v>8762</v>
      </c>
      <c r="F643" s="9" t="s">
        <v>5324</v>
      </c>
      <c r="G643" s="36" t="s">
        <v>14</v>
      </c>
      <c r="H643" s="36" t="str">
        <f>IFERROR(VLOOKUP(Table2[[#This Row], [Ticket]],Okey!A:B,2,0),"")</f>
        <v/>
      </c>
      <c r="K643" s="36" t="s">
        <v>8705</v>
      </c>
      <c r="M643" s="36" t="s">
        <v>8016</v>
      </c>
    </row>
    <row r="644" spans="1:13" hidden="1">
      <c r="A644" s="42">
        <f t="shared" si="10"/>
        <v>643</v>
      </c>
      <c r="B644" s="36" t="s">
        <v>6</v>
      </c>
      <c r="C644" s="36" t="s">
        <v>8718</v>
      </c>
      <c r="D644" s="9" t="s">
        <v>8917</v>
      </c>
      <c r="E644" s="9" t="s">
        <v>8763</v>
      </c>
      <c r="F644" s="9" t="s">
        <v>5395</v>
      </c>
      <c r="G644" s="36" t="s">
        <v>14</v>
      </c>
      <c r="H644" s="36" t="str">
        <f>IFERROR(VLOOKUP(Table2[[#This Row], [Ticket]],Okey!A:B,2,0),"")</f>
        <v/>
      </c>
      <c r="K644" s="36" t="s">
        <v>8705</v>
      </c>
      <c r="M644" s="36" t="s">
        <v>8016</v>
      </c>
    </row>
    <row r="645" spans="1:13" hidden="1">
      <c r="A645" s="42">
        <f t="shared" si="10"/>
        <v>644</v>
      </c>
      <c r="B645" s="36" t="s">
        <v>6</v>
      </c>
      <c r="C645" s="36" t="s">
        <v>8718</v>
      </c>
      <c r="D645" s="9" t="s">
        <v>8918</v>
      </c>
      <c r="E645" s="9" t="s">
        <v>8764</v>
      </c>
      <c r="F645" s="9" t="s">
        <v>4638</v>
      </c>
      <c r="G645" s="36" t="s">
        <v>14</v>
      </c>
      <c r="H645" s="36" t="str">
        <f>IFERROR(VLOOKUP(Table2[[#This Row], [Ticket]],Okey!A:B,2,0),"")</f>
        <v/>
      </c>
      <c r="K645" s="36" t="s">
        <v>8705</v>
      </c>
      <c r="M645" s="36" t="s">
        <v>8016</v>
      </c>
    </row>
    <row r="646" spans="1:13" hidden="1">
      <c r="A646" s="42">
        <f t="shared" si="10"/>
        <v>645</v>
      </c>
      <c r="B646" s="36" t="s">
        <v>6</v>
      </c>
      <c r="C646" s="36" t="s">
        <v>8718</v>
      </c>
      <c r="D646" s="9" t="s">
        <v>8919</v>
      </c>
      <c r="E646" s="9" t="s">
        <v>8765</v>
      </c>
      <c r="F646" s="9" t="s">
        <v>4640</v>
      </c>
      <c r="G646" s="36" t="s">
        <v>14</v>
      </c>
      <c r="H646" s="36" t="str">
        <f>IFERROR(VLOOKUP(Table2[[#This Row], [Ticket]],Okey!A:B,2,0),"")</f>
        <v/>
      </c>
      <c r="K646" s="36" t="s">
        <v>8705</v>
      </c>
      <c r="M646" s="36" t="s">
        <v>8016</v>
      </c>
    </row>
    <row r="647" spans="1:13" hidden="1">
      <c r="A647" s="42">
        <f t="shared" si="10"/>
        <v>646</v>
      </c>
      <c r="B647" s="36" t="s">
        <v>6</v>
      </c>
      <c r="C647" s="36" t="s">
        <v>8718</v>
      </c>
      <c r="D647" s="9" t="s">
        <v>8920</v>
      </c>
      <c r="E647" s="9" t="s">
        <v>8766</v>
      </c>
      <c r="F647" s="9" t="s">
        <v>4642</v>
      </c>
      <c r="G647" s="36" t="s">
        <v>14</v>
      </c>
      <c r="H647" s="36" t="str">
        <f>IFERROR(VLOOKUP(Table2[[#This Row], [Ticket]],Okey!A:B,2,0),"")</f>
        <v/>
      </c>
      <c r="K647" s="36" t="s">
        <v>8705</v>
      </c>
      <c r="M647" s="36" t="s">
        <v>8016</v>
      </c>
    </row>
    <row r="648" spans="1:13" hidden="1">
      <c r="A648" s="42">
        <f t="shared" si="10"/>
        <v>647</v>
      </c>
      <c r="B648" s="36" t="s">
        <v>6</v>
      </c>
      <c r="C648" s="36" t="s">
        <v>8718</v>
      </c>
      <c r="D648" s="9" t="s">
        <v>8921</v>
      </c>
      <c r="E648" s="9" t="s">
        <v>8767</v>
      </c>
      <c r="F648" s="9" t="s">
        <v>4644</v>
      </c>
      <c r="G648" s="36" t="s">
        <v>14</v>
      </c>
      <c r="H648" s="36" t="str">
        <f>IFERROR(VLOOKUP(Table2[[#This Row], [Ticket]],Okey!A:B,2,0),"")</f>
        <v/>
      </c>
      <c r="K648" s="36" t="s">
        <v>8705</v>
      </c>
      <c r="M648" s="36" t="s">
        <v>8016</v>
      </c>
    </row>
    <row r="649" spans="1:13" hidden="1">
      <c r="A649" s="42">
        <f t="shared" si="10"/>
        <v>648</v>
      </c>
      <c r="B649" s="36" t="s">
        <v>6</v>
      </c>
      <c r="C649" s="36" t="s">
        <v>8718</v>
      </c>
      <c r="D649" s="9" t="s">
        <v>8922</v>
      </c>
      <c r="E649" s="9" t="s">
        <v>8768</v>
      </c>
      <c r="F649" s="9" t="s">
        <v>4646</v>
      </c>
      <c r="G649" s="36" t="s">
        <v>14</v>
      </c>
      <c r="H649" s="36" t="str">
        <f>IFERROR(VLOOKUP(Table2[[#This Row], [Ticket]],Okey!A:B,2,0),"")</f>
        <v/>
      </c>
      <c r="K649" s="36" t="s">
        <v>8705</v>
      </c>
      <c r="M649" s="36" t="s">
        <v>8016</v>
      </c>
    </row>
    <row r="650" spans="1:13" hidden="1">
      <c r="A650" s="42">
        <f t="shared" si="10"/>
        <v>649</v>
      </c>
      <c r="B650" s="36" t="s">
        <v>6</v>
      </c>
      <c r="C650" s="36" t="s">
        <v>8718</v>
      </c>
      <c r="D650" s="9" t="s">
        <v>8923</v>
      </c>
      <c r="E650" s="9" t="s">
        <v>8769</v>
      </c>
      <c r="F650" s="9" t="s">
        <v>4650</v>
      </c>
      <c r="G650" s="36" t="s">
        <v>14</v>
      </c>
      <c r="H650" s="36" t="str">
        <f>IFERROR(VLOOKUP(Table2[[#This Row], [Ticket]],Okey!A:B,2,0),"")</f>
        <v/>
      </c>
      <c r="K650" s="36" t="s">
        <v>8705</v>
      </c>
      <c r="M650" s="36" t="s">
        <v>8016</v>
      </c>
    </row>
    <row r="651" spans="1:13" hidden="1">
      <c r="A651" s="42">
        <f t="shared" si="10"/>
        <v>650</v>
      </c>
      <c r="B651" s="36" t="s">
        <v>6</v>
      </c>
      <c r="C651" s="36" t="s">
        <v>8718</v>
      </c>
      <c r="D651" s="9" t="s">
        <v>8924</v>
      </c>
      <c r="E651" s="9" t="s">
        <v>8770</v>
      </c>
      <c r="F651" s="9" t="s">
        <v>4652</v>
      </c>
      <c r="G651" s="36" t="s">
        <v>14</v>
      </c>
      <c r="H651" s="36" t="str">
        <f>IFERROR(VLOOKUP(Table2[[#This Row], [Ticket]],Okey!A:B,2,0),"")</f>
        <v/>
      </c>
      <c r="K651" s="36" t="s">
        <v>8705</v>
      </c>
      <c r="M651" s="36" t="s">
        <v>8016</v>
      </c>
    </row>
    <row r="652" spans="1:13" hidden="1">
      <c r="A652" s="42">
        <f t="shared" si="10"/>
        <v>651</v>
      </c>
      <c r="B652" s="36" t="s">
        <v>6</v>
      </c>
      <c r="C652" s="36" t="s">
        <v>8718</v>
      </c>
      <c r="D652" s="9" t="s">
        <v>8925</v>
      </c>
      <c r="E652" s="9" t="s">
        <v>8771</v>
      </c>
      <c r="F652" s="9" t="s">
        <v>4654</v>
      </c>
      <c r="G652" s="36" t="s">
        <v>14</v>
      </c>
      <c r="H652" s="36" t="str">
        <f>IFERROR(VLOOKUP(Table2[[#This Row], [Ticket]],Okey!A:B,2,0),"")</f>
        <v/>
      </c>
      <c r="K652" s="36" t="s">
        <v>8705</v>
      </c>
      <c r="M652" s="36" t="s">
        <v>8016</v>
      </c>
    </row>
    <row r="653" spans="1:13" hidden="1">
      <c r="A653" s="42">
        <f t="shared" si="10"/>
        <v>652</v>
      </c>
      <c r="B653" s="36" t="s">
        <v>6</v>
      </c>
      <c r="C653" s="36" t="s">
        <v>8718</v>
      </c>
      <c r="D653" s="9" t="s">
        <v>8926</v>
      </c>
      <c r="E653" s="9" t="s">
        <v>8768</v>
      </c>
      <c r="F653" s="9" t="s">
        <v>7804</v>
      </c>
      <c r="G653" s="36" t="s">
        <v>14</v>
      </c>
      <c r="H653" s="36" t="str">
        <f>IFERROR(VLOOKUP(Table2[[#This Row], [Ticket]],Okey!A:B,2,0),"")</f>
        <v/>
      </c>
      <c r="K653" s="36" t="s">
        <v>8705</v>
      </c>
      <c r="M653" s="36" t="s">
        <v>8016</v>
      </c>
    </row>
    <row r="654" spans="1:13" hidden="1">
      <c r="A654" s="42">
        <f t="shared" si="10"/>
        <v>653</v>
      </c>
      <c r="B654" s="36" t="s">
        <v>6</v>
      </c>
      <c r="C654" s="36" t="s">
        <v>8718</v>
      </c>
      <c r="D654" s="9" t="s">
        <v>8927</v>
      </c>
      <c r="E654" s="9" t="s">
        <v>8772</v>
      </c>
      <c r="F654" s="9" t="s">
        <v>7813</v>
      </c>
      <c r="G654" s="36" t="s">
        <v>14</v>
      </c>
      <c r="H654" s="36" t="str">
        <f>IFERROR(VLOOKUP(Table2[[#This Row], [Ticket]],Okey!A:B,2,0),"")</f>
        <v/>
      </c>
      <c r="K654" s="36" t="s">
        <v>8705</v>
      </c>
      <c r="M654" s="36" t="s">
        <v>8016</v>
      </c>
    </row>
    <row r="655" spans="1:13" hidden="1">
      <c r="A655" s="42">
        <f t="shared" si="10"/>
        <v>654</v>
      </c>
      <c r="B655" s="36" t="s">
        <v>6</v>
      </c>
      <c r="C655" s="36" t="s">
        <v>8718</v>
      </c>
      <c r="D655" s="9" t="s">
        <v>8928</v>
      </c>
      <c r="E655" s="9" t="s">
        <v>8771</v>
      </c>
      <c r="F655" s="9" t="s">
        <v>7814</v>
      </c>
      <c r="G655" s="36" t="s">
        <v>14</v>
      </c>
      <c r="H655" s="36" t="str">
        <f>IFERROR(VLOOKUP(Table2[[#This Row], [Ticket]],Okey!A:B,2,0),"")</f>
        <v/>
      </c>
      <c r="K655" s="36" t="s">
        <v>8705</v>
      </c>
      <c r="M655" s="36" t="s">
        <v>8016</v>
      </c>
    </row>
    <row r="656" spans="1:13" hidden="1">
      <c r="A656" s="42">
        <f t="shared" si="10"/>
        <v>655</v>
      </c>
      <c r="B656" s="36" t="s">
        <v>6</v>
      </c>
      <c r="C656" s="36" t="s">
        <v>8718</v>
      </c>
      <c r="D656" s="9" t="s">
        <v>8929</v>
      </c>
      <c r="E656" s="9" t="s">
        <v>4686</v>
      </c>
      <c r="F656" s="9" t="s">
        <v>7814</v>
      </c>
      <c r="G656" s="36" t="s">
        <v>14</v>
      </c>
      <c r="H656" s="36" t="str">
        <f>IFERROR(VLOOKUP(Table2[[#This Row], [Ticket]],Okey!A:B,2,0),"")</f>
        <v/>
      </c>
      <c r="K656" s="36" t="s">
        <v>8705</v>
      </c>
      <c r="M656" s="36" t="s">
        <v>8016</v>
      </c>
    </row>
    <row r="657" spans="1:13" hidden="1">
      <c r="A657" s="42">
        <f t="shared" si="10"/>
        <v>656</v>
      </c>
      <c r="B657" s="36" t="s">
        <v>6</v>
      </c>
      <c r="C657" s="36" t="s">
        <v>8718</v>
      </c>
      <c r="D657" s="9" t="s">
        <v>8930</v>
      </c>
      <c r="E657" s="9" t="s">
        <v>8773</v>
      </c>
      <c r="F657" s="9" t="s">
        <v>7814</v>
      </c>
      <c r="G657" s="36" t="s">
        <v>14</v>
      </c>
      <c r="H657" s="36" t="str">
        <f>IFERROR(VLOOKUP(Table2[[#This Row], [Ticket]],Okey!A:B,2,0),"")</f>
        <v/>
      </c>
      <c r="K657" s="36" t="s">
        <v>8705</v>
      </c>
      <c r="M657" s="36" t="s">
        <v>8016</v>
      </c>
    </row>
    <row r="658" spans="1:13" hidden="1">
      <c r="A658" s="42">
        <f t="shared" si="10"/>
        <v>657</v>
      </c>
      <c r="B658" s="36" t="s">
        <v>6</v>
      </c>
      <c r="C658" s="36" t="s">
        <v>8718</v>
      </c>
      <c r="D658" s="9" t="s">
        <v>8931</v>
      </c>
      <c r="E658" s="9" t="s">
        <v>8774</v>
      </c>
      <c r="F658" s="9" t="s">
        <v>4638</v>
      </c>
      <c r="G658" s="36" t="s">
        <v>14</v>
      </c>
      <c r="H658" s="36" t="str">
        <f>IFERROR(VLOOKUP(Table2[[#This Row], [Ticket]],Okey!A:B,2,0),"")</f>
        <v/>
      </c>
      <c r="K658" s="36" t="s">
        <v>8705</v>
      </c>
      <c r="M658" s="36" t="s">
        <v>8016</v>
      </c>
    </row>
    <row r="659" spans="1:13" hidden="1">
      <c r="A659" s="42">
        <f t="shared" si="10"/>
        <v>658</v>
      </c>
      <c r="B659" s="36" t="s">
        <v>6</v>
      </c>
      <c r="C659" s="36" t="s">
        <v>8718</v>
      </c>
      <c r="D659" s="9" t="s">
        <v>8932</v>
      </c>
      <c r="E659" s="9" t="s">
        <v>8775</v>
      </c>
      <c r="F659" s="9" t="s">
        <v>4640</v>
      </c>
      <c r="G659" s="36" t="s">
        <v>14</v>
      </c>
      <c r="H659" s="36" t="str">
        <f>IFERROR(VLOOKUP(Table2[[#This Row], [Ticket]],Okey!A:B,2,0),"")</f>
        <v/>
      </c>
      <c r="K659" s="36" t="s">
        <v>8705</v>
      </c>
      <c r="M659" s="36" t="s">
        <v>8016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8718</v>
      </c>
      <c r="D660" s="9" t="s">
        <v>8933</v>
      </c>
      <c r="E660" s="9" t="s">
        <v>8776</v>
      </c>
      <c r="F660" s="9" t="s">
        <v>4642</v>
      </c>
      <c r="G660" s="36" t="s">
        <v>14</v>
      </c>
      <c r="H660" s="36" t="str">
        <f>IFERROR(VLOOKUP(Table2[[#This Row], [Ticket]],Okey!A:B,2,0),"")</f>
        <v/>
      </c>
      <c r="K660" s="36" t="s">
        <v>8705</v>
      </c>
      <c r="M660" s="36" t="s">
        <v>8016</v>
      </c>
    </row>
    <row r="661" spans="1:13" hidden="1">
      <c r="A661" s="42">
        <f t="shared" si="11"/>
        <v>660</v>
      </c>
      <c r="B661" s="36" t="s">
        <v>6</v>
      </c>
      <c r="C661" s="36" t="s">
        <v>8718</v>
      </c>
      <c r="D661" s="9" t="s">
        <v>8934</v>
      </c>
      <c r="E661" s="9" t="s">
        <v>8777</v>
      </c>
      <c r="F661" s="9" t="s">
        <v>4644</v>
      </c>
      <c r="G661" s="36" t="s">
        <v>14</v>
      </c>
      <c r="H661" s="36" t="str">
        <f>IFERROR(VLOOKUP(Table2[[#This Row], [Ticket]],Okey!A:B,2,0),"")</f>
        <v/>
      </c>
      <c r="K661" s="36" t="s">
        <v>8705</v>
      </c>
      <c r="M661" s="36" t="s">
        <v>8016</v>
      </c>
    </row>
    <row r="662" spans="1:13" hidden="1">
      <c r="A662" s="42">
        <f t="shared" si="11"/>
        <v>661</v>
      </c>
      <c r="B662" s="36" t="s">
        <v>6</v>
      </c>
      <c r="C662" s="36" t="s">
        <v>8718</v>
      </c>
      <c r="D662" s="9" t="s">
        <v>8935</v>
      </c>
      <c r="E662" s="9" t="s">
        <v>8778</v>
      </c>
      <c r="F662" s="9" t="s">
        <v>4646</v>
      </c>
      <c r="G662" s="36" t="s">
        <v>14</v>
      </c>
      <c r="H662" s="36" t="str">
        <f>IFERROR(VLOOKUP(Table2[[#This Row], [Ticket]],Okey!A:B,2,0),"")</f>
        <v/>
      </c>
      <c r="K662" s="36" t="s">
        <v>8705</v>
      </c>
      <c r="M662" s="36" t="s">
        <v>8016</v>
      </c>
    </row>
    <row r="663" spans="1:13" hidden="1">
      <c r="A663" s="42">
        <f t="shared" si="11"/>
        <v>662</v>
      </c>
      <c r="B663" s="36" t="s">
        <v>6</v>
      </c>
      <c r="C663" s="36" t="s">
        <v>8718</v>
      </c>
      <c r="D663" s="9" t="s">
        <v>8936</v>
      </c>
      <c r="E663" s="9" t="s">
        <v>8779</v>
      </c>
      <c r="F663" s="9" t="s">
        <v>4650</v>
      </c>
      <c r="G663" s="36" t="s">
        <v>14</v>
      </c>
      <c r="H663" s="36" t="str">
        <f>IFERROR(VLOOKUP(Table2[[#This Row], [Ticket]],Okey!A:B,2,0),"")</f>
        <v/>
      </c>
      <c r="K663" s="36" t="s">
        <v>8705</v>
      </c>
      <c r="M663" s="36" t="s">
        <v>8016</v>
      </c>
    </row>
    <row r="664" spans="1:13" hidden="1">
      <c r="A664" s="42">
        <f t="shared" si="11"/>
        <v>663</v>
      </c>
      <c r="B664" s="36" t="s">
        <v>6</v>
      </c>
      <c r="C664" s="36" t="s">
        <v>8718</v>
      </c>
      <c r="D664" s="9" t="s">
        <v>8937</v>
      </c>
      <c r="E664" s="9" t="s">
        <v>8780</v>
      </c>
      <c r="F664" s="9" t="s">
        <v>4652</v>
      </c>
      <c r="G664" s="36" t="s">
        <v>14</v>
      </c>
      <c r="H664" s="36" t="str">
        <f>IFERROR(VLOOKUP(Table2[[#This Row], [Ticket]],Okey!A:B,2,0),"")</f>
        <v/>
      </c>
      <c r="K664" s="36" t="s">
        <v>8705</v>
      </c>
      <c r="M664" s="36" t="s">
        <v>8016</v>
      </c>
    </row>
    <row r="665" spans="1:13" hidden="1">
      <c r="A665" s="42">
        <f t="shared" si="11"/>
        <v>664</v>
      </c>
      <c r="B665" s="36" t="s">
        <v>6</v>
      </c>
      <c r="C665" s="36" t="s">
        <v>8718</v>
      </c>
      <c r="D665" s="9" t="s">
        <v>8938</v>
      </c>
      <c r="E665" s="9" t="s">
        <v>8773</v>
      </c>
      <c r="F665" s="9" t="s">
        <v>4654</v>
      </c>
      <c r="G665" s="36" t="s">
        <v>14</v>
      </c>
      <c r="H665" s="36" t="str">
        <f>IFERROR(VLOOKUP(Table2[[#This Row], [Ticket]],Okey!A:B,2,0),"")</f>
        <v/>
      </c>
      <c r="K665" s="36" t="s">
        <v>8705</v>
      </c>
      <c r="M665" s="36" t="s">
        <v>8016</v>
      </c>
    </row>
    <row r="666" spans="1:13" hidden="1">
      <c r="A666" s="42">
        <f t="shared" si="11"/>
        <v>665</v>
      </c>
      <c r="B666" s="36" t="s">
        <v>6</v>
      </c>
      <c r="C666" s="36" t="s">
        <v>8718</v>
      </c>
      <c r="D666" s="9" t="s">
        <v>8939</v>
      </c>
      <c r="E666" s="9" t="s">
        <v>8778</v>
      </c>
      <c r="F666" s="9" t="s">
        <v>7804</v>
      </c>
      <c r="G666" s="36" t="s">
        <v>14</v>
      </c>
      <c r="H666" s="36" t="str">
        <f>IFERROR(VLOOKUP(Table2[[#This Row], [Ticket]],Okey!A:B,2,0),"")</f>
        <v/>
      </c>
      <c r="K666" s="36" t="s">
        <v>8705</v>
      </c>
      <c r="M666" s="36" t="s">
        <v>8016</v>
      </c>
    </row>
    <row r="667" spans="1:13" hidden="1">
      <c r="A667" s="42">
        <f t="shared" si="11"/>
        <v>666</v>
      </c>
      <c r="B667" s="36" t="s">
        <v>6</v>
      </c>
      <c r="C667" s="36" t="s">
        <v>8718</v>
      </c>
      <c r="D667" s="9" t="s">
        <v>8940</v>
      </c>
      <c r="E667" s="9" t="s">
        <v>8781</v>
      </c>
      <c r="F667" s="9" t="s">
        <v>7813</v>
      </c>
      <c r="G667" s="36" t="s">
        <v>14</v>
      </c>
      <c r="H667" s="36" t="str">
        <f>IFERROR(VLOOKUP(Table2[[#This Row], [Ticket]],Okey!A:B,2,0),"")</f>
        <v/>
      </c>
      <c r="K667" s="36" t="s">
        <v>8705</v>
      </c>
      <c r="M667" s="36" t="s">
        <v>8016</v>
      </c>
    </row>
    <row r="668" spans="1:13" hidden="1">
      <c r="A668" s="42">
        <f t="shared" si="11"/>
        <v>667</v>
      </c>
      <c r="B668" s="36" t="s">
        <v>6</v>
      </c>
      <c r="C668" s="36" t="s">
        <v>8718</v>
      </c>
      <c r="D668" s="9" t="s">
        <v>8941</v>
      </c>
      <c r="E668" s="9" t="s">
        <v>8782</v>
      </c>
      <c r="F668" s="9" t="s">
        <v>7813</v>
      </c>
      <c r="G668" s="36" t="s">
        <v>14</v>
      </c>
      <c r="H668" s="36" t="str">
        <f>IFERROR(VLOOKUP(Table2[[#This Row], [Ticket]],Okey!A:B,2,0),"")</f>
        <v/>
      </c>
      <c r="K668" s="36" t="s">
        <v>8705</v>
      </c>
      <c r="M668" s="36" t="s">
        <v>8016</v>
      </c>
    </row>
    <row r="669" spans="1:13" hidden="1">
      <c r="A669" s="42">
        <f t="shared" si="11"/>
        <v>668</v>
      </c>
      <c r="B669" s="36" t="s">
        <v>6</v>
      </c>
      <c r="C669" s="36" t="s">
        <v>8718</v>
      </c>
      <c r="D669" s="9" t="s">
        <v>8942</v>
      </c>
      <c r="E669" s="9" t="s">
        <v>4674</v>
      </c>
      <c r="F669" s="9" t="s">
        <v>7804</v>
      </c>
      <c r="G669" s="36" t="s">
        <v>14</v>
      </c>
      <c r="H669" s="36" t="str">
        <f>IFERROR(VLOOKUP(Table2[[#This Row], [Ticket]],Okey!A:B,2,0),"")</f>
        <v/>
      </c>
      <c r="K669" s="36" t="s">
        <v>8705</v>
      </c>
      <c r="M669" s="36" t="s">
        <v>8016</v>
      </c>
    </row>
    <row r="670" spans="1:13" hidden="1">
      <c r="A670" s="42">
        <f t="shared" si="11"/>
        <v>669</v>
      </c>
      <c r="B670" s="36" t="s">
        <v>6</v>
      </c>
      <c r="C670" s="36" t="s">
        <v>8718</v>
      </c>
      <c r="D670" s="9" t="s">
        <v>8943</v>
      </c>
      <c r="E670" s="9" t="s">
        <v>8783</v>
      </c>
      <c r="F670" s="9" t="s">
        <v>8047</v>
      </c>
      <c r="G670" s="36" t="s">
        <v>14</v>
      </c>
      <c r="H670" s="36" t="str">
        <f>IFERROR(VLOOKUP(Table2[[#This Row], [Ticket]],Okey!A:B,2,0),"")</f>
        <v/>
      </c>
      <c r="K670" s="36" t="s">
        <v>8705</v>
      </c>
      <c r="M670" s="36" t="s">
        <v>8016</v>
      </c>
    </row>
    <row r="671" spans="1:13" hidden="1">
      <c r="A671" s="42">
        <f t="shared" si="11"/>
        <v>670</v>
      </c>
      <c r="B671" s="36" t="s">
        <v>6</v>
      </c>
      <c r="C671" s="36" t="s">
        <v>8718</v>
      </c>
      <c r="D671" s="9" t="s">
        <v>3336</v>
      </c>
      <c r="E671" s="9" t="s">
        <v>8787</v>
      </c>
      <c r="G671" s="9" t="s">
        <v>15</v>
      </c>
      <c r="H671" s="36" t="str">
        <f>IFERROR(VLOOKUP(Table2[[#This Row], [Ticket]],Okey!A:B,2,0),"")</f>
        <v/>
      </c>
      <c r="K671" s="36" t="s">
        <v>7857</v>
      </c>
      <c r="M671" s="36" t="s">
        <v>8016</v>
      </c>
    </row>
    <row r="672" spans="1:13" hidden="1">
      <c r="A672" s="42">
        <f t="shared" si="11"/>
        <v>671</v>
      </c>
      <c r="B672" s="36" t="s">
        <v>6</v>
      </c>
      <c r="C672" s="36" t="s">
        <v>8718</v>
      </c>
      <c r="D672" s="9" t="s">
        <v>722</v>
      </c>
      <c r="E672" s="9" t="s">
        <v>8788</v>
      </c>
      <c r="G672" s="36" t="s">
        <v>15</v>
      </c>
      <c r="H672" s="36" t="str">
        <f>IFERROR(VLOOKUP(Table2[[#This Row], [Ticket]],Okey!A:B,2,0),"")</f>
        <v/>
      </c>
      <c r="K672" s="36" t="s">
        <v>7857</v>
      </c>
      <c r="M672" s="36" t="s">
        <v>8016</v>
      </c>
    </row>
    <row r="673" spans="1:13" hidden="1">
      <c r="A673" s="42">
        <f t="shared" si="11"/>
        <v>672</v>
      </c>
      <c r="B673" s="36" t="s">
        <v>6</v>
      </c>
      <c r="C673" s="36" t="s">
        <v>8718</v>
      </c>
      <c r="D673" s="9" t="s">
        <v>4297</v>
      </c>
      <c r="E673" s="9" t="s">
        <v>8789</v>
      </c>
      <c r="G673" s="36" t="s">
        <v>15</v>
      </c>
      <c r="H673" s="36" t="str">
        <f>IFERROR(VLOOKUP(Table2[[#This Row], [Ticket]],Okey!A:B,2,0),"")</f>
        <v/>
      </c>
      <c r="K673" s="36" t="s">
        <v>7857</v>
      </c>
      <c r="M673" s="36" t="s">
        <v>8016</v>
      </c>
    </row>
    <row r="674" spans="1:13" hidden="1">
      <c r="A674" s="42">
        <f t="shared" si="11"/>
        <v>673</v>
      </c>
      <c r="B674" s="36" t="s">
        <v>6</v>
      </c>
      <c r="C674" s="36" t="s">
        <v>8718</v>
      </c>
      <c r="D674" s="9" t="s">
        <v>4210</v>
      </c>
      <c r="E674" s="9" t="s">
        <v>8790</v>
      </c>
      <c r="G674" s="36" t="s">
        <v>15</v>
      </c>
      <c r="H674" s="36" t="str">
        <f>IFERROR(VLOOKUP(Table2[[#This Row], [Ticket]],Okey!A:B,2,0),"")</f>
        <v/>
      </c>
      <c r="K674" s="36" t="s">
        <v>7857</v>
      </c>
      <c r="M674" s="36" t="s">
        <v>8016</v>
      </c>
    </row>
    <row r="675" spans="1:13" hidden="1">
      <c r="A675" s="42">
        <f t="shared" si="11"/>
        <v>674</v>
      </c>
      <c r="B675" s="36" t="s">
        <v>6</v>
      </c>
      <c r="C675" s="36" t="s">
        <v>8718</v>
      </c>
      <c r="D675" s="9" t="s">
        <v>5322</v>
      </c>
      <c r="E675" s="9" t="s">
        <v>8791</v>
      </c>
      <c r="G675" s="36" t="s">
        <v>15</v>
      </c>
      <c r="H675" s="36" t="str">
        <f>IFERROR(VLOOKUP(Table2[[#This Row], [Ticket]],Okey!A:B,2,0),"")</f>
        <v/>
      </c>
      <c r="K675" s="36" t="s">
        <v>7857</v>
      </c>
      <c r="M675" s="36" t="s">
        <v>8016</v>
      </c>
    </row>
    <row r="676" spans="1:13" hidden="1">
      <c r="A676" s="42">
        <f t="shared" si="11"/>
        <v>675</v>
      </c>
      <c r="B676" s="36" t="s">
        <v>6</v>
      </c>
      <c r="C676" s="36" t="s">
        <v>8718</v>
      </c>
      <c r="D676" s="9" t="s">
        <v>5348</v>
      </c>
      <c r="E676" s="9" t="s">
        <v>8792</v>
      </c>
      <c r="G676" s="36" t="s">
        <v>15</v>
      </c>
      <c r="H676" s="36" t="str">
        <f>IFERROR(VLOOKUP(Table2[[#This Row], [Ticket]],Okey!A:B,2,0),"")</f>
        <v/>
      </c>
      <c r="K676" s="36" t="s">
        <v>7857</v>
      </c>
      <c r="M676" s="36" t="s">
        <v>8016</v>
      </c>
    </row>
    <row r="677" spans="1:13" hidden="1">
      <c r="A677" s="42">
        <f t="shared" si="11"/>
        <v>676</v>
      </c>
      <c r="B677" s="36" t="s">
        <v>6</v>
      </c>
      <c r="C677" s="36" t="s">
        <v>8718</v>
      </c>
      <c r="D677" s="9" t="s">
        <v>5873</v>
      </c>
      <c r="E677" s="9" t="s">
        <v>8793</v>
      </c>
      <c r="G677" s="36" t="s">
        <v>15</v>
      </c>
      <c r="H677" s="36" t="str">
        <f>IFERROR(VLOOKUP(Table2[[#This Row], [Ticket]],Okey!A:B,2,0),"")</f>
        <v/>
      </c>
      <c r="K677" s="36" t="s">
        <v>7857</v>
      </c>
      <c r="M677" s="36" t="s">
        <v>8016</v>
      </c>
    </row>
    <row r="678" spans="1:13" hidden="1">
      <c r="A678" s="42">
        <f t="shared" si="11"/>
        <v>677</v>
      </c>
      <c r="B678" s="36" t="s">
        <v>6</v>
      </c>
      <c r="C678" s="36" t="s">
        <v>8718</v>
      </c>
      <c r="D678" s="9" t="s">
        <v>5393</v>
      </c>
      <c r="E678" s="9" t="s">
        <v>8794</v>
      </c>
      <c r="G678" s="36" t="s">
        <v>15</v>
      </c>
      <c r="H678" s="36" t="str">
        <f>IFERROR(VLOOKUP(Table2[[#This Row], [Ticket]],Okey!A:B,2,0),"")</f>
        <v/>
      </c>
      <c r="K678" s="36" t="s">
        <v>7857</v>
      </c>
      <c r="M678" s="36" t="s">
        <v>8016</v>
      </c>
    </row>
    <row r="679" spans="1:13" hidden="1">
      <c r="A679" s="42">
        <f t="shared" si="11"/>
        <v>678</v>
      </c>
      <c r="B679" s="36" t="s">
        <v>6</v>
      </c>
      <c r="C679" s="36" t="s">
        <v>8718</v>
      </c>
      <c r="D679" s="9" t="s">
        <v>5890</v>
      </c>
      <c r="E679" s="9" t="s">
        <v>8795</v>
      </c>
      <c r="G679" s="36" t="s">
        <v>15</v>
      </c>
      <c r="H679" s="36" t="str">
        <f>IFERROR(VLOOKUP(Table2[[#This Row], [Ticket]],Okey!A:B,2,0),"")</f>
        <v/>
      </c>
      <c r="K679" s="36" t="s">
        <v>7857</v>
      </c>
      <c r="M679" s="36" t="s">
        <v>8016</v>
      </c>
    </row>
    <row r="680" spans="1:13" hidden="1">
      <c r="A680" s="42">
        <f t="shared" si="11"/>
        <v>679</v>
      </c>
      <c r="B680" s="36" t="s">
        <v>6</v>
      </c>
      <c r="C680" s="36" t="s">
        <v>8718</v>
      </c>
      <c r="D680" s="9" t="s">
        <v>8796</v>
      </c>
      <c r="E680" s="9" t="s">
        <v>8797</v>
      </c>
      <c r="G680" s="36" t="s">
        <v>15</v>
      </c>
      <c r="H680" s="36" t="str">
        <f>IFERROR(VLOOKUP(Table2[[#This Row], [Ticket]],Okey!A:B,2,0),"")</f>
        <v/>
      </c>
      <c r="K680" s="36" t="s">
        <v>7857</v>
      </c>
      <c r="M680" s="36" t="s">
        <v>8016</v>
      </c>
    </row>
    <row r="681" spans="1:13" hidden="1">
      <c r="A681" s="42">
        <f t="shared" si="11"/>
        <v>680</v>
      </c>
      <c r="B681" s="36" t="s">
        <v>6</v>
      </c>
      <c r="C681" s="36" t="s">
        <v>8718</v>
      </c>
      <c r="D681" s="9" t="s">
        <v>8798</v>
      </c>
      <c r="E681" s="9" t="s">
        <v>8799</v>
      </c>
      <c r="G681" s="36" t="s">
        <v>15</v>
      </c>
      <c r="H681" s="36" t="str">
        <f>IFERROR(VLOOKUP(Table2[[#This Row], [Ticket]],Okey!A:B,2,0),"")</f>
        <v/>
      </c>
      <c r="K681" s="36" t="s">
        <v>7857</v>
      </c>
      <c r="M681" s="36" t="s">
        <v>8016</v>
      </c>
    </row>
    <row r="682" spans="1:13" hidden="1">
      <c r="A682" s="42">
        <f t="shared" si="11"/>
        <v>681</v>
      </c>
      <c r="B682" s="36" t="s">
        <v>6</v>
      </c>
      <c r="C682" s="36" t="s">
        <v>8718</v>
      </c>
      <c r="D682" s="9" t="s">
        <v>8800</v>
      </c>
      <c r="E682" s="9" t="s">
        <v>8801</v>
      </c>
      <c r="G682" s="36" t="s">
        <v>15</v>
      </c>
      <c r="H682" s="36" t="str">
        <f>IFERROR(VLOOKUP(Table2[[#This Row], [Ticket]],Okey!A:B,2,0),"")</f>
        <v/>
      </c>
      <c r="K682" s="36" t="s">
        <v>7857</v>
      </c>
      <c r="M682" s="36" t="s">
        <v>8016</v>
      </c>
    </row>
    <row r="683" spans="1:13" hidden="1">
      <c r="A683" s="42">
        <f t="shared" si="11"/>
        <v>682</v>
      </c>
      <c r="B683" s="36" t="s">
        <v>6</v>
      </c>
      <c r="C683" s="36" t="s">
        <v>8718</v>
      </c>
      <c r="D683" s="9" t="s">
        <v>2445</v>
      </c>
      <c r="E683" s="9" t="s">
        <v>8802</v>
      </c>
      <c r="G683" s="36" t="s">
        <v>15</v>
      </c>
      <c r="H683" s="36" t="str">
        <f>IFERROR(VLOOKUP(Table2[[#This Row], [Ticket]],Okey!A:B,2,0),"")</f>
        <v/>
      </c>
      <c r="K683" s="36" t="s">
        <v>7857</v>
      </c>
      <c r="M683" s="36" t="s">
        <v>8016</v>
      </c>
    </row>
    <row r="684" spans="1:13" hidden="1">
      <c r="A684" s="42">
        <f t="shared" si="11"/>
        <v>683</v>
      </c>
      <c r="B684" s="36" t="s">
        <v>6</v>
      </c>
      <c r="C684" s="36" t="s">
        <v>8718</v>
      </c>
      <c r="D684" s="9" t="s">
        <v>1621</v>
      </c>
      <c r="E684" s="9" t="s">
        <v>8803</v>
      </c>
      <c r="G684" s="36" t="s">
        <v>15</v>
      </c>
      <c r="H684" s="36" t="str">
        <f>IFERROR(VLOOKUP(Table2[[#This Row], [Ticket]],Okey!A:B,2,0),"")</f>
        <v/>
      </c>
      <c r="K684" s="36" t="s">
        <v>7857</v>
      </c>
      <c r="M684" s="36" t="s">
        <v>8016</v>
      </c>
    </row>
    <row r="685" spans="1:13" hidden="1">
      <c r="A685" s="42">
        <f t="shared" si="11"/>
        <v>684</v>
      </c>
      <c r="B685" s="36" t="s">
        <v>6</v>
      </c>
      <c r="C685" s="36" t="s">
        <v>8718</v>
      </c>
      <c r="D685" s="9" t="s">
        <v>2500</v>
      </c>
      <c r="E685" s="9" t="s">
        <v>8804</v>
      </c>
      <c r="G685" s="36" t="s">
        <v>15</v>
      </c>
      <c r="H685" s="36" t="str">
        <f>IFERROR(VLOOKUP(Table2[[#This Row], [Ticket]],Okey!A:B,2,0),"")</f>
        <v/>
      </c>
      <c r="K685" s="36" t="s">
        <v>7857</v>
      </c>
      <c r="M685" s="36" t="s">
        <v>8016</v>
      </c>
    </row>
    <row r="686" spans="1:13" hidden="1">
      <c r="A686" s="42">
        <f t="shared" si="11"/>
        <v>685</v>
      </c>
      <c r="B686" s="36" t="s">
        <v>6</v>
      </c>
      <c r="C686" s="36" t="s">
        <v>8718</v>
      </c>
      <c r="D686" s="9" t="s">
        <v>4857</v>
      </c>
      <c r="E686" s="9" t="s">
        <v>8805</v>
      </c>
      <c r="G686" s="36" t="s">
        <v>15</v>
      </c>
      <c r="H686" s="36" t="str">
        <f>IFERROR(VLOOKUP(Table2[[#This Row], [Ticket]],Okey!A:B,2,0),"")</f>
        <v/>
      </c>
      <c r="K686" s="36" t="s">
        <v>7857</v>
      </c>
      <c r="M686" s="36" t="s">
        <v>8016</v>
      </c>
    </row>
    <row r="687" spans="1:13" hidden="1">
      <c r="A687" s="42">
        <f t="shared" si="11"/>
        <v>686</v>
      </c>
      <c r="B687" s="36" t="s">
        <v>6</v>
      </c>
      <c r="C687" s="36" t="s">
        <v>8718</v>
      </c>
      <c r="D687" s="9" t="s">
        <v>4861</v>
      </c>
      <c r="E687" s="9" t="s">
        <v>8806</v>
      </c>
      <c r="G687" s="36" t="s">
        <v>15</v>
      </c>
      <c r="H687" s="36" t="str">
        <f>IFERROR(VLOOKUP(Table2[[#This Row], [Ticket]],Okey!A:B,2,0),"")</f>
        <v/>
      </c>
      <c r="K687" s="36" t="s">
        <v>7857</v>
      </c>
      <c r="M687" s="36" t="s">
        <v>8016</v>
      </c>
    </row>
    <row r="688" spans="1:13" hidden="1">
      <c r="A688" s="42">
        <f t="shared" si="11"/>
        <v>687</v>
      </c>
      <c r="B688" s="36" t="s">
        <v>6</v>
      </c>
      <c r="C688" s="36" t="s">
        <v>8718</v>
      </c>
      <c r="D688" s="9" t="s">
        <v>4863</v>
      </c>
      <c r="E688" s="9" t="s">
        <v>8807</v>
      </c>
      <c r="G688" s="36" t="s">
        <v>15</v>
      </c>
      <c r="H688" s="36" t="str">
        <f>IFERROR(VLOOKUP(Table2[[#This Row], [Ticket]],Okey!A:B,2,0),"")</f>
        <v/>
      </c>
      <c r="K688" s="36" t="s">
        <v>7857</v>
      </c>
      <c r="M688" s="36" t="s">
        <v>8016</v>
      </c>
    </row>
    <row r="689" spans="1:13" hidden="1">
      <c r="A689" s="42">
        <f t="shared" si="11"/>
        <v>688</v>
      </c>
      <c r="B689" s="36" t="s">
        <v>6</v>
      </c>
      <c r="C689" s="36" t="s">
        <v>8718</v>
      </c>
      <c r="D689" s="9" t="s">
        <v>2537</v>
      </c>
      <c r="E689" s="9" t="s">
        <v>8808</v>
      </c>
      <c r="G689" s="36" t="s">
        <v>15</v>
      </c>
      <c r="H689" s="36" t="str">
        <f>IFERROR(VLOOKUP(Table2[[#This Row], [Ticket]],Okey!A:B,2,0),"")</f>
        <v/>
      </c>
      <c r="K689" s="36" t="s">
        <v>7857</v>
      </c>
      <c r="M689" s="36" t="s">
        <v>8016</v>
      </c>
    </row>
    <row r="690" spans="1:13" hidden="1">
      <c r="A690" s="42">
        <f t="shared" si="11"/>
        <v>689</v>
      </c>
      <c r="B690" s="36" t="s">
        <v>6</v>
      </c>
      <c r="C690" s="36" t="s">
        <v>8718</v>
      </c>
      <c r="D690" s="9" t="s">
        <v>2535</v>
      </c>
      <c r="E690" s="9" t="s">
        <v>8809</v>
      </c>
      <c r="G690" s="36" t="s">
        <v>15</v>
      </c>
      <c r="H690" s="36" t="str">
        <f>IFERROR(VLOOKUP(Table2[[#This Row], [Ticket]],Okey!A:B,2,0),"")</f>
        <v/>
      </c>
      <c r="K690" s="36" t="s">
        <v>7857</v>
      </c>
      <c r="M690" s="36" t="s">
        <v>8016</v>
      </c>
    </row>
    <row r="691" spans="1:13" hidden="1">
      <c r="A691" s="42">
        <f t="shared" si="11"/>
        <v>690</v>
      </c>
      <c r="B691" s="36" t="s">
        <v>6</v>
      </c>
      <c r="C691" s="36" t="s">
        <v>8718</v>
      </c>
      <c r="D691" s="9" t="s">
        <v>2538</v>
      </c>
      <c r="E691" s="9" t="s">
        <v>8810</v>
      </c>
      <c r="G691" s="36" t="s">
        <v>15</v>
      </c>
      <c r="H691" s="36" t="str">
        <f>IFERROR(VLOOKUP(Table2[[#This Row], [Ticket]],Okey!A:B,2,0),"")</f>
        <v/>
      </c>
      <c r="K691" s="36" t="s">
        <v>7857</v>
      </c>
      <c r="M691" s="36" t="s">
        <v>8016</v>
      </c>
    </row>
    <row r="692" spans="1:13" hidden="1">
      <c r="A692" s="42">
        <f t="shared" si="11"/>
        <v>691</v>
      </c>
      <c r="B692" s="36" t="s">
        <v>6</v>
      </c>
      <c r="C692" s="36" t="s">
        <v>8718</v>
      </c>
      <c r="D692" s="9" t="s">
        <v>2540</v>
      </c>
      <c r="E692" s="9" t="s">
        <v>8811</v>
      </c>
      <c r="G692" s="36" t="s">
        <v>15</v>
      </c>
      <c r="H692" s="36" t="str">
        <f>IFERROR(VLOOKUP(Table2[[#This Row], [Ticket]],Okey!A:B,2,0),"")</f>
        <v/>
      </c>
      <c r="K692" s="36" t="s">
        <v>7857</v>
      </c>
      <c r="M692" s="36" t="s">
        <v>8016</v>
      </c>
    </row>
    <row r="693" spans="1:13" hidden="1">
      <c r="A693" s="42">
        <f t="shared" si="11"/>
        <v>692</v>
      </c>
      <c r="B693" s="36" t="s">
        <v>6</v>
      </c>
      <c r="C693" s="36" t="s">
        <v>8718</v>
      </c>
      <c r="D693" s="9" t="s">
        <v>2418</v>
      </c>
      <c r="E693" s="9" t="s">
        <v>8812</v>
      </c>
      <c r="G693" s="36" t="s">
        <v>15</v>
      </c>
      <c r="H693" s="36" t="str">
        <f>IFERROR(VLOOKUP(Table2[[#This Row], [Ticket]],Okey!A:B,2,0),"")</f>
        <v/>
      </c>
      <c r="K693" s="36" t="s">
        <v>7857</v>
      </c>
      <c r="M693" s="36" t="s">
        <v>8016</v>
      </c>
    </row>
    <row r="694" spans="1:13" hidden="1">
      <c r="A694" s="42">
        <f t="shared" si="11"/>
        <v>693</v>
      </c>
      <c r="B694" s="36" t="s">
        <v>6</v>
      </c>
      <c r="C694" s="36" t="s">
        <v>8718</v>
      </c>
      <c r="D694" s="9" t="s">
        <v>2558</v>
      </c>
      <c r="E694" s="9" t="s">
        <v>8813</v>
      </c>
      <c r="G694" s="36" t="s">
        <v>15</v>
      </c>
      <c r="H694" s="36" t="str">
        <f>IFERROR(VLOOKUP(Table2[[#This Row], [Ticket]],Okey!A:B,2,0),"")</f>
        <v/>
      </c>
      <c r="K694" s="36" t="s">
        <v>7857</v>
      </c>
      <c r="M694" s="36" t="s">
        <v>8016</v>
      </c>
    </row>
    <row r="695" spans="1:13" hidden="1">
      <c r="A695" s="42">
        <f t="shared" si="11"/>
        <v>694</v>
      </c>
      <c r="B695" s="36" t="s">
        <v>6</v>
      </c>
      <c r="C695" s="36" t="s">
        <v>8718</v>
      </c>
      <c r="D695" s="9" t="s">
        <v>2556</v>
      </c>
      <c r="E695" s="9" t="s">
        <v>8814</v>
      </c>
      <c r="G695" s="36" t="s">
        <v>15</v>
      </c>
      <c r="H695" s="36" t="str">
        <f>IFERROR(VLOOKUP(Table2[[#This Row], [Ticket]],Okey!A:B,2,0),"")</f>
        <v/>
      </c>
      <c r="K695" s="36" t="s">
        <v>7857</v>
      </c>
      <c r="M695" s="36" t="s">
        <v>8016</v>
      </c>
    </row>
    <row r="696" spans="1:13" hidden="1">
      <c r="A696" s="42">
        <f t="shared" si="11"/>
        <v>695</v>
      </c>
      <c r="B696" s="36" t="s">
        <v>6</v>
      </c>
      <c r="C696" s="36" t="s">
        <v>8718</v>
      </c>
      <c r="D696" s="9" t="s">
        <v>2559</v>
      </c>
      <c r="E696" s="9" t="s">
        <v>8815</v>
      </c>
      <c r="G696" s="36" t="s">
        <v>15</v>
      </c>
      <c r="H696" s="36" t="str">
        <f>IFERROR(VLOOKUP(Table2[[#This Row], [Ticket]],Okey!A:B,2,0),"")</f>
        <v/>
      </c>
      <c r="K696" s="36" t="s">
        <v>7857</v>
      </c>
      <c r="M696" s="36" t="s">
        <v>8016</v>
      </c>
    </row>
    <row r="697" spans="1:13" hidden="1">
      <c r="A697" s="42">
        <f t="shared" si="11"/>
        <v>696</v>
      </c>
      <c r="B697" s="36" t="s">
        <v>6</v>
      </c>
      <c r="C697" s="36" t="s">
        <v>8718</v>
      </c>
      <c r="D697" s="9" t="s">
        <v>2561</v>
      </c>
      <c r="E697" s="9" t="s">
        <v>8816</v>
      </c>
      <c r="G697" s="36" t="s">
        <v>15</v>
      </c>
      <c r="H697" s="36" t="str">
        <f>IFERROR(VLOOKUP(Table2[[#This Row], [Ticket]],Okey!A:B,2,0),"")</f>
        <v/>
      </c>
      <c r="K697" s="36" t="s">
        <v>7857</v>
      </c>
      <c r="M697" s="36" t="s">
        <v>8016</v>
      </c>
    </row>
    <row r="698" spans="1:13" hidden="1">
      <c r="A698" s="42">
        <f t="shared" si="11"/>
        <v>697</v>
      </c>
      <c r="B698" s="36" t="s">
        <v>6</v>
      </c>
      <c r="C698" s="36" t="s">
        <v>8718</v>
      </c>
      <c r="D698" s="9" t="s">
        <v>8817</v>
      </c>
      <c r="E698" s="9" t="s">
        <v>8818</v>
      </c>
      <c r="G698" s="36" t="s">
        <v>15</v>
      </c>
      <c r="H698" s="36" t="str">
        <f>IFERROR(VLOOKUP(Table2[[#This Row], [Ticket]],Okey!A:B,2,0),"")</f>
        <v/>
      </c>
      <c r="K698" s="36" t="s">
        <v>7857</v>
      </c>
      <c r="M698" s="36" t="s">
        <v>8016</v>
      </c>
    </row>
    <row r="699" spans="1:13" hidden="1">
      <c r="A699" s="42">
        <f t="shared" si="11"/>
        <v>698</v>
      </c>
      <c r="B699" s="36" t="s">
        <v>6</v>
      </c>
      <c r="C699" s="36" t="s">
        <v>8718</v>
      </c>
      <c r="D699" s="9" t="s">
        <v>5926</v>
      </c>
      <c r="E699" s="9" t="s">
        <v>8819</v>
      </c>
      <c r="G699" s="36" t="s">
        <v>15</v>
      </c>
      <c r="H699" s="36" t="str">
        <f>IFERROR(VLOOKUP(Table2[[#This Row], [Ticket]],Okey!A:B,2,0),"")</f>
        <v/>
      </c>
      <c r="K699" s="36" t="s">
        <v>7857</v>
      </c>
      <c r="M699" s="36" t="s">
        <v>8016</v>
      </c>
    </row>
    <row r="700" spans="1:13" hidden="1">
      <c r="A700" s="42">
        <f t="shared" si="11"/>
        <v>699</v>
      </c>
      <c r="B700" s="36" t="s">
        <v>6</v>
      </c>
      <c r="C700" s="36" t="s">
        <v>8718</v>
      </c>
      <c r="D700" s="9" t="s">
        <v>8820</v>
      </c>
      <c r="E700" s="9" t="s">
        <v>8821</v>
      </c>
      <c r="G700" s="36" t="s">
        <v>15</v>
      </c>
      <c r="H700" s="36" t="str">
        <f>IFERROR(VLOOKUP(Table2[[#This Row], [Ticket]],Okey!A:B,2,0),"")</f>
        <v/>
      </c>
      <c r="K700" s="36" t="s">
        <v>7857</v>
      </c>
      <c r="M700" s="36" t="s">
        <v>8016</v>
      </c>
    </row>
    <row r="701" spans="1:13" hidden="1">
      <c r="A701" s="42">
        <f t="shared" si="11"/>
        <v>700</v>
      </c>
      <c r="B701" s="36" t="s">
        <v>6</v>
      </c>
      <c r="C701" s="36" t="s">
        <v>8718</v>
      </c>
      <c r="D701" s="9" t="s">
        <v>8822</v>
      </c>
      <c r="E701" s="9" t="s">
        <v>8823</v>
      </c>
      <c r="G701" s="36" t="s">
        <v>15</v>
      </c>
      <c r="H701" s="36" t="str">
        <f>IFERROR(VLOOKUP(Table2[[#This Row], [Ticket]],Okey!A:B,2,0),"")</f>
        <v/>
      </c>
      <c r="K701" s="36" t="s">
        <v>7857</v>
      </c>
      <c r="M701" s="36" t="s">
        <v>8016</v>
      </c>
    </row>
    <row r="702" spans="1:13" hidden="1">
      <c r="A702" s="42">
        <f t="shared" si="11"/>
        <v>701</v>
      </c>
      <c r="B702" s="36" t="s">
        <v>6</v>
      </c>
      <c r="C702" s="36" t="s">
        <v>8718</v>
      </c>
      <c r="D702" s="9" t="s">
        <v>8824</v>
      </c>
      <c r="E702" s="9" t="s">
        <v>8823</v>
      </c>
      <c r="G702" s="36" t="s">
        <v>15</v>
      </c>
      <c r="H702" s="36" t="str">
        <f>IFERROR(VLOOKUP(Table2[[#This Row], [Ticket]],Okey!A:B,2,0),"")</f>
        <v/>
      </c>
      <c r="K702" s="36" t="s">
        <v>7857</v>
      </c>
      <c r="M702" s="36" t="s">
        <v>8016</v>
      </c>
    </row>
    <row r="703" spans="1:13" hidden="1">
      <c r="A703" s="42">
        <f t="shared" si="11"/>
        <v>702</v>
      </c>
      <c r="B703" s="36" t="s">
        <v>6</v>
      </c>
      <c r="C703" s="36" t="s">
        <v>8718</v>
      </c>
      <c r="D703" s="9" t="s">
        <v>8825</v>
      </c>
      <c r="E703" s="9" t="s">
        <v>8826</v>
      </c>
      <c r="G703" s="36" t="s">
        <v>15</v>
      </c>
      <c r="H703" s="36" t="str">
        <f>IFERROR(VLOOKUP(Table2[[#This Row], [Ticket]],Okey!A:B,2,0),"")</f>
        <v/>
      </c>
      <c r="K703" s="36" t="s">
        <v>7857</v>
      </c>
      <c r="M703" s="36" t="s">
        <v>8016</v>
      </c>
    </row>
    <row r="704" spans="1:13" hidden="1">
      <c r="A704" s="42">
        <f t="shared" si="11"/>
        <v>703</v>
      </c>
      <c r="B704" s="36" t="s">
        <v>6</v>
      </c>
      <c r="C704" s="36" t="s">
        <v>8718</v>
      </c>
      <c r="D704" s="9" t="s">
        <v>8827</v>
      </c>
      <c r="E704" s="9" t="s">
        <v>8828</v>
      </c>
      <c r="G704" s="36" t="s">
        <v>15</v>
      </c>
      <c r="H704" s="36" t="str">
        <f>IFERROR(VLOOKUP(Table2[[#This Row], [Ticket]],Okey!A:B,2,0),"")</f>
        <v/>
      </c>
      <c r="K704" s="36" t="s">
        <v>7857</v>
      </c>
      <c r="M704" s="36" t="s">
        <v>8016</v>
      </c>
    </row>
    <row r="705" spans="1:13" hidden="1">
      <c r="A705" s="42">
        <f t="shared" si="11"/>
        <v>704</v>
      </c>
      <c r="B705" s="36" t="s">
        <v>6</v>
      </c>
      <c r="C705" s="36" t="s">
        <v>8718</v>
      </c>
      <c r="D705" s="9" t="s">
        <v>8829</v>
      </c>
      <c r="E705" s="9" t="s">
        <v>8830</v>
      </c>
      <c r="G705" s="36" t="s">
        <v>15</v>
      </c>
      <c r="H705" s="36" t="str">
        <f>IFERROR(VLOOKUP(Table2[[#This Row], [Ticket]],Okey!A:B,2,0),"")</f>
        <v/>
      </c>
      <c r="K705" s="36" t="s">
        <v>7857</v>
      </c>
      <c r="M705" s="36" t="s">
        <v>8016</v>
      </c>
    </row>
    <row r="706" spans="1:13" hidden="1">
      <c r="A706" s="42">
        <f t="shared" si="11"/>
        <v>705</v>
      </c>
      <c r="B706" s="36" t="s">
        <v>6</v>
      </c>
      <c r="C706" s="36" t="s">
        <v>8718</v>
      </c>
      <c r="D706" s="9" t="s">
        <v>2192</v>
      </c>
      <c r="E706" s="9" t="s">
        <v>8831</v>
      </c>
      <c r="G706" s="36" t="s">
        <v>15</v>
      </c>
      <c r="H706" s="36" t="str">
        <f>IFERROR(VLOOKUP(Table2[[#This Row], [Ticket]],Okey!A:B,2,0),"")</f>
        <v/>
      </c>
      <c r="K706" s="36" t="s">
        <v>7857</v>
      </c>
      <c r="M706" s="36" t="s">
        <v>8016</v>
      </c>
    </row>
    <row r="707" spans="1:13" hidden="1">
      <c r="A707" s="42">
        <f t="shared" si="11"/>
        <v>706</v>
      </c>
      <c r="B707" s="36" t="s">
        <v>6</v>
      </c>
      <c r="C707" s="36" t="s">
        <v>8718</v>
      </c>
      <c r="D707" s="9" t="s">
        <v>2542</v>
      </c>
      <c r="E707" s="9" t="s">
        <v>8832</v>
      </c>
      <c r="G707" s="36" t="s">
        <v>15</v>
      </c>
      <c r="H707" s="36" t="str">
        <f>IFERROR(VLOOKUP(Table2[[#This Row], [Ticket]],Okey!A:B,2,0),"")</f>
        <v/>
      </c>
      <c r="K707" s="36" t="s">
        <v>7857</v>
      </c>
      <c r="M707" s="36" t="s">
        <v>8016</v>
      </c>
    </row>
    <row r="708" spans="1:13" hidden="1">
      <c r="A708" s="42">
        <f t="shared" si="11"/>
        <v>707</v>
      </c>
      <c r="B708" s="36" t="s">
        <v>6</v>
      </c>
      <c r="C708" s="36" t="s">
        <v>8718</v>
      </c>
      <c r="D708" s="9" t="s">
        <v>2545</v>
      </c>
      <c r="E708" s="9" t="s">
        <v>8833</v>
      </c>
      <c r="G708" s="36" t="s">
        <v>15</v>
      </c>
      <c r="H708" s="36" t="str">
        <f>IFERROR(VLOOKUP(Table2[[#This Row], [Ticket]],Okey!A:B,2,0),"")</f>
        <v/>
      </c>
      <c r="K708" s="36" t="s">
        <v>7857</v>
      </c>
      <c r="M708" s="36" t="s">
        <v>8016</v>
      </c>
    </row>
    <row r="709" spans="1:13" hidden="1">
      <c r="A709" s="42">
        <f t="shared" si="11"/>
        <v>708</v>
      </c>
      <c r="B709" s="36" t="s">
        <v>6</v>
      </c>
      <c r="C709" s="36" t="s">
        <v>8718</v>
      </c>
      <c r="D709" s="9" t="s">
        <v>2547</v>
      </c>
      <c r="E709" s="9" t="s">
        <v>8834</v>
      </c>
      <c r="G709" s="36" t="s">
        <v>15</v>
      </c>
      <c r="H709" s="36" t="str">
        <f>IFERROR(VLOOKUP(Table2[[#This Row], [Ticket]],Okey!A:B,2,0),"")</f>
        <v/>
      </c>
      <c r="K709" s="36" t="s">
        <v>7857</v>
      </c>
      <c r="M709" s="36" t="s">
        <v>8016</v>
      </c>
    </row>
    <row r="710" spans="1:13" hidden="1">
      <c r="A710" s="42">
        <f t="shared" si="11"/>
        <v>709</v>
      </c>
      <c r="B710" s="36" t="s">
        <v>6</v>
      </c>
      <c r="C710" s="36" t="s">
        <v>8718</v>
      </c>
      <c r="D710" s="9" t="s">
        <v>5238</v>
      </c>
      <c r="E710" s="9" t="s">
        <v>8835</v>
      </c>
      <c r="G710" s="36" t="s">
        <v>15</v>
      </c>
      <c r="H710" s="36" t="str">
        <f>IFERROR(VLOOKUP(Table2[[#This Row], [Ticket]],Okey!A:B,2,0),"")</f>
        <v/>
      </c>
      <c r="K710" s="36" t="s">
        <v>7857</v>
      </c>
      <c r="M710" s="36" t="s">
        <v>8016</v>
      </c>
    </row>
    <row r="711" spans="1:13" hidden="1">
      <c r="A711" s="42">
        <f t="shared" si="11"/>
        <v>710</v>
      </c>
      <c r="B711" s="36" t="s">
        <v>6</v>
      </c>
      <c r="C711" s="36" t="s">
        <v>8718</v>
      </c>
      <c r="D711" s="9" t="s">
        <v>2305</v>
      </c>
      <c r="E711" s="9" t="s">
        <v>8836</v>
      </c>
      <c r="G711" s="36" t="s">
        <v>15</v>
      </c>
      <c r="H711" s="36" t="str">
        <f>IFERROR(VLOOKUP(Table2[[#This Row], [Ticket]],Okey!A:B,2,0),"")</f>
        <v/>
      </c>
      <c r="K711" s="36" t="s">
        <v>7857</v>
      </c>
      <c r="M711" s="36" t="s">
        <v>8016</v>
      </c>
    </row>
    <row r="712" spans="1:13" hidden="1">
      <c r="A712" s="42">
        <f t="shared" si="11"/>
        <v>711</v>
      </c>
      <c r="B712" s="36" t="s">
        <v>6</v>
      </c>
      <c r="C712" s="36" t="s">
        <v>8718</v>
      </c>
      <c r="D712" s="9" t="s">
        <v>2549</v>
      </c>
      <c r="E712" s="9" t="s">
        <v>8837</v>
      </c>
      <c r="G712" s="36" t="s">
        <v>15</v>
      </c>
      <c r="H712" s="36" t="str">
        <f>IFERROR(VLOOKUP(Table2[[#This Row], [Ticket]],Okey!A:B,2,0),"")</f>
        <v/>
      </c>
      <c r="K712" s="36" t="s">
        <v>7857</v>
      </c>
      <c r="M712" s="36" t="s">
        <v>8016</v>
      </c>
    </row>
    <row r="713" spans="1:13" hidden="1">
      <c r="A713" s="42">
        <f t="shared" si="11"/>
        <v>712</v>
      </c>
      <c r="B713" s="36" t="s">
        <v>6</v>
      </c>
      <c r="C713" s="36" t="s">
        <v>8718</v>
      </c>
      <c r="D713" s="9" t="s">
        <v>2552</v>
      </c>
      <c r="E713" s="9" t="s">
        <v>8838</v>
      </c>
      <c r="G713" s="36" t="s">
        <v>15</v>
      </c>
      <c r="H713" s="36" t="str">
        <f>IFERROR(VLOOKUP(Table2[[#This Row], [Ticket]],Okey!A:B,2,0),"")</f>
        <v/>
      </c>
      <c r="K713" s="36" t="s">
        <v>7857</v>
      </c>
      <c r="M713" s="36" t="s">
        <v>8016</v>
      </c>
    </row>
    <row r="714" spans="1:13" hidden="1">
      <c r="A714" s="42">
        <f t="shared" si="11"/>
        <v>713</v>
      </c>
      <c r="B714" s="36" t="s">
        <v>6</v>
      </c>
      <c r="C714" s="36" t="s">
        <v>8718</v>
      </c>
      <c r="D714" s="9" t="s">
        <v>2554</v>
      </c>
      <c r="E714" s="9" t="s">
        <v>8839</v>
      </c>
      <c r="G714" s="36" t="s">
        <v>15</v>
      </c>
      <c r="H714" s="36" t="str">
        <f>IFERROR(VLOOKUP(Table2[[#This Row], [Ticket]],Okey!A:B,2,0),"")</f>
        <v/>
      </c>
      <c r="K714" s="36" t="s">
        <v>7857</v>
      </c>
      <c r="M714" s="36" t="s">
        <v>8016</v>
      </c>
    </row>
    <row r="715" spans="1:13" hidden="1">
      <c r="A715" s="42">
        <f t="shared" si="11"/>
        <v>714</v>
      </c>
      <c r="B715" s="36" t="s">
        <v>6</v>
      </c>
      <c r="C715" s="36" t="s">
        <v>8718</v>
      </c>
      <c r="D715" s="9" t="s">
        <v>4212</v>
      </c>
      <c r="E715" s="9" t="s">
        <v>8840</v>
      </c>
      <c r="F715" s="9" t="s">
        <v>4208</v>
      </c>
      <c r="G715" s="9" t="s">
        <v>16</v>
      </c>
      <c r="H715" s="36" t="str">
        <f>IFERROR(VLOOKUP(Table2[[#This Row], [Ticket]],Okey!A:B,2,0),"")</f>
        <v/>
      </c>
      <c r="K715" s="9" t="s">
        <v>6456</v>
      </c>
      <c r="M715" s="36" t="s">
        <v>8016</v>
      </c>
    </row>
    <row r="716" spans="1:13" hidden="1">
      <c r="A716" s="42">
        <f t="shared" si="11"/>
        <v>715</v>
      </c>
      <c r="B716" s="36" t="s">
        <v>6</v>
      </c>
      <c r="C716" s="36" t="s">
        <v>8718</v>
      </c>
      <c r="D716" s="9" t="s">
        <v>5220</v>
      </c>
      <c r="E716" s="9" t="s">
        <v>8841</v>
      </c>
      <c r="F716" s="9" t="s">
        <v>5350</v>
      </c>
      <c r="G716" s="36" t="s">
        <v>16</v>
      </c>
      <c r="H716" s="36" t="str">
        <f>IFERROR(VLOOKUP(Table2[[#This Row], [Ticket]],Okey!A:B,2,0),"")</f>
        <v/>
      </c>
      <c r="K716" s="36" t="s">
        <v>6456</v>
      </c>
      <c r="M716" s="36" t="s">
        <v>8016</v>
      </c>
    </row>
    <row r="717" spans="1:13" hidden="1">
      <c r="A717" s="42">
        <f t="shared" si="11"/>
        <v>716</v>
      </c>
      <c r="B717" s="36" t="s">
        <v>6</v>
      </c>
      <c r="C717" s="36" t="s">
        <v>8718</v>
      </c>
      <c r="D717" s="9" t="s">
        <v>5327</v>
      </c>
      <c r="E717" s="9" t="s">
        <v>8842</v>
      </c>
      <c r="F717" s="9" t="s">
        <v>5324</v>
      </c>
      <c r="G717" s="36" t="s">
        <v>16</v>
      </c>
      <c r="H717" s="36" t="str">
        <f>IFERROR(VLOOKUP(Table2[[#This Row], [Ticket]],Okey!A:B,2,0),"")</f>
        <v/>
      </c>
      <c r="K717" s="36" t="s">
        <v>6456</v>
      </c>
      <c r="M717" s="36" t="s">
        <v>8016</v>
      </c>
    </row>
    <row r="718" spans="1:13" hidden="1">
      <c r="A718" s="42">
        <f t="shared" si="11"/>
        <v>717</v>
      </c>
      <c r="B718" s="36" t="s">
        <v>6</v>
      </c>
      <c r="C718" s="36" t="s">
        <v>8718</v>
      </c>
      <c r="D718" s="9" t="s">
        <v>5355</v>
      </c>
      <c r="E718" s="9" t="s">
        <v>8843</v>
      </c>
      <c r="F718" s="9" t="s">
        <v>5350</v>
      </c>
      <c r="G718" s="36" t="s">
        <v>16</v>
      </c>
      <c r="H718" s="36" t="str">
        <f>IFERROR(VLOOKUP(Table2[[#This Row], [Ticket]],Okey!A:B,2,0),"")</f>
        <v/>
      </c>
      <c r="K718" s="36" t="s">
        <v>6456</v>
      </c>
      <c r="M718" s="36" t="s">
        <v>8016</v>
      </c>
    </row>
    <row r="719" spans="1:13" hidden="1">
      <c r="A719" s="42">
        <f t="shared" si="11"/>
        <v>718</v>
      </c>
      <c r="B719" s="36" t="s">
        <v>6</v>
      </c>
      <c r="C719" s="36" t="s">
        <v>8718</v>
      </c>
      <c r="D719" s="9" t="s">
        <v>5396</v>
      </c>
      <c r="E719" s="9" t="s">
        <v>8844</v>
      </c>
      <c r="F719" s="9" t="s">
        <v>5395</v>
      </c>
      <c r="G719" s="36" t="s">
        <v>16</v>
      </c>
      <c r="H719" s="36" t="str">
        <f>IFERROR(VLOOKUP(Table2[[#This Row], [Ticket]],Okey!A:B,2,0),"")</f>
        <v/>
      </c>
      <c r="K719" s="36" t="s">
        <v>6456</v>
      </c>
      <c r="M719" s="36" t="s">
        <v>8016</v>
      </c>
    </row>
    <row r="720" spans="1:13" hidden="1">
      <c r="A720" s="42">
        <f t="shared" si="11"/>
        <v>719</v>
      </c>
      <c r="B720" s="36" t="s">
        <v>6</v>
      </c>
      <c r="C720" s="36" t="s">
        <v>8718</v>
      </c>
      <c r="D720" s="9" t="s">
        <v>6434</v>
      </c>
      <c r="E720" s="9" t="s">
        <v>8845</v>
      </c>
      <c r="F720" s="9" t="s">
        <v>4861</v>
      </c>
      <c r="G720" s="36" t="s">
        <v>16</v>
      </c>
      <c r="H720" s="36" t="str">
        <f>IFERROR(VLOOKUP(Table2[[#This Row], [Ticket]],Okey!A:B,2,0),"")</f>
        <v/>
      </c>
      <c r="K720" s="36" t="s">
        <v>6456</v>
      </c>
      <c r="M720" s="36" t="s">
        <v>8016</v>
      </c>
    </row>
    <row r="721" spans="1:13" hidden="1">
      <c r="A721" s="42">
        <f t="shared" si="11"/>
        <v>720</v>
      </c>
      <c r="B721" s="36" t="s">
        <v>6</v>
      </c>
      <c r="C721" s="36" t="s">
        <v>8718</v>
      </c>
      <c r="D721" s="9" t="s">
        <v>6435</v>
      </c>
      <c r="E721" s="9" t="s">
        <v>8846</v>
      </c>
      <c r="F721" s="9" t="s">
        <v>4861</v>
      </c>
      <c r="G721" s="36" t="s">
        <v>16</v>
      </c>
      <c r="H721" s="36" t="str">
        <f>IFERROR(VLOOKUP(Table2[[#This Row], [Ticket]],Okey!A:B,2,0),"")</f>
        <v/>
      </c>
      <c r="K721" s="36" t="s">
        <v>6456</v>
      </c>
      <c r="M721" s="36" t="s">
        <v>8016</v>
      </c>
    </row>
    <row r="722" spans="1:13" hidden="1">
      <c r="A722" s="42">
        <f t="shared" si="11"/>
        <v>721</v>
      </c>
      <c r="B722" s="36" t="s">
        <v>6</v>
      </c>
      <c r="C722" s="36" t="s">
        <v>8718</v>
      </c>
      <c r="D722" s="9" t="s">
        <v>6436</v>
      </c>
      <c r="E722" s="9" t="s">
        <v>8847</v>
      </c>
      <c r="F722" s="9" t="s">
        <v>4861</v>
      </c>
      <c r="G722" s="36" t="s">
        <v>16</v>
      </c>
      <c r="H722" s="36" t="str">
        <f>IFERROR(VLOOKUP(Table2[[#This Row], [Ticket]],Okey!A:B,2,0),"")</f>
        <v/>
      </c>
      <c r="K722" s="36" t="s">
        <v>6456</v>
      </c>
      <c r="M722" s="36" t="s">
        <v>8016</v>
      </c>
    </row>
    <row r="723" spans="1:13" hidden="1">
      <c r="A723" s="42">
        <f t="shared" si="11"/>
        <v>722</v>
      </c>
      <c r="B723" s="36" t="s">
        <v>6</v>
      </c>
      <c r="C723" s="36" t="s">
        <v>8718</v>
      </c>
      <c r="D723" s="9" t="s">
        <v>6437</v>
      </c>
      <c r="E723" s="9" t="s">
        <v>8848</v>
      </c>
      <c r="F723" s="9" t="s">
        <v>4861</v>
      </c>
      <c r="G723" s="36" t="s">
        <v>16</v>
      </c>
      <c r="H723" s="36" t="str">
        <f>IFERROR(VLOOKUP(Table2[[#This Row], [Ticket]],Okey!A:B,2,0),"")</f>
        <v/>
      </c>
      <c r="K723" s="36" t="s">
        <v>6456</v>
      </c>
      <c r="M723" s="36" t="s">
        <v>8016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8718</v>
      </c>
      <c r="D724" s="9" t="s">
        <v>4875</v>
      </c>
      <c r="E724" s="9" t="s">
        <v>8849</v>
      </c>
      <c r="F724" s="9" t="s">
        <v>2688</v>
      </c>
      <c r="G724" s="36" t="s">
        <v>16</v>
      </c>
      <c r="H724" s="36" t="str">
        <f>IFERROR(VLOOKUP(Table2[[#This Row], [Ticket]],Okey!A:B,2,0),"")</f>
        <v/>
      </c>
      <c r="K724" s="36" t="s">
        <v>6456</v>
      </c>
      <c r="M724" s="36" t="s">
        <v>8016</v>
      </c>
    </row>
    <row r="725" spans="1:13" hidden="1">
      <c r="A725" s="42">
        <f t="shared" si="12"/>
        <v>724</v>
      </c>
      <c r="B725" s="36" t="s">
        <v>6</v>
      </c>
      <c r="C725" s="36" t="s">
        <v>8718</v>
      </c>
      <c r="D725" s="9" t="s">
        <v>4877</v>
      </c>
      <c r="E725" s="9" t="s">
        <v>8850</v>
      </c>
      <c r="F725" s="9" t="s">
        <v>2688</v>
      </c>
      <c r="G725" s="36" t="s">
        <v>16</v>
      </c>
      <c r="H725" s="36" t="str">
        <f>IFERROR(VLOOKUP(Table2[[#This Row], [Ticket]],Okey!A:B,2,0),"")</f>
        <v/>
      </c>
      <c r="K725" s="36" t="s">
        <v>6456</v>
      </c>
      <c r="M725" s="36" t="s">
        <v>8016</v>
      </c>
    </row>
    <row r="726" spans="1:13" hidden="1">
      <c r="A726" s="42">
        <f t="shared" si="12"/>
        <v>725</v>
      </c>
      <c r="B726" s="36" t="s">
        <v>6</v>
      </c>
      <c r="C726" s="36" t="s">
        <v>8718</v>
      </c>
      <c r="D726" s="9" t="s">
        <v>4879</v>
      </c>
      <c r="E726" s="9" t="s">
        <v>8851</v>
      </c>
      <c r="F726" s="9" t="s">
        <v>2688</v>
      </c>
      <c r="G726" s="36" t="s">
        <v>16</v>
      </c>
      <c r="H726" s="36" t="str">
        <f>IFERROR(VLOOKUP(Table2[[#This Row], [Ticket]],Okey!A:B,2,0),"")</f>
        <v/>
      </c>
      <c r="K726" s="36" t="s">
        <v>6456</v>
      </c>
      <c r="M726" s="36" t="s">
        <v>8016</v>
      </c>
    </row>
    <row r="727" spans="1:13" hidden="1">
      <c r="A727" s="42">
        <f t="shared" si="12"/>
        <v>726</v>
      </c>
      <c r="B727" s="36" t="s">
        <v>6</v>
      </c>
      <c r="C727" s="36" t="s">
        <v>8718</v>
      </c>
      <c r="D727" s="9" t="s">
        <v>4921</v>
      </c>
      <c r="E727" s="9" t="s">
        <v>8852</v>
      </c>
      <c r="F727" s="9" t="s">
        <v>4861</v>
      </c>
      <c r="G727" s="36" t="s">
        <v>16</v>
      </c>
      <c r="H727" s="36" t="str">
        <f>IFERROR(VLOOKUP(Table2[[#This Row], [Ticket]],Okey!A:B,2,0),"")</f>
        <v/>
      </c>
      <c r="K727" s="36" t="s">
        <v>6456</v>
      </c>
      <c r="M727" s="36" t="s">
        <v>8016</v>
      </c>
    </row>
    <row r="728" spans="1:13" hidden="1">
      <c r="A728" s="42">
        <f t="shared" si="12"/>
        <v>727</v>
      </c>
      <c r="B728" s="36" t="s">
        <v>6</v>
      </c>
      <c r="C728" s="36" t="s">
        <v>8718</v>
      </c>
      <c r="D728" s="9" t="s">
        <v>4922</v>
      </c>
      <c r="E728" s="9" t="s">
        <v>8853</v>
      </c>
      <c r="F728" s="9" t="s">
        <v>4861</v>
      </c>
      <c r="G728" s="36" t="s">
        <v>16</v>
      </c>
      <c r="H728" s="36" t="str">
        <f>IFERROR(VLOOKUP(Table2[[#This Row], [Ticket]],Okey!A:B,2,0),"")</f>
        <v/>
      </c>
      <c r="K728" s="36" t="s">
        <v>6456</v>
      </c>
      <c r="M728" s="36" t="s">
        <v>8016</v>
      </c>
    </row>
    <row r="729" spans="1:13" hidden="1">
      <c r="A729" s="42">
        <f t="shared" si="12"/>
        <v>728</v>
      </c>
      <c r="B729" s="36" t="s">
        <v>6</v>
      </c>
      <c r="C729" s="36" t="s">
        <v>8718</v>
      </c>
      <c r="D729" s="9" t="s">
        <v>4923</v>
      </c>
      <c r="E729" s="9" t="s">
        <v>8854</v>
      </c>
      <c r="F729" s="9" t="s">
        <v>2688</v>
      </c>
      <c r="G729" s="36" t="s">
        <v>16</v>
      </c>
      <c r="H729" s="36" t="str">
        <f>IFERROR(VLOOKUP(Table2[[#This Row], [Ticket]],Okey!A:B,2,0),"")</f>
        <v/>
      </c>
      <c r="K729" s="36" t="s">
        <v>6456</v>
      </c>
      <c r="M729" s="36" t="s">
        <v>8016</v>
      </c>
    </row>
    <row r="730" spans="1:13" hidden="1">
      <c r="A730" s="42">
        <f t="shared" si="12"/>
        <v>729</v>
      </c>
      <c r="B730" s="36" t="s">
        <v>6</v>
      </c>
      <c r="C730" s="36" t="s">
        <v>8718</v>
      </c>
      <c r="D730" s="9" t="s">
        <v>4882</v>
      </c>
      <c r="E730" s="9" t="s">
        <v>8855</v>
      </c>
      <c r="F730" s="9" t="s">
        <v>4923</v>
      </c>
      <c r="G730" s="36" t="s">
        <v>16</v>
      </c>
      <c r="H730" s="36" t="str">
        <f>IFERROR(VLOOKUP(Table2[[#This Row], [Ticket]],Okey!A:B,2,0),"")</f>
        <v/>
      </c>
      <c r="K730" s="36" t="s">
        <v>6456</v>
      </c>
      <c r="M730" s="36" t="s">
        <v>8016</v>
      </c>
    </row>
    <row r="731" spans="1:13" hidden="1">
      <c r="A731" s="42">
        <f t="shared" si="12"/>
        <v>730</v>
      </c>
      <c r="B731" s="36" t="s">
        <v>6</v>
      </c>
      <c r="C731" s="36" t="s">
        <v>8718</v>
      </c>
      <c r="D731" s="9" t="s">
        <v>4924</v>
      </c>
      <c r="E731" s="9" t="s">
        <v>8856</v>
      </c>
      <c r="F731" s="9" t="s">
        <v>4923</v>
      </c>
      <c r="G731" s="36" t="s">
        <v>16</v>
      </c>
      <c r="H731" s="36" t="str">
        <f>IFERROR(VLOOKUP(Table2[[#This Row], [Ticket]],Okey!A:B,2,0),"")</f>
        <v/>
      </c>
      <c r="K731" s="36" t="s">
        <v>6456</v>
      </c>
      <c r="M731" s="36" t="s">
        <v>8016</v>
      </c>
    </row>
    <row r="732" spans="1:13" hidden="1">
      <c r="A732" s="42">
        <f t="shared" si="12"/>
        <v>731</v>
      </c>
      <c r="B732" s="36" t="s">
        <v>6</v>
      </c>
      <c r="C732" s="36" t="s">
        <v>8718</v>
      </c>
      <c r="D732" s="9" t="s">
        <v>4925</v>
      </c>
      <c r="E732" s="9" t="s">
        <v>8857</v>
      </c>
      <c r="F732" s="9" t="s">
        <v>2688</v>
      </c>
      <c r="G732" s="36" t="s">
        <v>16</v>
      </c>
      <c r="H732" s="36" t="str">
        <f>IFERROR(VLOOKUP(Table2[[#This Row], [Ticket]],Okey!A:B,2,0),"")</f>
        <v/>
      </c>
      <c r="K732" s="36" t="s">
        <v>6456</v>
      </c>
      <c r="M732" s="36" t="s">
        <v>8016</v>
      </c>
    </row>
    <row r="733" spans="1:13" hidden="1">
      <c r="A733" s="42">
        <f t="shared" si="12"/>
        <v>732</v>
      </c>
      <c r="B733" s="36" t="s">
        <v>6</v>
      </c>
      <c r="C733" s="36" t="s">
        <v>8718</v>
      </c>
      <c r="D733" s="9" t="s">
        <v>2144</v>
      </c>
      <c r="E733" s="9" t="s">
        <v>8858</v>
      </c>
      <c r="F733" s="9" t="s">
        <v>2142</v>
      </c>
      <c r="G733" s="36" t="s">
        <v>16</v>
      </c>
      <c r="H733" s="36" t="str">
        <f>IFERROR(VLOOKUP(Table2[[#This Row], [Ticket]],Okey!A:B,2,0),"")</f>
        <v/>
      </c>
      <c r="K733" s="36" t="s">
        <v>6456</v>
      </c>
      <c r="M733" s="36" t="s">
        <v>8016</v>
      </c>
    </row>
    <row r="734" spans="1:13" hidden="1">
      <c r="A734" s="42">
        <f t="shared" si="12"/>
        <v>733</v>
      </c>
      <c r="B734" s="36" t="s">
        <v>6</v>
      </c>
      <c r="C734" s="36" t="s">
        <v>8718</v>
      </c>
      <c r="D734" s="9" t="s">
        <v>3190</v>
      </c>
      <c r="E734" s="9" t="s">
        <v>8859</v>
      </c>
      <c r="F734" s="9" t="s">
        <v>2195</v>
      </c>
      <c r="G734" s="36" t="s">
        <v>16</v>
      </c>
      <c r="H734" s="36" t="str">
        <f>IFERROR(VLOOKUP(Table2[[#This Row], [Ticket]],Okey!A:B,2,0),"")</f>
        <v/>
      </c>
      <c r="K734" s="36" t="s">
        <v>6456</v>
      </c>
      <c r="M734" s="36" t="s">
        <v>8016</v>
      </c>
    </row>
    <row r="735" spans="1:13" hidden="1">
      <c r="A735" s="42">
        <f t="shared" si="12"/>
        <v>734</v>
      </c>
      <c r="B735" s="36" t="s">
        <v>6</v>
      </c>
      <c r="C735" s="36" t="s">
        <v>8718</v>
      </c>
      <c r="D735" s="9" t="s">
        <v>2197</v>
      </c>
      <c r="E735" s="9" t="s">
        <v>8860</v>
      </c>
      <c r="F735" s="9" t="s">
        <v>2190</v>
      </c>
      <c r="G735" s="36" t="s">
        <v>16</v>
      </c>
      <c r="H735" s="36" t="str">
        <f>IFERROR(VLOOKUP(Table2[[#This Row], [Ticket]],Okey!A:B,2,0),"")</f>
        <v/>
      </c>
      <c r="K735" s="36" t="s">
        <v>6456</v>
      </c>
      <c r="M735" s="36" t="s">
        <v>8016</v>
      </c>
    </row>
    <row r="736" spans="1:13" hidden="1">
      <c r="A736" s="42">
        <f t="shared" si="12"/>
        <v>735</v>
      </c>
      <c r="B736" s="36" t="s">
        <v>6</v>
      </c>
      <c r="C736" s="36" t="s">
        <v>8718</v>
      </c>
      <c r="D736" s="9" t="s">
        <v>2201</v>
      </c>
      <c r="E736" s="9" t="s">
        <v>8861</v>
      </c>
      <c r="F736" s="9" t="s">
        <v>8052</v>
      </c>
      <c r="G736" s="36" t="s">
        <v>16</v>
      </c>
      <c r="H736" s="36" t="str">
        <f>IFERROR(VLOOKUP(Table2[[#This Row], [Ticket]],Okey!A:B,2,0),"")</f>
        <v/>
      </c>
      <c r="K736" s="36" t="s">
        <v>6456</v>
      </c>
      <c r="M736" s="36" t="s">
        <v>8016</v>
      </c>
    </row>
    <row r="737" spans="1:13" hidden="1">
      <c r="A737" s="42">
        <f t="shared" si="12"/>
        <v>736</v>
      </c>
      <c r="B737" s="36" t="s">
        <v>6</v>
      </c>
      <c r="C737" s="36" t="s">
        <v>8718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/>
      </c>
      <c r="K737" s="36" t="s">
        <v>6456</v>
      </c>
      <c r="M737" s="36" t="s">
        <v>8016</v>
      </c>
    </row>
    <row r="738" spans="1:13" hidden="1">
      <c r="A738" s="42">
        <f t="shared" si="12"/>
        <v>737</v>
      </c>
      <c r="B738" s="36" t="s">
        <v>6</v>
      </c>
      <c r="C738" s="36" t="s">
        <v>8718</v>
      </c>
      <c r="D738" s="9" t="s">
        <v>2676</v>
      </c>
      <c r="F738" s="9" t="s">
        <v>8031</v>
      </c>
      <c r="G738" s="36" t="s">
        <v>13</v>
      </c>
      <c r="H738" s="36" t="str">
        <f>IFERROR(VLOOKUP(Table2[[#This Row], [Ticket]],Okey!A:B,2,0),"")</f>
        <v/>
      </c>
      <c r="K738" s="36" t="s">
        <v>6456</v>
      </c>
      <c r="M738" s="36" t="s">
        <v>8016</v>
      </c>
    </row>
    <row r="739" spans="1:13" hidden="1">
      <c r="A739" s="42">
        <f t="shared" si="12"/>
        <v>738</v>
      </c>
      <c r="B739" s="36" t="s">
        <v>6</v>
      </c>
      <c r="C739" s="36" t="s">
        <v>8718</v>
      </c>
      <c r="D739" s="9" t="s">
        <v>8862</v>
      </c>
      <c r="F739" s="9" t="s">
        <v>4626</v>
      </c>
      <c r="G739" s="36" t="s">
        <v>13</v>
      </c>
      <c r="H739" s="36" t="str">
        <f>IFERROR(VLOOKUP(Table2[[#This Row], [Ticket]],Okey!A:B,2,0),"")</f>
        <v/>
      </c>
      <c r="K739" s="36" t="s">
        <v>6456</v>
      </c>
      <c r="M739" s="36" t="s">
        <v>8016</v>
      </c>
    </row>
    <row r="740" spans="1:13" hidden="1">
      <c r="A740" s="42">
        <f t="shared" si="12"/>
        <v>739</v>
      </c>
      <c r="B740" s="36" t="s">
        <v>6</v>
      </c>
      <c r="C740" s="36" t="s">
        <v>8718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/>
      </c>
      <c r="K740" s="36" t="s">
        <v>6456</v>
      </c>
      <c r="M740" s="36" t="s">
        <v>8016</v>
      </c>
    </row>
    <row r="741" spans="1:13" hidden="1">
      <c r="A741" s="42">
        <f t="shared" si="12"/>
        <v>740</v>
      </c>
      <c r="B741" s="36" t="s">
        <v>6</v>
      </c>
      <c r="C741" s="36" t="s">
        <v>8718</v>
      </c>
      <c r="D741" s="9" t="s">
        <v>8863</v>
      </c>
      <c r="F741" s="9" t="s">
        <v>4626</v>
      </c>
      <c r="G741" s="36" t="s">
        <v>13</v>
      </c>
      <c r="H741" s="36" t="str">
        <f>IFERROR(VLOOKUP(Table2[[#This Row], [Ticket]],Okey!A:B,2,0),"")</f>
        <v/>
      </c>
      <c r="K741" s="36" t="s">
        <v>6456</v>
      </c>
      <c r="M741" s="36" t="s">
        <v>8016</v>
      </c>
    </row>
    <row r="742" spans="1:13" hidden="1">
      <c r="A742" s="42">
        <f t="shared" si="12"/>
        <v>741</v>
      </c>
      <c r="B742" s="36" t="s">
        <v>6</v>
      </c>
      <c r="C742" s="36" t="s">
        <v>8718</v>
      </c>
      <c r="D742" s="9" t="s">
        <v>2100</v>
      </c>
      <c r="F742" s="9" t="s">
        <v>8017</v>
      </c>
      <c r="G742" s="36" t="s">
        <v>13</v>
      </c>
      <c r="H742" s="36" t="str">
        <f>IFERROR(VLOOKUP(Table2[[#This Row], [Ticket]],Okey!A:B,2,0),"")</f>
        <v/>
      </c>
      <c r="K742" s="36" t="s">
        <v>6456</v>
      </c>
      <c r="M742" s="36" t="s">
        <v>8016</v>
      </c>
    </row>
    <row r="743" spans="1:13" hidden="1">
      <c r="A743" s="42">
        <f t="shared" si="12"/>
        <v>742</v>
      </c>
      <c r="B743" s="36" t="s">
        <v>6</v>
      </c>
      <c r="C743" s="36" t="s">
        <v>8718</v>
      </c>
      <c r="D743" s="9" t="s">
        <v>8039</v>
      </c>
      <c r="F743" s="9" t="s">
        <v>8038</v>
      </c>
      <c r="G743" s="36" t="s">
        <v>13</v>
      </c>
      <c r="H743" s="36" t="str">
        <f>IFERROR(VLOOKUP(Table2[[#This Row], [Ticket]],Okey!A:B,2,0),"")</f>
        <v/>
      </c>
      <c r="K743" s="36" t="s">
        <v>6456</v>
      </c>
      <c r="M743" s="36" t="s">
        <v>8016</v>
      </c>
    </row>
    <row r="744" spans="1:13" hidden="1">
      <c r="A744" s="42">
        <f t="shared" si="12"/>
        <v>743</v>
      </c>
      <c r="B744" s="36" t="s">
        <v>6</v>
      </c>
      <c r="C744" s="36" t="s">
        <v>8718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/>
      </c>
      <c r="K744" s="36" t="s">
        <v>6456</v>
      </c>
      <c r="M744" s="36" t="s">
        <v>8016</v>
      </c>
    </row>
    <row r="745" spans="1:13" hidden="1">
      <c r="A745" s="42">
        <f t="shared" si="12"/>
        <v>744</v>
      </c>
      <c r="B745" s="36" t="s">
        <v>6</v>
      </c>
      <c r="C745" s="36" t="s">
        <v>8718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/>
      </c>
      <c r="K745" s="36" t="s">
        <v>6456</v>
      </c>
      <c r="M745" s="36" t="s">
        <v>8016</v>
      </c>
    </row>
    <row r="746" spans="1:13" hidden="1">
      <c r="A746" s="42">
        <f t="shared" si="12"/>
        <v>745</v>
      </c>
      <c r="B746" s="36" t="s">
        <v>6</v>
      </c>
      <c r="C746" s="36" t="s">
        <v>8718</v>
      </c>
      <c r="D746" s="9" t="s">
        <v>2142</v>
      </c>
      <c r="F746" s="9" t="s">
        <v>8785</v>
      </c>
      <c r="G746" s="36" t="s">
        <v>13</v>
      </c>
      <c r="H746" s="36" t="str">
        <f>IFERROR(VLOOKUP(Table2[[#This Row], [Ticket]],Okey!A:B,2,0),"")</f>
        <v/>
      </c>
      <c r="K746" s="36" t="s">
        <v>6456</v>
      </c>
      <c r="M746" s="36" t="s">
        <v>8016</v>
      </c>
    </row>
    <row r="747" spans="1:13" hidden="1">
      <c r="A747" s="42">
        <f t="shared" si="12"/>
        <v>746</v>
      </c>
      <c r="B747" s="36" t="s">
        <v>6</v>
      </c>
      <c r="C747" s="36" t="s">
        <v>8718</v>
      </c>
      <c r="D747" s="9" t="s">
        <v>2190</v>
      </c>
      <c r="F747" s="9" t="s">
        <v>8052</v>
      </c>
      <c r="G747" s="36" t="s">
        <v>13</v>
      </c>
      <c r="H747" s="36" t="str">
        <f>IFERROR(VLOOKUP(Table2[[#This Row], [Ticket]],Okey!A:B,2,0),"")</f>
        <v/>
      </c>
      <c r="K747" s="36" t="s">
        <v>6456</v>
      </c>
      <c r="M747" s="36" t="s">
        <v>8016</v>
      </c>
    </row>
    <row r="748" spans="1:13" hidden="1">
      <c r="A748" s="42">
        <f t="shared" si="12"/>
        <v>747</v>
      </c>
      <c r="B748" s="36" t="s">
        <v>6</v>
      </c>
      <c r="C748" s="36" t="s">
        <v>8718</v>
      </c>
      <c r="D748" s="9" t="s">
        <v>2195</v>
      </c>
      <c r="F748" s="9" t="s">
        <v>8052</v>
      </c>
      <c r="G748" s="36" t="s">
        <v>13</v>
      </c>
      <c r="H748" s="36" t="str">
        <f>IFERROR(VLOOKUP(Table2[[#This Row], [Ticket]],Okey!A:B,2,0),"")</f>
        <v/>
      </c>
      <c r="K748" s="36" t="s">
        <v>6456</v>
      </c>
      <c r="M748" s="36" t="s">
        <v>8016</v>
      </c>
    </row>
    <row r="749" spans="1:13" hidden="1">
      <c r="A749" s="42">
        <f t="shared" si="12"/>
        <v>748</v>
      </c>
      <c r="B749" s="36" t="s">
        <v>6</v>
      </c>
      <c r="C749" s="36" t="s">
        <v>8718</v>
      </c>
      <c r="D749" s="9" t="s">
        <v>2199</v>
      </c>
      <c r="F749" s="9" t="s">
        <v>8052</v>
      </c>
      <c r="G749" s="36" t="s">
        <v>13</v>
      </c>
      <c r="H749" s="36" t="str">
        <f>IFERROR(VLOOKUP(Table2[[#This Row], [Ticket]],Okey!A:B,2,0),"")</f>
        <v/>
      </c>
      <c r="K749" s="36" t="s">
        <v>6456</v>
      </c>
      <c r="M749" s="36" t="s">
        <v>8016</v>
      </c>
    </row>
    <row r="750" spans="1:13" hidden="1">
      <c r="A750" s="42">
        <f t="shared" si="12"/>
        <v>749</v>
      </c>
      <c r="B750" s="36" t="s">
        <v>6</v>
      </c>
      <c r="C750" s="36" t="s">
        <v>8718</v>
      </c>
      <c r="D750" s="9" t="s">
        <v>2203</v>
      </c>
      <c r="F750" s="9" t="s">
        <v>8052</v>
      </c>
      <c r="G750" s="36" t="s">
        <v>13</v>
      </c>
      <c r="H750" s="36" t="str">
        <f>IFERROR(VLOOKUP(Table2[[#This Row], [Ticket]],Okey!A:B,2,0),"")</f>
        <v/>
      </c>
      <c r="K750" s="36" t="s">
        <v>6456</v>
      </c>
      <c r="M750" s="36" t="s">
        <v>8016</v>
      </c>
    </row>
    <row r="751" spans="1:13" hidden="1">
      <c r="A751" s="42">
        <f t="shared" si="12"/>
        <v>750</v>
      </c>
      <c r="B751" s="36" t="s">
        <v>6</v>
      </c>
      <c r="C751" s="36" t="s">
        <v>8718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/>
      </c>
      <c r="K751" s="36" t="s">
        <v>6456</v>
      </c>
      <c r="M751" s="36" t="s">
        <v>8016</v>
      </c>
    </row>
    <row r="752" spans="1:13" hidden="1">
      <c r="A752" s="42">
        <f t="shared" si="12"/>
        <v>751</v>
      </c>
      <c r="B752" s="36" t="s">
        <v>6</v>
      </c>
      <c r="C752" s="36" t="s">
        <v>8718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/>
      </c>
      <c r="K752" s="36" t="s">
        <v>6456</v>
      </c>
      <c r="M752" s="36" t="s">
        <v>8016</v>
      </c>
    </row>
    <row r="753" spans="1:13" hidden="1">
      <c r="A753" s="42">
        <f t="shared" si="12"/>
        <v>752</v>
      </c>
      <c r="B753" s="36" t="s">
        <v>6</v>
      </c>
      <c r="C753" s="36" t="s">
        <v>8718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/>
      </c>
      <c r="K753" s="36" t="s">
        <v>6456</v>
      </c>
      <c r="M753" s="36" t="s">
        <v>8016</v>
      </c>
    </row>
    <row r="754" spans="1:13" hidden="1">
      <c r="A754" s="42">
        <f t="shared" si="12"/>
        <v>753</v>
      </c>
      <c r="B754" s="36" t="s">
        <v>6</v>
      </c>
      <c r="C754" s="36" t="s">
        <v>8718</v>
      </c>
      <c r="D754" s="9" t="s">
        <v>8864</v>
      </c>
      <c r="F754" s="9" t="s">
        <v>2482</v>
      </c>
      <c r="G754" s="36" t="s">
        <v>13</v>
      </c>
      <c r="H754" s="36" t="str">
        <f>IFERROR(VLOOKUP(Table2[[#This Row], [Ticket]],Okey!A:B,2,0),"")</f>
        <v/>
      </c>
      <c r="K754" s="36" t="s">
        <v>6456</v>
      </c>
      <c r="M754" s="36" t="s">
        <v>8016</v>
      </c>
    </row>
    <row r="755" spans="1:13" hidden="1">
      <c r="A755" s="42">
        <f t="shared" si="12"/>
        <v>754</v>
      </c>
      <c r="B755" s="36" t="s">
        <v>6</v>
      </c>
      <c r="C755" s="36" t="s">
        <v>8718</v>
      </c>
      <c r="D755" s="9" t="s">
        <v>8865</v>
      </c>
      <c r="F755" s="9" t="s">
        <v>2509</v>
      </c>
      <c r="G755" s="36" t="s">
        <v>13</v>
      </c>
      <c r="H755" s="36" t="str">
        <f>IFERROR(VLOOKUP(Table2[[#This Row], [Ticket]],Okey!A:B,2,0),"")</f>
        <v/>
      </c>
      <c r="K755" s="36" t="s">
        <v>6456</v>
      </c>
      <c r="M755" s="36" t="s">
        <v>8016</v>
      </c>
    </row>
    <row r="756" spans="1:13" hidden="1">
      <c r="A756" s="42">
        <f t="shared" si="12"/>
        <v>755</v>
      </c>
      <c r="B756" s="36" t="s">
        <v>6</v>
      </c>
      <c r="C756" s="36" t="s">
        <v>8718</v>
      </c>
      <c r="D756" s="9" t="s">
        <v>8866</v>
      </c>
      <c r="F756" s="9" t="s">
        <v>2454</v>
      </c>
      <c r="G756" s="36" t="s">
        <v>13</v>
      </c>
      <c r="H756" s="36" t="str">
        <f>IFERROR(VLOOKUP(Table2[[#This Row], [Ticket]],Okey!A:B,2,0),"")</f>
        <v/>
      </c>
      <c r="K756" s="36" t="s">
        <v>6456</v>
      </c>
      <c r="M756" s="36" t="s">
        <v>8016</v>
      </c>
    </row>
    <row r="757" spans="1:13" hidden="1">
      <c r="A757" s="42">
        <f t="shared" si="12"/>
        <v>756</v>
      </c>
      <c r="B757" s="36" t="s">
        <v>6</v>
      </c>
      <c r="C757" s="36" t="s">
        <v>8718</v>
      </c>
      <c r="D757" s="9" t="s">
        <v>2446</v>
      </c>
      <c r="F757" s="9" t="s">
        <v>8047</v>
      </c>
      <c r="G757" s="36" t="s">
        <v>13</v>
      </c>
      <c r="H757" s="36" t="str">
        <f>IFERROR(VLOOKUP(Table2[[#This Row], [Ticket]],Okey!A:B,2,0),"")</f>
        <v/>
      </c>
      <c r="K757" s="36" t="s">
        <v>6456</v>
      </c>
      <c r="M757" s="36" t="s">
        <v>8016</v>
      </c>
    </row>
    <row r="758" spans="1:13" hidden="1">
      <c r="A758" s="42">
        <f t="shared" si="12"/>
        <v>757</v>
      </c>
      <c r="B758" s="36" t="s">
        <v>6</v>
      </c>
      <c r="C758" s="36" t="s">
        <v>8718</v>
      </c>
      <c r="D758" s="9" t="s">
        <v>2456</v>
      </c>
      <c r="F758" s="9" t="s">
        <v>8047</v>
      </c>
      <c r="G758" s="36" t="s">
        <v>13</v>
      </c>
      <c r="H758" s="36" t="str">
        <f>IFERROR(VLOOKUP(Table2[[#This Row], [Ticket]],Okey!A:B,2,0),"")</f>
        <v/>
      </c>
      <c r="K758" s="36" t="s">
        <v>6456</v>
      </c>
      <c r="M758" s="36" t="s">
        <v>8016</v>
      </c>
    </row>
    <row r="759" spans="1:13" hidden="1">
      <c r="A759" s="42">
        <f t="shared" si="12"/>
        <v>758</v>
      </c>
      <c r="B759" s="36" t="s">
        <v>6</v>
      </c>
      <c r="C759" s="36" t="s">
        <v>8718</v>
      </c>
      <c r="D759" s="9" t="s">
        <v>2501</v>
      </c>
      <c r="F759" s="9" t="s">
        <v>8047</v>
      </c>
      <c r="G759" s="36" t="s">
        <v>13</v>
      </c>
      <c r="H759" s="36" t="str">
        <f>IFERROR(VLOOKUP(Table2[[#This Row], [Ticket]],Okey!A:B,2,0),"")</f>
        <v/>
      </c>
      <c r="K759" s="36" t="s">
        <v>6456</v>
      </c>
      <c r="M759" s="36" t="s">
        <v>8016</v>
      </c>
    </row>
    <row r="760" spans="1:13" hidden="1">
      <c r="A760" s="42">
        <f t="shared" si="12"/>
        <v>759</v>
      </c>
      <c r="B760" s="36" t="s">
        <v>6</v>
      </c>
      <c r="C760" s="36" t="s">
        <v>8718</v>
      </c>
      <c r="D760" s="9" t="s">
        <v>2474</v>
      </c>
      <c r="F760" s="9" t="s">
        <v>8047</v>
      </c>
      <c r="G760" s="36" t="s">
        <v>13</v>
      </c>
      <c r="H760" s="36" t="str">
        <f>IFERROR(VLOOKUP(Table2[[#This Row], [Ticket]],Okey!A:B,2,0),"")</f>
        <v/>
      </c>
      <c r="K760" s="36" t="s">
        <v>6456</v>
      </c>
      <c r="M760" s="36" t="s">
        <v>8016</v>
      </c>
    </row>
    <row r="761" spans="1:13" hidden="1">
      <c r="A761" s="42">
        <f t="shared" si="12"/>
        <v>760</v>
      </c>
      <c r="B761" s="36" t="s">
        <v>6</v>
      </c>
      <c r="C761" s="36" t="s">
        <v>8718</v>
      </c>
      <c r="D761" s="9" t="s">
        <v>2484</v>
      </c>
      <c r="F761" s="9" t="s">
        <v>8047</v>
      </c>
      <c r="G761" s="36" t="s">
        <v>13</v>
      </c>
      <c r="H761" s="36" t="str">
        <f>IFERROR(VLOOKUP(Table2[[#This Row], [Ticket]],Okey!A:B,2,0),"")</f>
        <v/>
      </c>
      <c r="K761" s="36" t="s">
        <v>6456</v>
      </c>
      <c r="M761" s="36" t="s">
        <v>8016</v>
      </c>
    </row>
    <row r="762" spans="1:13" hidden="1">
      <c r="A762" s="42">
        <f t="shared" si="12"/>
        <v>761</v>
      </c>
      <c r="B762" s="36" t="s">
        <v>6</v>
      </c>
      <c r="C762" s="36" t="s">
        <v>8718</v>
      </c>
      <c r="D762" s="9" t="s">
        <v>2168</v>
      </c>
      <c r="F762" s="36" t="s">
        <v>275</v>
      </c>
      <c r="G762" s="9" t="s">
        <v>8552</v>
      </c>
      <c r="H762" s="36" t="str">
        <f>IFERROR(VLOOKUP(Table2[[#This Row], [Ticket]],Okey!A:B,2,0),"")</f>
        <v/>
      </c>
      <c r="I762" s="9" t="s">
        <v>7975</v>
      </c>
      <c r="M762" s="36" t="s">
        <v>8016</v>
      </c>
    </row>
    <row r="763" spans="1:13" hidden="1">
      <c r="A763" s="42">
        <f t="shared" si="12"/>
        <v>762</v>
      </c>
      <c r="B763" s="36" t="s">
        <v>6</v>
      </c>
      <c r="C763" s="36" t="s">
        <v>8718</v>
      </c>
      <c r="D763" s="9" t="s">
        <v>2018</v>
      </c>
      <c r="F763" s="36" t="s">
        <v>275</v>
      </c>
      <c r="G763" s="36" t="s">
        <v>8552</v>
      </c>
      <c r="H763" s="36" t="str">
        <f>IFERROR(VLOOKUP(Table2[[#This Row], [Ticket]],Okey!A:B,2,0),"")</f>
        <v/>
      </c>
      <c r="I763" s="36" t="s">
        <v>7975</v>
      </c>
      <c r="M763" s="36" t="s">
        <v>8016</v>
      </c>
    </row>
    <row r="764" spans="1:13" hidden="1">
      <c r="A764" s="42">
        <f t="shared" si="12"/>
        <v>763</v>
      </c>
      <c r="B764" s="36" t="s">
        <v>6</v>
      </c>
      <c r="C764" s="36" t="s">
        <v>8718</v>
      </c>
      <c r="D764" s="9" t="s">
        <v>2766</v>
      </c>
      <c r="F764" s="36" t="s">
        <v>275</v>
      </c>
      <c r="G764" s="36" t="s">
        <v>8552</v>
      </c>
      <c r="H764" s="36" t="str">
        <f>IFERROR(VLOOKUP(Table2[[#This Row], [Ticket]],Okey!A:B,2,0),"")</f>
        <v/>
      </c>
      <c r="I764" s="36" t="s">
        <v>7975</v>
      </c>
      <c r="M764" s="36" t="s">
        <v>8016</v>
      </c>
    </row>
    <row r="765" spans="1:13" hidden="1">
      <c r="A765" s="42">
        <f t="shared" si="12"/>
        <v>764</v>
      </c>
      <c r="B765" s="36" t="s">
        <v>6</v>
      </c>
      <c r="C765" s="36" t="s">
        <v>8718</v>
      </c>
      <c r="D765" s="9" t="s">
        <v>2768</v>
      </c>
      <c r="F765" s="36" t="s">
        <v>275</v>
      </c>
      <c r="G765" s="36" t="s">
        <v>8552</v>
      </c>
      <c r="H765" s="36" t="str">
        <f>IFERROR(VLOOKUP(Table2[[#This Row], [Ticket]],Okey!A:B,2,0),"")</f>
        <v/>
      </c>
      <c r="I765" s="36" t="s">
        <v>7975</v>
      </c>
      <c r="M765" s="36" t="s">
        <v>8016</v>
      </c>
    </row>
    <row r="766" spans="1:13" hidden="1">
      <c r="A766" s="42">
        <f t="shared" si="12"/>
        <v>765</v>
      </c>
      <c r="B766" s="36" t="s">
        <v>6</v>
      </c>
      <c r="C766" s="36" t="s">
        <v>8718</v>
      </c>
      <c r="D766" s="9" t="s">
        <v>2770</v>
      </c>
      <c r="F766" s="36" t="s">
        <v>275</v>
      </c>
      <c r="G766" s="36" t="s">
        <v>8552</v>
      </c>
      <c r="H766" s="36" t="str">
        <f>IFERROR(VLOOKUP(Table2[[#This Row], [Ticket]],Okey!A:B,2,0),"")</f>
        <v/>
      </c>
      <c r="I766" s="36" t="s">
        <v>7975</v>
      </c>
      <c r="M766" s="36" t="s">
        <v>8016</v>
      </c>
    </row>
    <row r="767" spans="1:13" hidden="1">
      <c r="A767" s="42">
        <f t="shared" si="12"/>
        <v>766</v>
      </c>
      <c r="B767" s="36" t="s">
        <v>6</v>
      </c>
      <c r="C767" s="36" t="s">
        <v>8718</v>
      </c>
      <c r="D767" s="9" t="s">
        <v>2772</v>
      </c>
      <c r="F767" s="36" t="s">
        <v>275</v>
      </c>
      <c r="G767" s="36" t="s">
        <v>8552</v>
      </c>
      <c r="H767" s="36" t="str">
        <f>IFERROR(VLOOKUP(Table2[[#This Row], [Ticket]],Okey!A:B,2,0),"")</f>
        <v/>
      </c>
      <c r="I767" s="36" t="s">
        <v>7975</v>
      </c>
      <c r="M767" s="36" t="s">
        <v>8016</v>
      </c>
    </row>
    <row r="768" spans="1:13" hidden="1">
      <c r="A768" s="42">
        <f t="shared" si="12"/>
        <v>767</v>
      </c>
      <c r="B768" s="36" t="s">
        <v>6</v>
      </c>
      <c r="C768" s="36" t="s">
        <v>8718</v>
      </c>
      <c r="D768" s="9" t="s">
        <v>2774</v>
      </c>
      <c r="F768" s="36" t="s">
        <v>275</v>
      </c>
      <c r="G768" s="36" t="s">
        <v>8552</v>
      </c>
      <c r="H768" s="36" t="str">
        <f>IFERROR(VLOOKUP(Table2[[#This Row], [Ticket]],Okey!A:B,2,0),"")</f>
        <v/>
      </c>
      <c r="I768" s="36" t="s">
        <v>7975</v>
      </c>
      <c r="M768" s="36" t="s">
        <v>8016</v>
      </c>
    </row>
    <row r="769" spans="1:13" hidden="1">
      <c r="A769" s="42">
        <f t="shared" si="12"/>
        <v>768</v>
      </c>
      <c r="B769" s="36" t="s">
        <v>6</v>
      </c>
      <c r="C769" s="36" t="s">
        <v>8718</v>
      </c>
      <c r="D769" s="9" t="s">
        <v>2776</v>
      </c>
      <c r="F769" s="36" t="s">
        <v>275</v>
      </c>
      <c r="G769" s="36" t="s">
        <v>8552</v>
      </c>
      <c r="H769" s="36" t="str">
        <f>IFERROR(VLOOKUP(Table2[[#This Row], [Ticket]],Okey!A:B,2,0),"")</f>
        <v/>
      </c>
      <c r="I769" s="36" t="s">
        <v>7975</v>
      </c>
      <c r="M769" s="36" t="s">
        <v>8016</v>
      </c>
    </row>
    <row r="770" spans="1:13" hidden="1">
      <c r="A770" s="42">
        <f t="shared" si="12"/>
        <v>769</v>
      </c>
      <c r="B770" s="36" t="s">
        <v>6</v>
      </c>
      <c r="C770" s="36" t="s">
        <v>8718</v>
      </c>
      <c r="D770" s="9" t="s">
        <v>2778</v>
      </c>
      <c r="F770" s="36" t="s">
        <v>275</v>
      </c>
      <c r="G770" s="36" t="s">
        <v>8552</v>
      </c>
      <c r="H770" s="36" t="str">
        <f>IFERROR(VLOOKUP(Table2[[#This Row], [Ticket]],Okey!A:B,2,0),"")</f>
        <v/>
      </c>
      <c r="I770" s="36" t="s">
        <v>7975</v>
      </c>
      <c r="M770" s="36" t="s">
        <v>8016</v>
      </c>
    </row>
    <row r="771" spans="1:13" hidden="1">
      <c r="A771" s="42">
        <f t="shared" si="12"/>
        <v>770</v>
      </c>
      <c r="B771" s="36" t="s">
        <v>6</v>
      </c>
      <c r="C771" s="36" t="s">
        <v>8718</v>
      </c>
      <c r="D771" s="9" t="s">
        <v>2780</v>
      </c>
      <c r="F771" s="36" t="s">
        <v>275</v>
      </c>
      <c r="G771" s="36" t="s">
        <v>8552</v>
      </c>
      <c r="H771" s="36" t="str">
        <f>IFERROR(VLOOKUP(Table2[[#This Row], [Ticket]],Okey!A:B,2,0),"")</f>
        <v/>
      </c>
      <c r="I771" s="36" t="s">
        <v>7975</v>
      </c>
      <c r="M771" s="36" t="s">
        <v>8016</v>
      </c>
    </row>
    <row r="772" spans="1:13" hidden="1">
      <c r="A772" s="42">
        <f t="shared" si="12"/>
        <v>771</v>
      </c>
      <c r="B772" s="36" t="s">
        <v>6</v>
      </c>
      <c r="C772" s="36" t="s">
        <v>8718</v>
      </c>
      <c r="D772" s="9" t="s">
        <v>2782</v>
      </c>
      <c r="F772" s="36" t="s">
        <v>275</v>
      </c>
      <c r="G772" s="36" t="s">
        <v>8552</v>
      </c>
      <c r="H772" s="36" t="str">
        <f>IFERROR(VLOOKUP(Table2[[#This Row], [Ticket]],Okey!A:B,2,0),"")</f>
        <v/>
      </c>
      <c r="I772" s="36" t="s">
        <v>7975</v>
      </c>
      <c r="M772" s="36" t="s">
        <v>8016</v>
      </c>
    </row>
    <row r="773" spans="1:13" hidden="1">
      <c r="A773" s="42">
        <f t="shared" si="12"/>
        <v>772</v>
      </c>
      <c r="B773" s="36" t="s">
        <v>6</v>
      </c>
      <c r="C773" s="36" t="s">
        <v>8718</v>
      </c>
      <c r="D773" s="9" t="s">
        <v>2784</v>
      </c>
      <c r="F773" s="36" t="s">
        <v>275</v>
      </c>
      <c r="G773" s="36" t="s">
        <v>8552</v>
      </c>
      <c r="H773" s="36" t="str">
        <f>IFERROR(VLOOKUP(Table2[[#This Row], [Ticket]],Okey!A:B,2,0),"")</f>
        <v/>
      </c>
      <c r="I773" s="36" t="s">
        <v>7975</v>
      </c>
      <c r="M773" s="36" t="s">
        <v>8016</v>
      </c>
    </row>
    <row r="774" spans="1:13" hidden="1">
      <c r="A774" s="42">
        <f t="shared" si="12"/>
        <v>773</v>
      </c>
      <c r="B774" s="36" t="s">
        <v>6</v>
      </c>
      <c r="C774" s="36" t="s">
        <v>8718</v>
      </c>
      <c r="D774" s="9" t="s">
        <v>4335</v>
      </c>
      <c r="F774" s="36" t="s">
        <v>275</v>
      </c>
      <c r="G774" s="36" t="s">
        <v>8552</v>
      </c>
      <c r="H774" s="36" t="str">
        <f>IFERROR(VLOOKUP(Table2[[#This Row], [Ticket]],Okey!A:B,2,0),"")</f>
        <v/>
      </c>
      <c r="I774" s="36" t="s">
        <v>7975</v>
      </c>
      <c r="M774" s="36" t="s">
        <v>8016</v>
      </c>
    </row>
    <row r="775" spans="1:13" hidden="1">
      <c r="A775" s="42">
        <f t="shared" si="12"/>
        <v>774</v>
      </c>
      <c r="B775" s="36" t="s">
        <v>6</v>
      </c>
      <c r="C775" s="36" t="s">
        <v>8718</v>
      </c>
      <c r="D775" s="9" t="s">
        <v>2998</v>
      </c>
      <c r="F775" s="36" t="s">
        <v>275</v>
      </c>
      <c r="G775" s="36" t="s">
        <v>8552</v>
      </c>
      <c r="H775" s="36" t="str">
        <f>IFERROR(VLOOKUP(Table2[[#This Row], [Ticket]],Okey!A:B,2,0),"")</f>
        <v/>
      </c>
      <c r="I775" s="36" t="s">
        <v>7975</v>
      </c>
      <c r="M775" s="36" t="s">
        <v>8016</v>
      </c>
    </row>
    <row r="776" spans="1:13" hidden="1">
      <c r="A776" s="42">
        <f t="shared" si="12"/>
        <v>775</v>
      </c>
      <c r="B776" s="36" t="s">
        <v>6</v>
      </c>
      <c r="C776" s="36" t="s">
        <v>8718</v>
      </c>
      <c r="D776" s="9" t="s">
        <v>3000</v>
      </c>
      <c r="F776" s="36" t="s">
        <v>275</v>
      </c>
      <c r="G776" s="36" t="s">
        <v>8552</v>
      </c>
      <c r="H776" s="36" t="str">
        <f>IFERROR(VLOOKUP(Table2[[#This Row], [Ticket]],Okey!A:B,2,0),"")</f>
        <v/>
      </c>
      <c r="I776" s="36" t="s">
        <v>7975</v>
      </c>
      <c r="M776" s="36" t="s">
        <v>8016</v>
      </c>
    </row>
    <row r="777" spans="1:13" hidden="1">
      <c r="A777" s="42">
        <f t="shared" si="12"/>
        <v>776</v>
      </c>
      <c r="B777" s="36" t="s">
        <v>6</v>
      </c>
      <c r="C777" s="36" t="s">
        <v>8718</v>
      </c>
      <c r="D777" s="9" t="s">
        <v>3002</v>
      </c>
      <c r="F777" s="36" t="s">
        <v>275</v>
      </c>
      <c r="G777" s="36" t="s">
        <v>8552</v>
      </c>
      <c r="H777" s="36" t="str">
        <f>IFERROR(VLOOKUP(Table2[[#This Row], [Ticket]],Okey!A:B,2,0),"")</f>
        <v/>
      </c>
      <c r="I777" s="36" t="s">
        <v>7975</v>
      </c>
      <c r="M777" s="36" t="s">
        <v>8016</v>
      </c>
    </row>
    <row r="778" spans="1:13" hidden="1">
      <c r="A778" s="42">
        <f t="shared" si="12"/>
        <v>777</v>
      </c>
      <c r="B778" s="36" t="s">
        <v>6</v>
      </c>
      <c r="C778" s="36" t="s">
        <v>8718</v>
      </c>
      <c r="D778" s="9" t="s">
        <v>3004</v>
      </c>
      <c r="F778" s="36" t="s">
        <v>275</v>
      </c>
      <c r="G778" s="36" t="s">
        <v>8552</v>
      </c>
      <c r="H778" s="36" t="str">
        <f>IFERROR(VLOOKUP(Table2[[#This Row], [Ticket]],Okey!A:B,2,0),"")</f>
        <v/>
      </c>
      <c r="I778" s="36" t="s">
        <v>7975</v>
      </c>
      <c r="M778" s="36" t="s">
        <v>8016</v>
      </c>
    </row>
    <row r="779" spans="1:13" hidden="1">
      <c r="A779" s="42">
        <f t="shared" si="12"/>
        <v>778</v>
      </c>
      <c r="B779" s="36" t="s">
        <v>6</v>
      </c>
      <c r="C779" s="36" t="s">
        <v>8718</v>
      </c>
      <c r="D779" s="9" t="s">
        <v>3006</v>
      </c>
      <c r="F779" s="36" t="s">
        <v>275</v>
      </c>
      <c r="G779" s="36" t="s">
        <v>8552</v>
      </c>
      <c r="H779" s="36" t="str">
        <f>IFERROR(VLOOKUP(Table2[[#This Row], [Ticket]],Okey!A:B,2,0),"")</f>
        <v/>
      </c>
      <c r="I779" s="36" t="s">
        <v>7975</v>
      </c>
      <c r="M779" s="36" t="s">
        <v>8016</v>
      </c>
    </row>
    <row r="780" spans="1:13" hidden="1">
      <c r="A780" s="42">
        <f t="shared" si="12"/>
        <v>779</v>
      </c>
      <c r="B780" s="36" t="s">
        <v>6</v>
      </c>
      <c r="C780" s="36" t="s">
        <v>8718</v>
      </c>
      <c r="D780" s="9" t="s">
        <v>3008</v>
      </c>
      <c r="F780" s="36" t="s">
        <v>275</v>
      </c>
      <c r="G780" s="36" t="s">
        <v>8552</v>
      </c>
      <c r="H780" s="36" t="str">
        <f>IFERROR(VLOOKUP(Table2[[#This Row], [Ticket]],Okey!A:B,2,0),"")</f>
        <v/>
      </c>
      <c r="I780" s="36" t="s">
        <v>7975</v>
      </c>
      <c r="M780" s="36" t="s">
        <v>8016</v>
      </c>
    </row>
    <row r="781" spans="1:13" hidden="1">
      <c r="A781" s="42">
        <f t="shared" si="12"/>
        <v>780</v>
      </c>
      <c r="B781" s="36" t="s">
        <v>6</v>
      </c>
      <c r="C781" s="36" t="s">
        <v>8718</v>
      </c>
      <c r="D781" s="9" t="s">
        <v>3010</v>
      </c>
      <c r="F781" s="36" t="s">
        <v>275</v>
      </c>
      <c r="G781" s="36" t="s">
        <v>8552</v>
      </c>
      <c r="H781" s="36" t="str">
        <f>IFERROR(VLOOKUP(Table2[[#This Row], [Ticket]],Okey!A:B,2,0),"")</f>
        <v/>
      </c>
      <c r="I781" s="36" t="s">
        <v>7975</v>
      </c>
      <c r="M781" s="36" t="s">
        <v>8016</v>
      </c>
    </row>
    <row r="782" spans="1:13" hidden="1">
      <c r="A782" s="42">
        <f t="shared" si="12"/>
        <v>781</v>
      </c>
      <c r="B782" s="36" t="s">
        <v>6</v>
      </c>
      <c r="C782" s="36" t="s">
        <v>8718</v>
      </c>
      <c r="D782" s="9" t="s">
        <v>3012</v>
      </c>
      <c r="F782" s="36" t="s">
        <v>275</v>
      </c>
      <c r="G782" s="36" t="s">
        <v>8552</v>
      </c>
      <c r="H782" s="36" t="str">
        <f>IFERROR(VLOOKUP(Table2[[#This Row], [Ticket]],Okey!A:B,2,0),"")</f>
        <v/>
      </c>
      <c r="I782" s="36" t="s">
        <v>7975</v>
      </c>
      <c r="M782" s="36" t="s">
        <v>8016</v>
      </c>
    </row>
    <row r="783" spans="1:13" hidden="1">
      <c r="A783" s="42">
        <f t="shared" si="12"/>
        <v>782</v>
      </c>
      <c r="B783" s="36" t="s">
        <v>6</v>
      </c>
      <c r="C783" s="36" t="s">
        <v>8718</v>
      </c>
      <c r="D783" s="9" t="s">
        <v>3014</v>
      </c>
      <c r="F783" s="36" t="s">
        <v>275</v>
      </c>
      <c r="G783" s="36" t="s">
        <v>8552</v>
      </c>
      <c r="H783" s="36" t="str">
        <f>IFERROR(VLOOKUP(Table2[[#This Row], [Ticket]],Okey!A:B,2,0),"")</f>
        <v/>
      </c>
      <c r="I783" s="36" t="s">
        <v>7975</v>
      </c>
      <c r="M783" s="36" t="s">
        <v>8016</v>
      </c>
    </row>
    <row r="784" spans="1:13" hidden="1">
      <c r="A784" s="42">
        <f t="shared" si="12"/>
        <v>783</v>
      </c>
      <c r="B784" s="36" t="s">
        <v>6</v>
      </c>
      <c r="C784" s="36" t="s">
        <v>8718</v>
      </c>
      <c r="D784" s="9" t="s">
        <v>2168</v>
      </c>
      <c r="F784" s="36" t="s">
        <v>275</v>
      </c>
      <c r="G784" s="36" t="s">
        <v>8552</v>
      </c>
      <c r="H784" s="36" t="str">
        <f>IFERROR(VLOOKUP(Table2[[#This Row], [Ticket]],Okey!A:B,2,0),"")</f>
        <v/>
      </c>
      <c r="I784" s="36" t="s">
        <v>7975</v>
      </c>
      <c r="M784" s="36" t="s">
        <v>8016</v>
      </c>
    </row>
    <row r="785" spans="1:13" hidden="1">
      <c r="A785" s="42">
        <f t="shared" si="12"/>
        <v>784</v>
      </c>
      <c r="B785" s="36" t="s">
        <v>6</v>
      </c>
      <c r="C785" s="36" t="s">
        <v>8718</v>
      </c>
      <c r="D785" s="9" t="s">
        <v>4228</v>
      </c>
      <c r="F785" s="36" t="s">
        <v>275</v>
      </c>
      <c r="G785" s="36" t="s">
        <v>8552</v>
      </c>
      <c r="H785" s="36" t="str">
        <f>IFERROR(VLOOKUP(Table2[[#This Row], [Ticket]],Okey!A:B,2,0),"")</f>
        <v/>
      </c>
      <c r="I785" s="36" t="s">
        <v>7975</v>
      </c>
      <c r="M785" s="36" t="s">
        <v>8016</v>
      </c>
    </row>
    <row r="786" spans="1:13" hidden="1">
      <c r="A786" s="42">
        <f t="shared" si="12"/>
        <v>785</v>
      </c>
      <c r="B786" s="36" t="s">
        <v>6</v>
      </c>
      <c r="C786" s="36" t="s">
        <v>8718</v>
      </c>
      <c r="D786" s="9" t="s">
        <v>2719</v>
      </c>
      <c r="F786" s="36" t="s">
        <v>275</v>
      </c>
      <c r="G786" s="36" t="s">
        <v>8552</v>
      </c>
      <c r="H786" s="36" t="str">
        <f>IFERROR(VLOOKUP(Table2[[#This Row], [Ticket]],Okey!A:B,2,0),"")</f>
        <v/>
      </c>
      <c r="I786" s="36" t="s">
        <v>7975</v>
      </c>
      <c r="M786" s="36" t="s">
        <v>8016</v>
      </c>
    </row>
    <row r="787" spans="1:13" hidden="1">
      <c r="A787" s="42">
        <f t="shared" si="12"/>
        <v>786</v>
      </c>
      <c r="B787" s="36" t="s">
        <v>6</v>
      </c>
      <c r="C787" s="36" t="s">
        <v>8718</v>
      </c>
      <c r="D787" s="9" t="s">
        <v>4656</v>
      </c>
      <c r="F787" s="36" t="s">
        <v>275</v>
      </c>
      <c r="G787" s="36" t="s">
        <v>8552</v>
      </c>
      <c r="H787" s="36" t="str">
        <f>IFERROR(VLOOKUP(Table2[[#This Row], [Ticket]],Okey!A:B,2,0),"")</f>
        <v/>
      </c>
      <c r="I787" s="36" t="s">
        <v>7975</v>
      </c>
      <c r="M787" s="36" t="s">
        <v>8016</v>
      </c>
    </row>
    <row r="788" spans="1:13" hidden="1">
      <c r="A788" s="42">
        <f t="shared" ref="A788:A839" si="13">1+A787</f>
        <v>787</v>
      </c>
      <c r="B788" s="36" t="s">
        <v>6</v>
      </c>
      <c r="C788" s="36" t="s">
        <v>8718</v>
      </c>
      <c r="D788" s="9" t="s">
        <v>2690</v>
      </c>
      <c r="F788" s="36" t="s">
        <v>275</v>
      </c>
      <c r="G788" s="36" t="s">
        <v>8552</v>
      </c>
      <c r="H788" s="36" t="str">
        <f>IFERROR(VLOOKUP(Table2[[#This Row], [Ticket]],Okey!A:B,2,0),"")</f>
        <v/>
      </c>
      <c r="I788" s="36" t="s">
        <v>7975</v>
      </c>
      <c r="M788" s="36" t="s">
        <v>8016</v>
      </c>
    </row>
    <row r="789" spans="1:13" hidden="1">
      <c r="A789" s="42">
        <f t="shared" si="13"/>
        <v>788</v>
      </c>
      <c r="B789" s="36" t="s">
        <v>6</v>
      </c>
      <c r="C789" s="36" t="s">
        <v>8718</v>
      </c>
      <c r="D789" s="9" t="s">
        <v>4725</v>
      </c>
      <c r="F789" s="36" t="s">
        <v>275</v>
      </c>
      <c r="G789" s="36" t="s">
        <v>8552</v>
      </c>
      <c r="H789" s="36" t="str">
        <f>IFERROR(VLOOKUP(Table2[[#This Row], [Ticket]],Okey!A:B,2,0),"")</f>
        <v/>
      </c>
      <c r="I789" s="36" t="s">
        <v>7975</v>
      </c>
      <c r="M789" s="36" t="s">
        <v>8016</v>
      </c>
    </row>
    <row r="790" spans="1:13" hidden="1">
      <c r="A790" s="42">
        <f t="shared" si="13"/>
        <v>789</v>
      </c>
      <c r="B790" s="36" t="s">
        <v>6</v>
      </c>
      <c r="C790" s="36" t="s">
        <v>8718</v>
      </c>
      <c r="D790" s="9" t="s">
        <v>4727</v>
      </c>
      <c r="F790" s="36" t="s">
        <v>275</v>
      </c>
      <c r="G790" s="36" t="s">
        <v>8552</v>
      </c>
      <c r="H790" s="36" t="str">
        <f>IFERROR(VLOOKUP(Table2[[#This Row], [Ticket]],Okey!A:B,2,0),"")</f>
        <v/>
      </c>
      <c r="I790" s="36" t="s">
        <v>7975</v>
      </c>
      <c r="M790" s="36" t="s">
        <v>8016</v>
      </c>
    </row>
    <row r="791" spans="1:13" hidden="1">
      <c r="A791" s="42">
        <f t="shared" si="13"/>
        <v>790</v>
      </c>
      <c r="B791" s="36" t="s">
        <v>6</v>
      </c>
      <c r="C791" s="36" t="s">
        <v>8718</v>
      </c>
      <c r="D791" s="9" t="s">
        <v>4729</v>
      </c>
      <c r="F791" s="36" t="s">
        <v>275</v>
      </c>
      <c r="G791" s="36" t="s">
        <v>8552</v>
      </c>
      <c r="H791" s="36" t="str">
        <f>IFERROR(VLOOKUP(Table2[[#This Row], [Ticket]],Okey!A:B,2,0),"")</f>
        <v/>
      </c>
      <c r="I791" s="36" t="s">
        <v>7975</v>
      </c>
      <c r="M791" s="36" t="s">
        <v>8016</v>
      </c>
    </row>
    <row r="792" spans="1:13" hidden="1">
      <c r="A792" s="42">
        <f t="shared" si="13"/>
        <v>791</v>
      </c>
      <c r="B792" s="36" t="s">
        <v>6</v>
      </c>
      <c r="C792" s="36" t="s">
        <v>8718</v>
      </c>
      <c r="D792" s="9" t="s">
        <v>4926</v>
      </c>
      <c r="F792" s="36" t="s">
        <v>275</v>
      </c>
      <c r="G792" s="36" t="s">
        <v>8552</v>
      </c>
      <c r="H792" s="36" t="str">
        <f>IFERROR(VLOOKUP(Table2[[#This Row], [Ticket]],Okey!A:B,2,0),"")</f>
        <v/>
      </c>
      <c r="I792" s="36" t="s">
        <v>7975</v>
      </c>
      <c r="M792" s="36" t="s">
        <v>8016</v>
      </c>
    </row>
    <row r="793" spans="1:13" hidden="1">
      <c r="A793" s="42">
        <f t="shared" si="13"/>
        <v>792</v>
      </c>
      <c r="B793" s="36" t="s">
        <v>6</v>
      </c>
      <c r="C793" s="36" t="s">
        <v>8718</v>
      </c>
      <c r="D793" s="9" t="s">
        <v>4884</v>
      </c>
      <c r="F793" s="36" t="s">
        <v>275</v>
      </c>
      <c r="G793" s="36" t="s">
        <v>8552</v>
      </c>
      <c r="H793" s="36" t="str">
        <f>IFERROR(VLOOKUP(Table2[[#This Row], [Ticket]],Okey!A:B,2,0),"")</f>
        <v/>
      </c>
      <c r="I793" s="36" t="s">
        <v>7975</v>
      </c>
      <c r="M793" s="36" t="s">
        <v>8016</v>
      </c>
    </row>
    <row r="794" spans="1:13" hidden="1">
      <c r="A794" s="42">
        <f t="shared" si="13"/>
        <v>793</v>
      </c>
      <c r="B794" s="36" t="s">
        <v>6</v>
      </c>
      <c r="C794" s="36" t="s">
        <v>8718</v>
      </c>
      <c r="D794" s="9" t="s">
        <v>8867</v>
      </c>
      <c r="F794" s="36" t="s">
        <v>275</v>
      </c>
      <c r="G794" s="36" t="s">
        <v>8552</v>
      </c>
      <c r="H794" s="36" t="str">
        <f>IFERROR(VLOOKUP(Table2[[#This Row], [Ticket]],Okey!A:B,2,0),"")</f>
        <v/>
      </c>
      <c r="I794" s="36" t="s">
        <v>7975</v>
      </c>
      <c r="M794" s="36" t="s">
        <v>8016</v>
      </c>
    </row>
    <row r="795" spans="1:13" hidden="1">
      <c r="A795" s="42">
        <f t="shared" si="13"/>
        <v>794</v>
      </c>
      <c r="B795" s="36" t="s">
        <v>6</v>
      </c>
      <c r="C795" s="36" t="s">
        <v>8718</v>
      </c>
      <c r="D795" s="9" t="s">
        <v>4865</v>
      </c>
      <c r="F795" s="36" t="s">
        <v>275</v>
      </c>
      <c r="G795" s="36" t="s">
        <v>8552</v>
      </c>
      <c r="H795" s="36" t="str">
        <f>IFERROR(VLOOKUP(Table2[[#This Row], [Ticket]],Okey!A:B,2,0),"")</f>
        <v/>
      </c>
      <c r="I795" s="36" t="s">
        <v>7975</v>
      </c>
      <c r="M795" s="36" t="s">
        <v>8016</v>
      </c>
    </row>
    <row r="796" spans="1:13" hidden="1">
      <c r="A796" s="42">
        <f t="shared" si="13"/>
        <v>795</v>
      </c>
      <c r="B796" s="36" t="s">
        <v>6</v>
      </c>
      <c r="C796" s="36" t="s">
        <v>8718</v>
      </c>
      <c r="D796" s="9" t="s">
        <v>4887</v>
      </c>
      <c r="F796" s="36" t="s">
        <v>275</v>
      </c>
      <c r="G796" s="36" t="s">
        <v>8552</v>
      </c>
      <c r="H796" s="36" t="str">
        <f>IFERROR(VLOOKUP(Table2[[#This Row], [Ticket]],Okey!A:B,2,0),"")</f>
        <v/>
      </c>
      <c r="I796" s="36" t="s">
        <v>7975</v>
      </c>
      <c r="M796" s="36" t="s">
        <v>8016</v>
      </c>
    </row>
    <row r="797" spans="1:13" hidden="1">
      <c r="A797" s="42">
        <f t="shared" si="13"/>
        <v>796</v>
      </c>
      <c r="B797" s="36" t="s">
        <v>6</v>
      </c>
      <c r="C797" s="36" t="s">
        <v>8718</v>
      </c>
      <c r="D797" s="9" t="s">
        <v>4889</v>
      </c>
      <c r="F797" s="36" t="s">
        <v>275</v>
      </c>
      <c r="G797" s="36" t="s">
        <v>8552</v>
      </c>
      <c r="H797" s="36" t="str">
        <f>IFERROR(VLOOKUP(Table2[[#This Row], [Ticket]],Okey!A:B,2,0),"")</f>
        <v/>
      </c>
      <c r="I797" s="36" t="s">
        <v>7975</v>
      </c>
      <c r="M797" s="36" t="s">
        <v>8016</v>
      </c>
    </row>
    <row r="798" spans="1:13" hidden="1">
      <c r="A798" s="42">
        <f t="shared" si="13"/>
        <v>797</v>
      </c>
      <c r="B798" s="36" t="s">
        <v>6</v>
      </c>
      <c r="C798" s="36" t="s">
        <v>8718</v>
      </c>
      <c r="D798" s="9" t="s">
        <v>4891</v>
      </c>
      <c r="F798" s="36" t="s">
        <v>275</v>
      </c>
      <c r="G798" s="36" t="s">
        <v>8552</v>
      </c>
      <c r="H798" s="36" t="str">
        <f>IFERROR(VLOOKUP(Table2[[#This Row], [Ticket]],Okey!A:B,2,0),"")</f>
        <v/>
      </c>
      <c r="I798" s="36" t="s">
        <v>7975</v>
      </c>
      <c r="M798" s="36" t="s">
        <v>8016</v>
      </c>
    </row>
    <row r="799" spans="1:13" hidden="1">
      <c r="A799" s="42">
        <f t="shared" si="13"/>
        <v>798</v>
      </c>
      <c r="B799" s="36" t="s">
        <v>6</v>
      </c>
      <c r="C799" s="36" t="s">
        <v>8718</v>
      </c>
      <c r="D799" s="9" t="s">
        <v>4893</v>
      </c>
      <c r="F799" s="36" t="s">
        <v>275</v>
      </c>
      <c r="G799" s="36" t="s">
        <v>8552</v>
      </c>
      <c r="H799" s="36" t="str">
        <f>IFERROR(VLOOKUP(Table2[[#This Row], [Ticket]],Okey!A:B,2,0),"")</f>
        <v/>
      </c>
      <c r="I799" s="36" t="s">
        <v>7975</v>
      </c>
      <c r="M799" s="36" t="s">
        <v>8016</v>
      </c>
    </row>
    <row r="800" spans="1:13" hidden="1">
      <c r="A800" s="42">
        <f t="shared" si="13"/>
        <v>799</v>
      </c>
      <c r="B800" s="36" t="s">
        <v>6</v>
      </c>
      <c r="C800" s="36" t="s">
        <v>8718</v>
      </c>
      <c r="D800" s="9" t="s">
        <v>4895</v>
      </c>
      <c r="F800" s="36" t="s">
        <v>275</v>
      </c>
      <c r="G800" s="36" t="s">
        <v>8552</v>
      </c>
      <c r="H800" s="36" t="str">
        <f>IFERROR(VLOOKUP(Table2[[#This Row], [Ticket]],Okey!A:B,2,0),"")</f>
        <v/>
      </c>
      <c r="I800" s="36" t="s">
        <v>7975</v>
      </c>
      <c r="M800" s="36" t="s">
        <v>8016</v>
      </c>
    </row>
    <row r="801" spans="1:13" hidden="1">
      <c r="A801" s="42">
        <f t="shared" si="13"/>
        <v>800</v>
      </c>
      <c r="B801" s="36" t="s">
        <v>6</v>
      </c>
      <c r="C801" s="36" t="s">
        <v>8718</v>
      </c>
      <c r="D801" s="9" t="s">
        <v>2443</v>
      </c>
      <c r="F801" s="36" t="s">
        <v>275</v>
      </c>
      <c r="G801" s="36" t="s">
        <v>8552</v>
      </c>
      <c r="H801" s="36" t="str">
        <f>IFERROR(VLOOKUP(Table2[[#This Row], [Ticket]],Okey!A:B,2,0),"")</f>
        <v/>
      </c>
      <c r="I801" s="36" t="s">
        <v>7975</v>
      </c>
      <c r="M801" s="36" t="s">
        <v>8016</v>
      </c>
    </row>
    <row r="802" spans="1:13" hidden="1">
      <c r="A802" s="42">
        <f t="shared" si="13"/>
        <v>801</v>
      </c>
      <c r="B802" s="36" t="s">
        <v>6</v>
      </c>
      <c r="C802" s="36" t="s">
        <v>9049</v>
      </c>
      <c r="D802" s="9" t="s">
        <v>9043</v>
      </c>
      <c r="E802" s="9" t="s">
        <v>9044</v>
      </c>
      <c r="F802" s="9" t="s">
        <v>7911</v>
      </c>
      <c r="G802" s="9" t="s">
        <v>14</v>
      </c>
      <c r="H802" s="36" t="str">
        <f>IFERROR(VLOOKUP(Table2[[#This Row], [Ticket]],Okey!A:B,2,0),"")</f>
        <v/>
      </c>
      <c r="I802" s="36" t="s">
        <v>7975</v>
      </c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9049</v>
      </c>
      <c r="D803" s="9" t="s">
        <v>9045</v>
      </c>
      <c r="E803" s="9" t="s">
        <v>9046</v>
      </c>
      <c r="F803" s="9" t="s">
        <v>7911</v>
      </c>
      <c r="G803" s="36" t="s">
        <v>14</v>
      </c>
      <c r="H803" s="36" t="str">
        <f>IFERROR(VLOOKUP(Table2[[#This Row], [Ticket]],Okey!A:B,2,0),"")</f>
        <v/>
      </c>
      <c r="I803" s="36" t="s">
        <v>7975</v>
      </c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9049</v>
      </c>
      <c r="D804" s="9" t="s">
        <v>9047</v>
      </c>
      <c r="E804" s="9" t="s">
        <v>9048</v>
      </c>
      <c r="F804" s="9" t="s">
        <v>7911</v>
      </c>
      <c r="G804" s="36" t="s">
        <v>14</v>
      </c>
      <c r="H804" s="36" t="str">
        <f>IFERROR(VLOOKUP(Table2[[#This Row], [Ticket]],Okey!A:B,2,0),"")</f>
        <v/>
      </c>
      <c r="I804" s="36" t="s">
        <v>7975</v>
      </c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9050</v>
      </c>
      <c r="D805" s="9" t="s">
        <v>8116</v>
      </c>
      <c r="F805" s="36" t="s">
        <v>275</v>
      </c>
      <c r="G805" s="36" t="s">
        <v>8552</v>
      </c>
      <c r="H805" s="36" t="str">
        <f>IFERROR(VLOOKUP(Table2[[#This Row], [Ticket]],Okey!A:B,2,0),"")</f>
        <v/>
      </c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9050</v>
      </c>
      <c r="D806" s="36" t="s">
        <v>9071</v>
      </c>
      <c r="E806" t="s">
        <v>9051</v>
      </c>
      <c r="F806" t="s">
        <v>9070</v>
      </c>
      <c r="G806" s="36" t="s">
        <v>14</v>
      </c>
      <c r="H806" s="36" t="str">
        <f>IFERROR(VLOOKUP(Table2[[#This Row], [Ticket]],Okey!A:B,2,0),"")</f>
        <v/>
      </c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9050</v>
      </c>
      <c r="D807" s="9" t="s">
        <v>9073</v>
      </c>
      <c r="E807" t="s">
        <v>9052</v>
      </c>
      <c r="F807" t="s">
        <v>9071</v>
      </c>
      <c r="G807" s="36" t="s">
        <v>14</v>
      </c>
      <c r="H807" s="36" t="str">
        <f>IFERROR(VLOOKUP(Table2[[#This Row], [Ticket]],Okey!A:B,2,0),"")</f>
        <v/>
      </c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9050</v>
      </c>
      <c r="D808" s="9" t="s">
        <v>9074</v>
      </c>
      <c r="E808" t="s">
        <v>9053</v>
      </c>
      <c r="F808" t="s">
        <v>9071</v>
      </c>
      <c r="G808" s="36" t="s">
        <v>14</v>
      </c>
      <c r="H808" s="36" t="str">
        <f>IFERROR(VLOOKUP(Table2[[#This Row], [Ticket]],Okey!A:B,2,0),"")</f>
        <v/>
      </c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9050</v>
      </c>
      <c r="D809" s="9" t="s">
        <v>9075</v>
      </c>
      <c r="E809" t="s">
        <v>9054</v>
      </c>
      <c r="F809" t="s">
        <v>9071</v>
      </c>
      <c r="G809" s="36" t="s">
        <v>14</v>
      </c>
      <c r="H809" s="36" t="str">
        <f>IFERROR(VLOOKUP(Table2[[#This Row], [Ticket]],Okey!A:B,2,0),"")</f>
        <v/>
      </c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9050</v>
      </c>
      <c r="D810" s="9" t="s">
        <v>9076</v>
      </c>
      <c r="E810" t="s">
        <v>9055</v>
      </c>
      <c r="F810" t="s">
        <v>9071</v>
      </c>
      <c r="G810" s="36" t="s">
        <v>14</v>
      </c>
      <c r="H810" s="36" t="str">
        <f>IFERROR(VLOOKUP(Table2[[#This Row], [Ticket]],Okey!A:B,2,0),"")</f>
        <v/>
      </c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9050</v>
      </c>
      <c r="D811" s="9" t="s">
        <v>9077</v>
      </c>
      <c r="E811" t="s">
        <v>9056</v>
      </c>
      <c r="F811" t="s">
        <v>9071</v>
      </c>
      <c r="G811" s="36" t="s">
        <v>14</v>
      </c>
      <c r="H811" s="36" t="str">
        <f>IFERROR(VLOOKUP(Table2[[#This Row], [Ticket]],Okey!A:B,2,0),"")</f>
        <v/>
      </c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9050</v>
      </c>
      <c r="D812" s="9" t="s">
        <v>9078</v>
      </c>
      <c r="E812" t="s">
        <v>9057</v>
      </c>
      <c r="F812" t="s">
        <v>9071</v>
      </c>
      <c r="G812" s="36" t="s">
        <v>14</v>
      </c>
      <c r="H812" s="36" t="str">
        <f>IFERROR(VLOOKUP(Table2[[#This Row], [Ticket]],Okey!A:B,2,0),"")</f>
        <v/>
      </c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9050</v>
      </c>
      <c r="D813" s="9" t="s">
        <v>9079</v>
      </c>
      <c r="E813" t="s">
        <v>9058</v>
      </c>
      <c r="F813" t="s">
        <v>9073</v>
      </c>
      <c r="G813" s="36" t="s">
        <v>14</v>
      </c>
      <c r="H813" s="36" t="str">
        <f>IFERROR(VLOOKUP(Table2[[#This Row], [Ticket]],Okey!A:B,2,0),"")</f>
        <v/>
      </c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9050</v>
      </c>
      <c r="D814" s="9" t="s">
        <v>9080</v>
      </c>
      <c r="E814" t="s">
        <v>9059</v>
      </c>
      <c r="F814" t="s">
        <v>9073</v>
      </c>
      <c r="G814" s="36" t="s">
        <v>14</v>
      </c>
      <c r="H814" s="36" t="str">
        <f>IFERROR(VLOOKUP(Table2[[#This Row], [Ticket]],Okey!A:B,2,0),"")</f>
        <v/>
      </c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9050</v>
      </c>
      <c r="D815" s="9" t="s">
        <v>9081</v>
      </c>
      <c r="E815" t="s">
        <v>9060</v>
      </c>
      <c r="F815" t="s">
        <v>9073</v>
      </c>
      <c r="G815" s="36" t="s">
        <v>14</v>
      </c>
      <c r="H815" s="36" t="str">
        <f>IFERROR(VLOOKUP(Table2[[#This Row], [Ticket]],Okey!A:B,2,0),"")</f>
        <v/>
      </c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9050</v>
      </c>
      <c r="D816" s="9" t="s">
        <v>9082</v>
      </c>
      <c r="E816" t="s">
        <v>9061</v>
      </c>
      <c r="F816" t="s">
        <v>9073</v>
      </c>
      <c r="G816" s="36" t="s">
        <v>14</v>
      </c>
      <c r="H816" s="36" t="str">
        <f>IFERROR(VLOOKUP(Table2[[#This Row], [Ticket]],Okey!A:B,2,0),"")</f>
        <v/>
      </c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9050</v>
      </c>
      <c r="D817" s="9" t="s">
        <v>9083</v>
      </c>
      <c r="E817" t="s">
        <v>9062</v>
      </c>
      <c r="F817" t="s">
        <v>9073</v>
      </c>
      <c r="G817" s="36" t="s">
        <v>14</v>
      </c>
      <c r="H817" s="36" t="str">
        <f>IFERROR(VLOOKUP(Table2[[#This Row], [Ticket]],Okey!A:B,2,0),"")</f>
        <v/>
      </c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9050</v>
      </c>
      <c r="D818" s="9" t="s">
        <v>9084</v>
      </c>
      <c r="E818" t="s">
        <v>9063</v>
      </c>
      <c r="F818" t="s">
        <v>9074</v>
      </c>
      <c r="G818" s="36" t="s">
        <v>14</v>
      </c>
      <c r="H818" s="36" t="str">
        <f>IFERROR(VLOOKUP(Table2[[#This Row], [Ticket]],Okey!A:B,2,0),"")</f>
        <v/>
      </c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9050</v>
      </c>
      <c r="D819" s="9" t="s">
        <v>9085</v>
      </c>
      <c r="E819" t="s">
        <v>9064</v>
      </c>
      <c r="F819" t="s">
        <v>9074</v>
      </c>
      <c r="G819" s="36" t="s">
        <v>14</v>
      </c>
      <c r="H819" s="36" t="str">
        <f>IFERROR(VLOOKUP(Table2[[#This Row], [Ticket]],Okey!A:B,2,0),"")</f>
        <v/>
      </c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9050</v>
      </c>
      <c r="D820" s="9" t="s">
        <v>9086</v>
      </c>
      <c r="E820" t="s">
        <v>9065</v>
      </c>
      <c r="F820" t="s">
        <v>9074</v>
      </c>
      <c r="G820" s="36" t="s">
        <v>14</v>
      </c>
      <c r="H820" s="36" t="str">
        <f>IFERROR(VLOOKUP(Table2[[#This Row], [Ticket]],Okey!A:B,2,0),"")</f>
        <v/>
      </c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9050</v>
      </c>
      <c r="D821" s="9" t="s">
        <v>9087</v>
      </c>
      <c r="E821" t="s">
        <v>9066</v>
      </c>
      <c r="F821" t="s">
        <v>9075</v>
      </c>
      <c r="G821" s="36" t="s">
        <v>14</v>
      </c>
      <c r="H821" s="36" t="str">
        <f>IFERROR(VLOOKUP(Table2[[#This Row], [Ticket]],Okey!A:B,2,0),"")</f>
        <v/>
      </c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9050</v>
      </c>
      <c r="D822" s="9" t="s">
        <v>9088</v>
      </c>
      <c r="E822" t="s">
        <v>9067</v>
      </c>
      <c r="F822" t="s">
        <v>9076</v>
      </c>
      <c r="G822" s="36" t="s">
        <v>14</v>
      </c>
      <c r="H822" s="36" t="str">
        <f>IFERROR(VLOOKUP(Table2[[#This Row], [Ticket]],Okey!A:B,2,0),"")</f>
        <v/>
      </c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9050</v>
      </c>
      <c r="D823" s="9" t="s">
        <v>9089</v>
      </c>
      <c r="E823" t="s">
        <v>9068</v>
      </c>
      <c r="F823" t="s">
        <v>9077</v>
      </c>
      <c r="G823" s="36" t="s">
        <v>14</v>
      </c>
      <c r="H823" s="36" t="str">
        <f>IFERROR(VLOOKUP(Table2[[#This Row], [Ticket]],Okey!A:B,2,0),"")</f>
        <v/>
      </c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9050</v>
      </c>
      <c r="D824" s="9" t="s">
        <v>9090</v>
      </c>
      <c r="E824" t="s">
        <v>9069</v>
      </c>
      <c r="F824" t="s">
        <v>9078</v>
      </c>
      <c r="G824" s="36" t="s">
        <v>14</v>
      </c>
      <c r="H824" s="36" t="str">
        <f>IFERROR(VLOOKUP(Table2[[#This Row], [Ticket]],Okey!A:B,2,0),"")</f>
        <v/>
      </c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9135</v>
      </c>
      <c r="D825" s="9" t="s">
        <v>9136</v>
      </c>
      <c r="F825" s="9" t="s">
        <v>9137</v>
      </c>
      <c r="G825" s="9" t="s">
        <v>13</v>
      </c>
      <c r="H825" s="36" t="str">
        <f>IFERROR(VLOOKUP(Table2[[#This Row], [Ticket]],Okey!A:B,2,0),"")</f>
        <v/>
      </c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9135</v>
      </c>
      <c r="D826" s="9" t="s">
        <v>6476</v>
      </c>
      <c r="F826" s="9" t="s">
        <v>9137</v>
      </c>
      <c r="G826" s="36" t="s">
        <v>13</v>
      </c>
      <c r="H826" s="36" t="str">
        <f>IFERROR(VLOOKUP(Table2[[#This Row], [Ticket]],Okey!A:B,2,0),"")</f>
        <v/>
      </c>
      <c r="K826" s="9" t="s">
        <v>6567</v>
      </c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9135</v>
      </c>
      <c r="D827" s="9" t="s">
        <v>5550</v>
      </c>
      <c r="F827" s="9" t="s">
        <v>9137</v>
      </c>
      <c r="G827" s="36" t="s">
        <v>13</v>
      </c>
      <c r="H827" s="36" t="str">
        <f>IFERROR(VLOOKUP(Table2[[#This Row], [Ticket]],Okey!A:B,2,0),"")</f>
        <v/>
      </c>
      <c r="K827" s="36" t="s">
        <v>6567</v>
      </c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9147</v>
      </c>
      <c r="D828" s="9" t="s">
        <v>9148</v>
      </c>
      <c r="F828" s="9" t="s">
        <v>9149</v>
      </c>
      <c r="G828" s="36" t="s">
        <v>13</v>
      </c>
      <c r="H828" s="36" t="str">
        <f>IFERROR(VLOOKUP(Table2[[#This Row], [Ticket]],Okey!A:B,2,0),"")</f>
        <v/>
      </c>
      <c r="K828" s="36" t="s">
        <v>6567</v>
      </c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9151</v>
      </c>
      <c r="D829" s="71" t="s">
        <v>9150</v>
      </c>
      <c r="F829" t="s">
        <v>8597</v>
      </c>
      <c r="G829" s="36" t="s">
        <v>13</v>
      </c>
      <c r="H829" s="36" t="str">
        <f>IFERROR(VLOOKUP(Table2[[#This Row], [Ticket]],Okey!A:B,2,0),"")</f>
        <v/>
      </c>
      <c r="K829" s="36" t="s">
        <v>6567</v>
      </c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9151</v>
      </c>
      <c r="D830" t="s">
        <v>8600</v>
      </c>
      <c r="F830" s="9" t="s">
        <v>6029</v>
      </c>
      <c r="G830" s="9" t="s">
        <v>8552</v>
      </c>
      <c r="H830" s="36" t="str">
        <f>IFERROR(VLOOKUP(Table2[[#This Row], [Ticket]],Okey!A:B,2,0),"")</f>
        <v/>
      </c>
      <c r="K830" s="36" t="s">
        <v>6567</v>
      </c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9159</v>
      </c>
      <c r="D831" s="9" t="s">
        <v>4807</v>
      </c>
      <c r="E831" s="9" t="s">
        <v>9152</v>
      </c>
      <c r="G831" s="9" t="s">
        <v>15</v>
      </c>
      <c r="H831" s="36" t="str">
        <f>IFERROR(VLOOKUP(Table2[[#This Row], [Ticket]],Okey!A:B,2,0),"")</f>
        <v/>
      </c>
      <c r="K831" s="36" t="s">
        <v>6456</v>
      </c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9159</v>
      </c>
      <c r="D832" s="9" t="s">
        <v>4809</v>
      </c>
      <c r="E832" s="9" t="s">
        <v>9153</v>
      </c>
      <c r="G832" s="36" t="s">
        <v>15</v>
      </c>
      <c r="H832" s="36" t="str">
        <f>IFERROR(VLOOKUP(Table2[[#This Row], [Ticket]],Okey!A:B,2,0),"")</f>
        <v/>
      </c>
      <c r="K832" s="36" t="s">
        <v>6456</v>
      </c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9159</v>
      </c>
      <c r="D833" s="9" t="s">
        <v>4811</v>
      </c>
      <c r="E833" s="9" t="s">
        <v>9154</v>
      </c>
      <c r="G833" s="36" t="s">
        <v>15</v>
      </c>
      <c r="H833" s="36" t="str">
        <f>IFERROR(VLOOKUP(Table2[[#This Row], [Ticket]],Okey!A:B,2,0),"")</f>
        <v/>
      </c>
      <c r="K833" s="36" t="s">
        <v>6456</v>
      </c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9159</v>
      </c>
      <c r="D834" s="9" t="s">
        <v>4813</v>
      </c>
      <c r="E834" s="9" t="s">
        <v>9155</v>
      </c>
      <c r="G834" s="36" t="s">
        <v>15</v>
      </c>
      <c r="H834" s="36" t="str">
        <f>IFERROR(VLOOKUP(Table2[[#This Row], [Ticket]],Okey!A:B,2,0),"")</f>
        <v/>
      </c>
      <c r="K834" s="36" t="s">
        <v>6456</v>
      </c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9159</v>
      </c>
      <c r="D835" s="9" t="s">
        <v>4816</v>
      </c>
      <c r="E835" s="9" t="s">
        <v>9156</v>
      </c>
      <c r="G835" s="36" t="s">
        <v>15</v>
      </c>
      <c r="H835" s="36" t="str">
        <f>IFERROR(VLOOKUP(Table2[[#This Row], [Ticket]],Okey!A:B,2,0),"")</f>
        <v/>
      </c>
      <c r="K835" s="36" t="s">
        <v>6456</v>
      </c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9159</v>
      </c>
      <c r="D836" s="9" t="s">
        <v>9158</v>
      </c>
      <c r="F836" s="9" t="s">
        <v>275</v>
      </c>
      <c r="G836" s="9" t="s">
        <v>8552</v>
      </c>
      <c r="H836" s="36" t="str">
        <f>IFERROR(VLOOKUP(Table2[[#This Row], [Ticket]],Okey!A:B,2,0),"")</f>
        <v/>
      </c>
      <c r="K836" s="9" t="s">
        <v>9157</v>
      </c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9162</v>
      </c>
      <c r="D837" s="9" t="s">
        <v>9160</v>
      </c>
      <c r="F837" s="9" t="s">
        <v>9161</v>
      </c>
      <c r="G837" s="9" t="s">
        <v>13</v>
      </c>
      <c r="H837" s="36" t="str">
        <f>IFERROR(VLOOKUP(Table2[[#This Row], [Ticket]],Okey!A:B,2,0),"")</f>
        <v/>
      </c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9162</v>
      </c>
      <c r="D838" s="71" t="s">
        <v>8169</v>
      </c>
      <c r="F838" t="s">
        <v>1277</v>
      </c>
      <c r="G838" s="36" t="s">
        <v>13</v>
      </c>
      <c r="H838" s="36" t="str">
        <f>IFERROR(VLOOKUP(Table2[[#This Row], [Ticket]],Okey!A:B,2,0),"")</f>
        <v/>
      </c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9163</v>
      </c>
      <c r="D839" s="38" t="s">
        <v>1290</v>
      </c>
      <c r="E839" s="38" t="s">
        <v>9164</v>
      </c>
      <c r="G839" s="36" t="s">
        <v>15</v>
      </c>
      <c r="H839" s="36" t="str">
        <f>IFERROR(VLOOKUP(Table2[[#This Row], [Ticket]],Okey!A:B,2,0),"")</f>
        <v/>
      </c>
      <c r="M839" s="36" t="s">
        <v>4799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AA422-AA9B-4105-908B-A1C5AD5A6E4B}">
  <dimension ref="A1:G20"/>
  <sheetViews>
    <sheetView workbookViewId="0">
      <selection activeCell="D14" sqref="D14:E20"/>
    </sheetView>
  </sheetViews>
  <sheetFormatPr defaultRowHeight="15"/>
  <cols>
    <col min="4" max="4" width="11.42578125" bestFit="1" customWidth="1"/>
  </cols>
  <sheetData>
    <row r="1" spans="1:7">
      <c r="A1">
        <v>1000</v>
      </c>
    </row>
    <row r="2" spans="1:7">
      <c r="A2" t="s">
        <v>4807</v>
      </c>
      <c r="B2" t="s">
        <v>9152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>
      <c r="A3" t="s">
        <v>4809</v>
      </c>
      <c r="B3" t="s">
        <v>9153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>
      <c r="A4" t="s">
        <v>4811</v>
      </c>
      <c r="B4" t="s">
        <v>9154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>
      <c r="A5" t="s">
        <v>4813</v>
      </c>
      <c r="B5" t="s">
        <v>9155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>
      <c r="A6" t="s">
        <v>4816</v>
      </c>
      <c r="B6" t="s">
        <v>9156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14" spans="1:7">
      <c r="D14">
        <v>1000</v>
      </c>
      <c r="E14" t="s">
        <v>9031</v>
      </c>
    </row>
    <row r="15" spans="1:7">
      <c r="D15" t="s">
        <v>1736</v>
      </c>
      <c r="E15" t="s">
        <v>6476</v>
      </c>
    </row>
    <row r="16" spans="1:7">
      <c r="D16" t="s">
        <v>1736</v>
      </c>
      <c r="E16" t="s">
        <v>5550</v>
      </c>
    </row>
    <row r="17" spans="4:5">
      <c r="D17" t="s">
        <v>8333</v>
      </c>
      <c r="E17" t="s">
        <v>9148</v>
      </c>
    </row>
    <row r="18" spans="4:5">
      <c r="D18" t="s">
        <v>8597</v>
      </c>
      <c r="E18" t="s">
        <v>9150</v>
      </c>
    </row>
    <row r="19" spans="4:5">
      <c r="D19" t="s">
        <v>6029</v>
      </c>
      <c r="E19" t="s">
        <v>8600</v>
      </c>
    </row>
    <row r="20" spans="4:5">
      <c r="D20" t="s">
        <v>275</v>
      </c>
      <c r="E20" t="s">
        <v>9158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10A9F-A8CA-483E-B043-333379BB5A32}">
  <dimension ref="A1:C13"/>
  <sheetViews>
    <sheetView workbookViewId="0">
      <selection sqref="A1:C13"/>
    </sheetView>
  </sheetViews>
  <sheetFormatPr defaultRowHeight="15"/>
  <sheetData>
    <row r="1" spans="1:3">
      <c r="A1">
        <v>1000</v>
      </c>
      <c r="B1" t="s">
        <v>9031</v>
      </c>
    </row>
    <row r="2" spans="1:3">
      <c r="A2" s="47" t="s">
        <v>9137</v>
      </c>
      <c r="B2" s="47" t="s">
        <v>9136</v>
      </c>
    </row>
    <row r="3" spans="1:3">
      <c r="A3" s="47" t="s">
        <v>9137</v>
      </c>
      <c r="B3" s="47" t="s">
        <v>6476</v>
      </c>
    </row>
    <row r="4" spans="1:3">
      <c r="A4" s="70" t="s">
        <v>9137</v>
      </c>
      <c r="B4" s="70" t="s">
        <v>5550</v>
      </c>
    </row>
    <row r="5" spans="1:3">
      <c r="A5" t="s">
        <v>8572</v>
      </c>
      <c r="C5" t="s">
        <v>9138</v>
      </c>
    </row>
    <row r="6" spans="1:3">
      <c r="A6" t="s">
        <v>8574</v>
      </c>
      <c r="C6" t="s">
        <v>9139</v>
      </c>
    </row>
    <row r="7" spans="1:3">
      <c r="A7" t="s">
        <v>8574</v>
      </c>
      <c r="C7" t="s">
        <v>9140</v>
      </c>
    </row>
    <row r="8" spans="1:3">
      <c r="A8" t="s">
        <v>8574</v>
      </c>
      <c r="C8" t="s">
        <v>9141</v>
      </c>
    </row>
    <row r="9" spans="1:3">
      <c r="A9" t="s">
        <v>8574</v>
      </c>
      <c r="C9" t="s">
        <v>9142</v>
      </c>
    </row>
    <row r="10" spans="1:3">
      <c r="A10" t="s">
        <v>8575</v>
      </c>
      <c r="C10" t="s">
        <v>9143</v>
      </c>
    </row>
    <row r="11" spans="1:3">
      <c r="A11" t="s">
        <v>8577</v>
      </c>
      <c r="C11" t="s">
        <v>9144</v>
      </c>
    </row>
    <row r="12" spans="1:3">
      <c r="A12" t="s">
        <v>8582</v>
      </c>
      <c r="C12" t="s">
        <v>9145</v>
      </c>
    </row>
    <row r="13" spans="1:3">
      <c r="A13" t="s">
        <v>8579</v>
      </c>
      <c r="C13" t="s">
        <v>9146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4279-7896-4F95-90C0-6C9AFDFA270A}">
  <dimension ref="A1:B34"/>
  <sheetViews>
    <sheetView workbookViewId="0">
      <selection sqref="A1:B34"/>
    </sheetView>
  </sheetViews>
  <sheetFormatPr defaultRowHeight="15"/>
  <sheetData>
    <row r="1" spans="1:2">
      <c r="A1" t="s">
        <v>9091</v>
      </c>
      <c r="B1" t="s">
        <v>3163</v>
      </c>
    </row>
    <row r="2" spans="1:2">
      <c r="A2" t="s">
        <v>9092</v>
      </c>
      <c r="B2" t="s">
        <v>8047</v>
      </c>
    </row>
    <row r="3" spans="1:2">
      <c r="A3" t="s">
        <v>9093</v>
      </c>
      <c r="B3" t="s">
        <v>8047</v>
      </c>
    </row>
    <row r="4" spans="1:2">
      <c r="A4" t="s">
        <v>9094</v>
      </c>
      <c r="B4" t="s">
        <v>8047</v>
      </c>
    </row>
    <row r="5" spans="1:2">
      <c r="A5" t="s">
        <v>9095</v>
      </c>
      <c r="B5" t="s">
        <v>8047</v>
      </c>
    </row>
    <row r="6" spans="1:2">
      <c r="A6" t="s">
        <v>9096</v>
      </c>
      <c r="B6" t="s">
        <v>8047</v>
      </c>
    </row>
    <row r="7" spans="1:2">
      <c r="A7" t="s">
        <v>9097</v>
      </c>
      <c r="B7" t="s">
        <v>8047</v>
      </c>
    </row>
    <row r="8" spans="1:2">
      <c r="A8" t="s">
        <v>9098</v>
      </c>
      <c r="B8" t="s">
        <v>9099</v>
      </c>
    </row>
    <row r="9" spans="1:2">
      <c r="A9" t="s">
        <v>9100</v>
      </c>
      <c r="B9" t="s">
        <v>9101</v>
      </c>
    </row>
    <row r="10" spans="1:2">
      <c r="A10" t="s">
        <v>9102</v>
      </c>
      <c r="B10" t="s">
        <v>9103</v>
      </c>
    </row>
    <row r="11" spans="1:2">
      <c r="A11" t="s">
        <v>9104</v>
      </c>
      <c r="B11" t="s">
        <v>9105</v>
      </c>
    </row>
    <row r="12" spans="1:2">
      <c r="A12" t="s">
        <v>9106</v>
      </c>
      <c r="B12" t="s">
        <v>9105</v>
      </c>
    </row>
    <row r="13" spans="1:2">
      <c r="A13" t="s">
        <v>9107</v>
      </c>
      <c r="B13" t="s">
        <v>9105</v>
      </c>
    </row>
    <row r="14" spans="1:2">
      <c r="A14" t="s">
        <v>9108</v>
      </c>
      <c r="B14" t="s">
        <v>9109</v>
      </c>
    </row>
    <row r="15" spans="1:2">
      <c r="A15" t="s">
        <v>9110</v>
      </c>
      <c r="B15" t="s">
        <v>9111</v>
      </c>
    </row>
    <row r="16" spans="1:2">
      <c r="A16" t="s">
        <v>9112</v>
      </c>
      <c r="B16" t="s">
        <v>9113</v>
      </c>
    </row>
    <row r="17" spans="1:2">
      <c r="A17" t="s">
        <v>9114</v>
      </c>
      <c r="B17" t="s">
        <v>9115</v>
      </c>
    </row>
    <row r="18" spans="1:2">
      <c r="A18" t="s">
        <v>9116</v>
      </c>
      <c r="B18" t="s">
        <v>7918</v>
      </c>
    </row>
    <row r="19" spans="1:2">
      <c r="A19" t="s">
        <v>9117</v>
      </c>
      <c r="B19" t="s">
        <v>7918</v>
      </c>
    </row>
    <row r="20" spans="1:2">
      <c r="A20" t="s">
        <v>9118</v>
      </c>
      <c r="B20" t="s">
        <v>7918</v>
      </c>
    </row>
    <row r="21" spans="1:2">
      <c r="A21" t="s">
        <v>9119</v>
      </c>
      <c r="B21" t="s">
        <v>7918</v>
      </c>
    </row>
    <row r="22" spans="1:2">
      <c r="A22" t="s">
        <v>9120</v>
      </c>
      <c r="B22" t="s">
        <v>7918</v>
      </c>
    </row>
    <row r="23" spans="1:2">
      <c r="A23" t="s">
        <v>9121</v>
      </c>
      <c r="B23" t="s">
        <v>7919</v>
      </c>
    </row>
    <row r="24" spans="1:2">
      <c r="A24" t="s">
        <v>9122</v>
      </c>
      <c r="B24" t="s">
        <v>7919</v>
      </c>
    </row>
    <row r="25" spans="1:2">
      <c r="A25" t="s">
        <v>9123</v>
      </c>
      <c r="B25" t="s">
        <v>7919</v>
      </c>
    </row>
    <row r="26" spans="1:2">
      <c r="A26" t="s">
        <v>9124</v>
      </c>
      <c r="B26" t="s">
        <v>7919</v>
      </c>
    </row>
    <row r="27" spans="1:2">
      <c r="A27" t="s">
        <v>9125</v>
      </c>
      <c r="B27" t="s">
        <v>7919</v>
      </c>
    </row>
    <row r="28" spans="1:2">
      <c r="A28" t="s">
        <v>9126</v>
      </c>
      <c r="B28" t="s">
        <v>7920</v>
      </c>
    </row>
    <row r="29" spans="1:2">
      <c r="A29" t="s">
        <v>9127</v>
      </c>
      <c r="B29" t="s">
        <v>7920</v>
      </c>
    </row>
    <row r="30" spans="1:2">
      <c r="A30" t="s">
        <v>9128</v>
      </c>
      <c r="B30" t="s">
        <v>7920</v>
      </c>
    </row>
    <row r="31" spans="1:2">
      <c r="A31" t="s">
        <v>9129</v>
      </c>
      <c r="B31" t="s">
        <v>7920</v>
      </c>
    </row>
    <row r="32" spans="1:2">
      <c r="A32" t="s">
        <v>9130</v>
      </c>
      <c r="B32" t="s">
        <v>7920</v>
      </c>
    </row>
    <row r="33" spans="1:2">
      <c r="A33" t="s">
        <v>9131</v>
      </c>
      <c r="B33" t="s">
        <v>9132</v>
      </c>
    </row>
    <row r="34" spans="1:2">
      <c r="A34" t="s">
        <v>9133</v>
      </c>
      <c r="B34" t="s">
        <v>9134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A4D30-7468-49CA-AAFC-6B30F0BB36B1}">
  <dimension ref="A1:G20"/>
  <sheetViews>
    <sheetView workbookViewId="0">
      <selection activeCell="A2" sqref="A2:C20"/>
    </sheetView>
  </sheetViews>
  <sheetFormatPr defaultRowHeight="15"/>
  <cols>
    <col min="1" max="1" width="11.28515625" bestFit="1" customWidth="1"/>
    <col min="2" max="2" width="23.7109375" bestFit="1" customWidth="1"/>
    <col min="3" max="3" width="18.28515625" bestFit="1" customWidth="1"/>
    <col min="4" max="4" width="7.28515625" bestFit="1" customWidth="1"/>
    <col min="5" max="5" width="5" bestFit="1" customWidth="1"/>
    <col min="7" max="7" width="11.28515625" bestFit="1" customWidth="1"/>
  </cols>
  <sheetData>
    <row r="1" spans="1:7">
      <c r="B1">
        <f>LEN(A2)</f>
        <v>10</v>
      </c>
    </row>
    <row r="2" spans="1:7">
      <c r="A2" t="s">
        <v>9071</v>
      </c>
      <c r="B2" t="s">
        <v>9051</v>
      </c>
      <c r="C2" t="s">
        <v>9070</v>
      </c>
      <c r="D2" t="s">
        <v>9072</v>
      </c>
      <c r="E2">
        <v>4932</v>
      </c>
      <c r="G2" t="str">
        <f>+D2&amp;E2</f>
        <v>H000004932</v>
      </c>
    </row>
    <row r="3" spans="1:7">
      <c r="A3" t="s">
        <v>9073</v>
      </c>
      <c r="B3" t="s">
        <v>9052</v>
      </c>
      <c r="C3" t="s">
        <v>9071</v>
      </c>
      <c r="D3" t="s">
        <v>9072</v>
      </c>
      <c r="E3">
        <f>+E2+1</f>
        <v>4933</v>
      </c>
      <c r="G3" t="str">
        <f t="shared" ref="G3:G20" si="0">+D3&amp;E3</f>
        <v>H000004933</v>
      </c>
    </row>
    <row r="4" spans="1:7">
      <c r="A4" t="s">
        <v>9074</v>
      </c>
      <c r="B4" t="s">
        <v>9053</v>
      </c>
      <c r="C4" t="s">
        <v>9071</v>
      </c>
      <c r="D4" t="s">
        <v>9072</v>
      </c>
      <c r="E4">
        <f t="shared" ref="E4:E20" si="1">+E3+1</f>
        <v>4934</v>
      </c>
      <c r="G4" t="str">
        <f t="shared" si="0"/>
        <v>H000004934</v>
      </c>
    </row>
    <row r="5" spans="1:7">
      <c r="A5" t="s">
        <v>9075</v>
      </c>
      <c r="B5" t="s">
        <v>9054</v>
      </c>
      <c r="C5" t="s">
        <v>9071</v>
      </c>
      <c r="D5" t="s">
        <v>9072</v>
      </c>
      <c r="E5">
        <f t="shared" si="1"/>
        <v>4935</v>
      </c>
      <c r="G5" t="str">
        <f t="shared" si="0"/>
        <v>H000004935</v>
      </c>
    </row>
    <row r="6" spans="1:7">
      <c r="A6" t="s">
        <v>9076</v>
      </c>
      <c r="B6" t="s">
        <v>9055</v>
      </c>
      <c r="C6" t="s">
        <v>9071</v>
      </c>
      <c r="D6" t="s">
        <v>9072</v>
      </c>
      <c r="E6">
        <f t="shared" si="1"/>
        <v>4936</v>
      </c>
      <c r="G6" t="str">
        <f t="shared" si="0"/>
        <v>H000004936</v>
      </c>
    </row>
    <row r="7" spans="1:7">
      <c r="A7" t="s">
        <v>9077</v>
      </c>
      <c r="B7" t="s">
        <v>9056</v>
      </c>
      <c r="C7" t="s">
        <v>9071</v>
      </c>
      <c r="D7" t="s">
        <v>9072</v>
      </c>
      <c r="E7">
        <f t="shared" si="1"/>
        <v>4937</v>
      </c>
      <c r="G7" t="str">
        <f t="shared" si="0"/>
        <v>H000004937</v>
      </c>
    </row>
    <row r="8" spans="1:7">
      <c r="A8" t="s">
        <v>9078</v>
      </c>
      <c r="B8" t="s">
        <v>9057</v>
      </c>
      <c r="C8" t="s">
        <v>9071</v>
      </c>
      <c r="D8" t="s">
        <v>9072</v>
      </c>
      <c r="E8">
        <f t="shared" si="1"/>
        <v>4938</v>
      </c>
      <c r="G8" t="str">
        <f t="shared" si="0"/>
        <v>H000004938</v>
      </c>
    </row>
    <row r="9" spans="1:7">
      <c r="A9" t="s">
        <v>9079</v>
      </c>
      <c r="B9" t="s">
        <v>9058</v>
      </c>
      <c r="C9" t="s">
        <v>9073</v>
      </c>
      <c r="D9" t="s">
        <v>9072</v>
      </c>
      <c r="E9">
        <f t="shared" si="1"/>
        <v>4939</v>
      </c>
      <c r="G9" t="str">
        <f t="shared" si="0"/>
        <v>H000004939</v>
      </c>
    </row>
    <row r="10" spans="1:7">
      <c r="A10" t="s">
        <v>9080</v>
      </c>
      <c r="B10" t="s">
        <v>9059</v>
      </c>
      <c r="C10" t="s">
        <v>9073</v>
      </c>
      <c r="D10" t="s">
        <v>9072</v>
      </c>
      <c r="E10">
        <f t="shared" si="1"/>
        <v>4940</v>
      </c>
      <c r="G10" t="str">
        <f t="shared" si="0"/>
        <v>H000004940</v>
      </c>
    </row>
    <row r="11" spans="1:7">
      <c r="A11" t="s">
        <v>9081</v>
      </c>
      <c r="B11" t="s">
        <v>9060</v>
      </c>
      <c r="C11" t="s">
        <v>9073</v>
      </c>
      <c r="D11" t="s">
        <v>9072</v>
      </c>
      <c r="E11">
        <f t="shared" si="1"/>
        <v>4941</v>
      </c>
      <c r="G11" t="str">
        <f t="shared" si="0"/>
        <v>H000004941</v>
      </c>
    </row>
    <row r="12" spans="1:7">
      <c r="A12" t="s">
        <v>9082</v>
      </c>
      <c r="B12" t="s">
        <v>9061</v>
      </c>
      <c r="C12" t="s">
        <v>9073</v>
      </c>
      <c r="D12" t="s">
        <v>9072</v>
      </c>
      <c r="E12">
        <f t="shared" si="1"/>
        <v>4942</v>
      </c>
      <c r="G12" t="str">
        <f t="shared" si="0"/>
        <v>H000004942</v>
      </c>
    </row>
    <row r="13" spans="1:7">
      <c r="A13" t="s">
        <v>9083</v>
      </c>
      <c r="B13" t="s">
        <v>9062</v>
      </c>
      <c r="C13" t="s">
        <v>9073</v>
      </c>
      <c r="D13" t="s">
        <v>9072</v>
      </c>
      <c r="E13">
        <f t="shared" si="1"/>
        <v>4943</v>
      </c>
      <c r="G13" t="str">
        <f t="shared" si="0"/>
        <v>H000004943</v>
      </c>
    </row>
    <row r="14" spans="1:7">
      <c r="A14" t="s">
        <v>9084</v>
      </c>
      <c r="B14" t="s">
        <v>9063</v>
      </c>
      <c r="C14" t="s">
        <v>9074</v>
      </c>
      <c r="D14" t="s">
        <v>9072</v>
      </c>
      <c r="E14">
        <f t="shared" si="1"/>
        <v>4944</v>
      </c>
      <c r="G14" t="str">
        <f t="shared" si="0"/>
        <v>H000004944</v>
      </c>
    </row>
    <row r="15" spans="1:7">
      <c r="A15" t="s">
        <v>9085</v>
      </c>
      <c r="B15" t="s">
        <v>9064</v>
      </c>
      <c r="C15" t="s">
        <v>9074</v>
      </c>
      <c r="D15" t="s">
        <v>9072</v>
      </c>
      <c r="E15">
        <f t="shared" si="1"/>
        <v>4945</v>
      </c>
      <c r="G15" t="str">
        <f t="shared" si="0"/>
        <v>H000004945</v>
      </c>
    </row>
    <row r="16" spans="1:7">
      <c r="A16" t="s">
        <v>9086</v>
      </c>
      <c r="B16" t="s">
        <v>9065</v>
      </c>
      <c r="C16" t="s">
        <v>9074</v>
      </c>
      <c r="D16" t="s">
        <v>9072</v>
      </c>
      <c r="E16">
        <f t="shared" si="1"/>
        <v>4946</v>
      </c>
      <c r="G16" t="str">
        <f t="shared" si="0"/>
        <v>H000004946</v>
      </c>
    </row>
    <row r="17" spans="1:7">
      <c r="A17" t="s">
        <v>9087</v>
      </c>
      <c r="B17" t="s">
        <v>9066</v>
      </c>
      <c r="C17" t="s">
        <v>9075</v>
      </c>
      <c r="D17" t="s">
        <v>9072</v>
      </c>
      <c r="E17">
        <f t="shared" si="1"/>
        <v>4947</v>
      </c>
      <c r="G17" t="str">
        <f t="shared" si="0"/>
        <v>H000004947</v>
      </c>
    </row>
    <row r="18" spans="1:7">
      <c r="A18" t="s">
        <v>9088</v>
      </c>
      <c r="B18" t="s">
        <v>9067</v>
      </c>
      <c r="C18" t="s">
        <v>9076</v>
      </c>
      <c r="D18" t="s">
        <v>9072</v>
      </c>
      <c r="E18">
        <f t="shared" si="1"/>
        <v>4948</v>
      </c>
      <c r="G18" t="str">
        <f t="shared" si="0"/>
        <v>H000004948</v>
      </c>
    </row>
    <row r="19" spans="1:7">
      <c r="A19" t="s">
        <v>9089</v>
      </c>
      <c r="B19" t="s">
        <v>9068</v>
      </c>
      <c r="C19" t="s">
        <v>9077</v>
      </c>
      <c r="D19" t="s">
        <v>9072</v>
      </c>
      <c r="E19">
        <f t="shared" si="1"/>
        <v>4949</v>
      </c>
      <c r="G19" t="str">
        <f t="shared" si="0"/>
        <v>H000004949</v>
      </c>
    </row>
    <row r="20" spans="1:7">
      <c r="A20" t="s">
        <v>9090</v>
      </c>
      <c r="B20" t="s">
        <v>9069</v>
      </c>
      <c r="C20" t="s">
        <v>9078</v>
      </c>
      <c r="D20" t="s">
        <v>9072</v>
      </c>
      <c r="E20">
        <f t="shared" si="1"/>
        <v>4950</v>
      </c>
      <c r="G20" t="str">
        <f t="shared" si="0"/>
        <v>H000004950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B647A-8537-434E-B5AA-93732C197056}">
  <dimension ref="A1:G9"/>
  <sheetViews>
    <sheetView workbookViewId="0">
      <selection activeCell="Z39" sqref="Z39"/>
    </sheetView>
  </sheetViews>
  <sheetFormatPr defaultRowHeight="15"/>
  <sheetData>
    <row r="1" spans="1:7">
      <c r="A1">
        <v>1000</v>
      </c>
    </row>
    <row r="2" spans="1:7">
      <c r="A2" t="s">
        <v>9043</v>
      </c>
      <c r="B2" t="s">
        <v>9044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>
      <c r="A3" t="s">
        <v>9045</v>
      </c>
      <c r="B3" t="s">
        <v>9046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>
      <c r="A4" t="s">
        <v>9047</v>
      </c>
      <c r="B4" t="s">
        <v>9048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>
      <c r="A5" t="s">
        <v>7911</v>
      </c>
      <c r="B5" t="s">
        <v>4938</v>
      </c>
      <c r="C5" t="s">
        <v>4938</v>
      </c>
      <c r="D5" t="s">
        <v>4938</v>
      </c>
      <c r="E5" t="s">
        <v>4938</v>
      </c>
      <c r="F5" t="s">
        <v>4938</v>
      </c>
    </row>
    <row r="7" spans="1:7">
      <c r="A7" t="s">
        <v>7911</v>
      </c>
      <c r="B7" t="s">
        <v>9043</v>
      </c>
    </row>
    <row r="8" spans="1:7">
      <c r="A8" t="s">
        <v>7911</v>
      </c>
      <c r="B8" t="s">
        <v>9045</v>
      </c>
    </row>
    <row r="9" spans="1:7">
      <c r="A9" t="s">
        <v>7911</v>
      </c>
      <c r="B9" t="s">
        <v>9047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A831-C327-4024-896E-CABF783D8EBC}">
  <dimension ref="A1:W143"/>
  <sheetViews>
    <sheetView topLeftCell="A18" workbookViewId="0">
      <selection activeCell="AB55" sqref="AB55"/>
    </sheetView>
  </sheetViews>
  <sheetFormatPr defaultRowHeight="15"/>
  <cols>
    <col min="1" max="1" width="11.42578125" bestFit="1" customWidth="1"/>
    <col min="2" max="2" width="39.42578125" bestFit="1" customWidth="1"/>
    <col min="3" max="7" width="2.140625" bestFit="1" customWidth="1"/>
    <col min="15" max="15" width="11.140625" bestFit="1" customWidth="1"/>
    <col min="16" max="16" width="12" bestFit="1" customWidth="1"/>
  </cols>
  <sheetData>
    <row r="1" spans="1:23">
      <c r="A1">
        <v>1000</v>
      </c>
      <c r="I1">
        <v>1000</v>
      </c>
      <c r="L1">
        <v>1000</v>
      </c>
      <c r="O1">
        <v>1000</v>
      </c>
      <c r="P1" t="s">
        <v>8944</v>
      </c>
      <c r="R1">
        <v>1000</v>
      </c>
      <c r="S1" t="s">
        <v>8944</v>
      </c>
      <c r="U1">
        <v>1000</v>
      </c>
      <c r="V1" t="s">
        <v>9031</v>
      </c>
    </row>
    <row r="2" spans="1:23">
      <c r="A2" t="s">
        <v>8710</v>
      </c>
      <c r="B2" t="s">
        <v>8711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8710</v>
      </c>
      <c r="J2" t="s">
        <v>8868</v>
      </c>
      <c r="L2" t="s">
        <v>8710</v>
      </c>
      <c r="M2" t="s">
        <v>8868</v>
      </c>
      <c r="O2" t="s">
        <v>4208</v>
      </c>
      <c r="P2" t="s">
        <v>4212</v>
      </c>
      <c r="R2" t="s">
        <v>275</v>
      </c>
      <c r="S2" t="s">
        <v>2168</v>
      </c>
      <c r="U2" t="s">
        <v>8103</v>
      </c>
      <c r="W2" t="s">
        <v>8945</v>
      </c>
    </row>
    <row r="3" spans="1:23">
      <c r="A3" t="s">
        <v>8868</v>
      </c>
      <c r="B3" t="s">
        <v>8712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8710</v>
      </c>
      <c r="J3" t="s">
        <v>8869</v>
      </c>
      <c r="L3" t="s">
        <v>8710</v>
      </c>
      <c r="M3" t="s">
        <v>8869</v>
      </c>
      <c r="O3" t="s">
        <v>5350</v>
      </c>
      <c r="P3" t="s">
        <v>5220</v>
      </c>
      <c r="R3" t="s">
        <v>275</v>
      </c>
      <c r="S3" t="s">
        <v>2018</v>
      </c>
      <c r="U3" t="s">
        <v>8103</v>
      </c>
      <c r="W3" t="s">
        <v>8946</v>
      </c>
    </row>
    <row r="4" spans="1:23">
      <c r="A4" t="s">
        <v>8869</v>
      </c>
      <c r="B4" t="s">
        <v>8713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8710</v>
      </c>
      <c r="J4" t="s">
        <v>8870</v>
      </c>
      <c r="L4" t="s">
        <v>8710</v>
      </c>
      <c r="M4" t="s">
        <v>8870</v>
      </c>
      <c r="O4" t="s">
        <v>5324</v>
      </c>
      <c r="P4" t="s">
        <v>5327</v>
      </c>
      <c r="R4" t="s">
        <v>275</v>
      </c>
      <c r="S4" t="s">
        <v>2766</v>
      </c>
      <c r="U4" t="s">
        <v>8103</v>
      </c>
      <c r="W4" t="s">
        <v>8947</v>
      </c>
    </row>
    <row r="5" spans="1:23">
      <c r="A5" t="s">
        <v>8870</v>
      </c>
      <c r="B5" t="s">
        <v>8714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3655</v>
      </c>
      <c r="J5" t="s">
        <v>8871</v>
      </c>
      <c r="L5" t="s">
        <v>3655</v>
      </c>
      <c r="M5" t="s">
        <v>8871</v>
      </c>
      <c r="O5" t="s">
        <v>5350</v>
      </c>
      <c r="P5" t="s">
        <v>5355</v>
      </c>
      <c r="R5" t="s">
        <v>275</v>
      </c>
      <c r="S5" t="s">
        <v>2768</v>
      </c>
      <c r="U5" t="s">
        <v>8103</v>
      </c>
      <c r="W5" t="s">
        <v>8948</v>
      </c>
    </row>
    <row r="6" spans="1:23">
      <c r="A6" t="s">
        <v>8871</v>
      </c>
      <c r="B6" t="s">
        <v>8717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3167</v>
      </c>
      <c r="J6" t="s">
        <v>8872</v>
      </c>
      <c r="L6" t="s">
        <v>3167</v>
      </c>
      <c r="M6" t="s">
        <v>8872</v>
      </c>
      <c r="O6" t="s">
        <v>5395</v>
      </c>
      <c r="P6" t="s">
        <v>5396</v>
      </c>
      <c r="R6" t="s">
        <v>275</v>
      </c>
      <c r="S6" t="s">
        <v>2770</v>
      </c>
      <c r="U6" t="s">
        <v>8103</v>
      </c>
      <c r="W6" t="s">
        <v>8949</v>
      </c>
    </row>
    <row r="7" spans="1:23">
      <c r="A7" t="s">
        <v>8872</v>
      </c>
      <c r="B7" t="s">
        <v>8719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8051</v>
      </c>
      <c r="J7" t="s">
        <v>8874</v>
      </c>
      <c r="L7" t="s">
        <v>8051</v>
      </c>
      <c r="M7" t="s">
        <v>8874</v>
      </c>
      <c r="O7" t="s">
        <v>4861</v>
      </c>
      <c r="P7" t="s">
        <v>6434</v>
      </c>
      <c r="R7" t="s">
        <v>275</v>
      </c>
      <c r="S7" t="s">
        <v>2772</v>
      </c>
      <c r="U7" t="s">
        <v>8103</v>
      </c>
      <c r="W7" t="s">
        <v>8950</v>
      </c>
    </row>
    <row r="8" spans="1:23">
      <c r="A8" t="s">
        <v>8874</v>
      </c>
      <c r="B8" t="s">
        <v>8720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  <c r="I8" t="s">
        <v>4301</v>
      </c>
      <c r="J8" t="s">
        <v>8875</v>
      </c>
      <c r="L8" t="s">
        <v>4301</v>
      </c>
      <c r="M8" t="s">
        <v>8875</v>
      </c>
      <c r="O8" t="s">
        <v>4861</v>
      </c>
      <c r="P8" t="s">
        <v>6435</v>
      </c>
      <c r="R8" t="s">
        <v>275</v>
      </c>
      <c r="S8" t="s">
        <v>2774</v>
      </c>
      <c r="U8" t="s">
        <v>8103</v>
      </c>
      <c r="W8" t="s">
        <v>8951</v>
      </c>
    </row>
    <row r="9" spans="1:23">
      <c r="A9" t="s">
        <v>8875</v>
      </c>
      <c r="B9" t="s">
        <v>8721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  <c r="I9" t="s">
        <v>8035</v>
      </c>
      <c r="J9" t="s">
        <v>8876</v>
      </c>
      <c r="L9" t="s">
        <v>8035</v>
      </c>
      <c r="M9" t="s">
        <v>8876</v>
      </c>
      <c r="O9" t="s">
        <v>4861</v>
      </c>
      <c r="P9" t="s">
        <v>6436</v>
      </c>
      <c r="R9" t="s">
        <v>275</v>
      </c>
      <c r="S9" t="s">
        <v>2776</v>
      </c>
      <c r="U9" t="s">
        <v>8103</v>
      </c>
      <c r="W9" t="s">
        <v>8952</v>
      </c>
    </row>
    <row r="10" spans="1:23">
      <c r="A10" t="s">
        <v>8876</v>
      </c>
      <c r="B10" t="s">
        <v>8722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  <c r="I10" t="s">
        <v>2653</v>
      </c>
      <c r="J10" t="s">
        <v>8877</v>
      </c>
      <c r="L10" t="s">
        <v>2653</v>
      </c>
      <c r="M10" t="s">
        <v>8877</v>
      </c>
      <c r="O10" t="s">
        <v>4861</v>
      </c>
      <c r="P10" t="s">
        <v>6437</v>
      </c>
      <c r="R10" t="s">
        <v>275</v>
      </c>
      <c r="S10" t="s">
        <v>2778</v>
      </c>
      <c r="U10" t="s">
        <v>8103</v>
      </c>
      <c r="W10" t="s">
        <v>8953</v>
      </c>
    </row>
    <row r="11" spans="1:23">
      <c r="A11" t="s">
        <v>8877</v>
      </c>
      <c r="B11" t="s">
        <v>8723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  <c r="I11" t="s">
        <v>2653</v>
      </c>
      <c r="J11" t="s">
        <v>8878</v>
      </c>
      <c r="L11" t="s">
        <v>2653</v>
      </c>
      <c r="M11" t="s">
        <v>8878</v>
      </c>
      <c r="O11" t="s">
        <v>2688</v>
      </c>
      <c r="P11" t="s">
        <v>4875</v>
      </c>
      <c r="R11" t="s">
        <v>275</v>
      </c>
      <c r="S11" t="s">
        <v>2780</v>
      </c>
      <c r="U11" t="s">
        <v>8103</v>
      </c>
      <c r="W11" t="s">
        <v>8954</v>
      </c>
    </row>
    <row r="12" spans="1:23">
      <c r="A12" t="s">
        <v>8878</v>
      </c>
      <c r="B12" t="s">
        <v>8724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  <c r="I12" t="s">
        <v>2653</v>
      </c>
      <c r="J12" t="s">
        <v>8879</v>
      </c>
      <c r="L12" t="s">
        <v>2653</v>
      </c>
      <c r="M12" t="s">
        <v>8879</v>
      </c>
      <c r="O12" t="s">
        <v>2688</v>
      </c>
      <c r="P12" t="s">
        <v>4877</v>
      </c>
      <c r="R12" t="s">
        <v>275</v>
      </c>
      <c r="S12" t="s">
        <v>2782</v>
      </c>
      <c r="U12" t="s">
        <v>8103</v>
      </c>
      <c r="W12" t="s">
        <v>8955</v>
      </c>
    </row>
    <row r="13" spans="1:23">
      <c r="A13" t="s">
        <v>8879</v>
      </c>
      <c r="B13" t="s">
        <v>8725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  <c r="I13" t="s">
        <v>2653</v>
      </c>
      <c r="J13" t="s">
        <v>8880</v>
      </c>
      <c r="L13" t="s">
        <v>2653</v>
      </c>
      <c r="M13" t="s">
        <v>8880</v>
      </c>
      <c r="O13" t="s">
        <v>2688</v>
      </c>
      <c r="P13" t="s">
        <v>4879</v>
      </c>
      <c r="R13" t="s">
        <v>275</v>
      </c>
      <c r="S13" t="s">
        <v>2784</v>
      </c>
      <c r="U13" t="s">
        <v>8103</v>
      </c>
      <c r="W13" t="s">
        <v>8956</v>
      </c>
    </row>
    <row r="14" spans="1:23">
      <c r="A14" t="s">
        <v>8880</v>
      </c>
      <c r="B14" t="s">
        <v>8726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  <c r="I14" t="s">
        <v>2653</v>
      </c>
      <c r="J14" t="s">
        <v>8881</v>
      </c>
      <c r="L14" t="s">
        <v>2653</v>
      </c>
      <c r="M14" t="s">
        <v>8881</v>
      </c>
      <c r="O14" t="s">
        <v>4861</v>
      </c>
      <c r="P14" t="s">
        <v>4921</v>
      </c>
      <c r="R14" t="s">
        <v>275</v>
      </c>
      <c r="S14" t="s">
        <v>4335</v>
      </c>
      <c r="U14" t="s">
        <v>8103</v>
      </c>
      <c r="W14" t="s">
        <v>8957</v>
      </c>
    </row>
    <row r="15" spans="1:23">
      <c r="A15" t="s">
        <v>8881</v>
      </c>
      <c r="B15" t="s">
        <v>8727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  <c r="I15" t="s">
        <v>8784</v>
      </c>
      <c r="J15" t="s">
        <v>8882</v>
      </c>
      <c r="L15" t="s">
        <v>8784</v>
      </c>
      <c r="M15" t="s">
        <v>8882</v>
      </c>
      <c r="O15" t="s">
        <v>4861</v>
      </c>
      <c r="P15" t="s">
        <v>4922</v>
      </c>
      <c r="R15" t="s">
        <v>275</v>
      </c>
      <c r="S15" t="s">
        <v>2998</v>
      </c>
      <c r="U15" t="s">
        <v>8103</v>
      </c>
      <c r="W15" t="s">
        <v>8958</v>
      </c>
    </row>
    <row r="16" spans="1:23">
      <c r="A16" t="s">
        <v>8882</v>
      </c>
      <c r="B16" t="s">
        <v>8728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  <c r="I16" t="s">
        <v>2551</v>
      </c>
      <c r="J16" t="s">
        <v>8883</v>
      </c>
      <c r="L16" t="s">
        <v>2551</v>
      </c>
      <c r="M16" t="s">
        <v>8883</v>
      </c>
      <c r="O16" t="s">
        <v>2688</v>
      </c>
      <c r="P16" t="s">
        <v>4923</v>
      </c>
      <c r="R16" t="s">
        <v>275</v>
      </c>
      <c r="S16" t="s">
        <v>3000</v>
      </c>
      <c r="U16" t="s">
        <v>8103</v>
      </c>
      <c r="W16" t="s">
        <v>8959</v>
      </c>
    </row>
    <row r="17" spans="1:23">
      <c r="A17" t="s">
        <v>8883</v>
      </c>
      <c r="B17" t="s">
        <v>8729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  <c r="I17" t="s">
        <v>2234</v>
      </c>
      <c r="J17" t="s">
        <v>8884</v>
      </c>
      <c r="L17" t="s">
        <v>2234</v>
      </c>
      <c r="M17" t="s">
        <v>8884</v>
      </c>
      <c r="O17" t="s">
        <v>4923</v>
      </c>
      <c r="P17" t="s">
        <v>4882</v>
      </c>
      <c r="R17" t="s">
        <v>275</v>
      </c>
      <c r="S17" t="s">
        <v>3002</v>
      </c>
      <c r="U17" t="s">
        <v>8103</v>
      </c>
      <c r="W17" t="s">
        <v>8960</v>
      </c>
    </row>
    <row r="18" spans="1:23">
      <c r="A18" t="s">
        <v>8884</v>
      </c>
      <c r="B18" t="s">
        <v>8730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  <c r="I18" t="s">
        <v>2203</v>
      </c>
      <c r="J18" t="s">
        <v>8885</v>
      </c>
      <c r="L18" t="s">
        <v>2203</v>
      </c>
      <c r="M18" t="s">
        <v>8885</v>
      </c>
      <c r="O18" t="s">
        <v>4923</v>
      </c>
      <c r="P18" t="s">
        <v>4924</v>
      </c>
      <c r="R18" t="s">
        <v>275</v>
      </c>
      <c r="S18" t="s">
        <v>3004</v>
      </c>
      <c r="U18" t="s">
        <v>8103</v>
      </c>
      <c r="W18" t="s">
        <v>8961</v>
      </c>
    </row>
    <row r="19" spans="1:23">
      <c r="A19" t="s">
        <v>8885</v>
      </c>
      <c r="B19" t="s">
        <v>8731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  <c r="I19" t="s">
        <v>5238</v>
      </c>
      <c r="J19" t="s">
        <v>8886</v>
      </c>
      <c r="L19" t="s">
        <v>5238</v>
      </c>
      <c r="M19" t="s">
        <v>8886</v>
      </c>
      <c r="O19" t="s">
        <v>2688</v>
      </c>
      <c r="P19" t="s">
        <v>4925</v>
      </c>
      <c r="R19" t="s">
        <v>275</v>
      </c>
      <c r="S19" t="s">
        <v>3006</v>
      </c>
      <c r="U19" t="s">
        <v>8103</v>
      </c>
      <c r="W19" t="s">
        <v>8962</v>
      </c>
    </row>
    <row r="20" spans="1:23">
      <c r="A20" t="s">
        <v>8886</v>
      </c>
      <c r="B20" t="s">
        <v>8732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  <c r="I20" t="s">
        <v>5238</v>
      </c>
      <c r="J20" t="s">
        <v>8887</v>
      </c>
      <c r="L20" t="s">
        <v>5238</v>
      </c>
      <c r="M20" t="s">
        <v>8887</v>
      </c>
      <c r="O20" t="s">
        <v>2142</v>
      </c>
      <c r="P20" t="s">
        <v>2144</v>
      </c>
      <c r="R20" t="s">
        <v>275</v>
      </c>
      <c r="S20" t="s">
        <v>3008</v>
      </c>
      <c r="U20" t="s">
        <v>8103</v>
      </c>
      <c r="W20" t="s">
        <v>8963</v>
      </c>
    </row>
    <row r="21" spans="1:23">
      <c r="A21" t="s">
        <v>8887</v>
      </c>
      <c r="B21" t="s">
        <v>8733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  <c r="I21" t="s">
        <v>5238</v>
      </c>
      <c r="J21" t="s">
        <v>8888</v>
      </c>
      <c r="L21" t="s">
        <v>5238</v>
      </c>
      <c r="M21" t="s">
        <v>8888</v>
      </c>
      <c r="O21" t="s">
        <v>2195</v>
      </c>
      <c r="P21" t="s">
        <v>3190</v>
      </c>
      <c r="R21" t="s">
        <v>275</v>
      </c>
      <c r="S21" t="s">
        <v>3010</v>
      </c>
      <c r="U21" t="s">
        <v>8103</v>
      </c>
      <c r="W21" t="s">
        <v>8964</v>
      </c>
    </row>
    <row r="22" spans="1:23">
      <c r="A22" t="s">
        <v>8888</v>
      </c>
      <c r="B22" t="s">
        <v>8734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  <c r="I22" t="s">
        <v>5238</v>
      </c>
      <c r="J22" t="s">
        <v>8889</v>
      </c>
      <c r="L22" t="s">
        <v>5238</v>
      </c>
      <c r="M22" t="s">
        <v>8889</v>
      </c>
      <c r="O22" t="s">
        <v>2190</v>
      </c>
      <c r="P22" t="s">
        <v>2197</v>
      </c>
      <c r="R22" t="s">
        <v>275</v>
      </c>
      <c r="S22" t="s">
        <v>3012</v>
      </c>
      <c r="U22" t="s">
        <v>8103</v>
      </c>
      <c r="W22" t="s">
        <v>8965</v>
      </c>
    </row>
    <row r="23" spans="1:23">
      <c r="A23" t="s">
        <v>8889</v>
      </c>
      <c r="B23" t="s">
        <v>8735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  <c r="I23" t="s">
        <v>5238</v>
      </c>
      <c r="J23" t="s">
        <v>8890</v>
      </c>
      <c r="L23" t="s">
        <v>5238</v>
      </c>
      <c r="M23" t="s">
        <v>8890</v>
      </c>
      <c r="O23" t="s">
        <v>8052</v>
      </c>
      <c r="P23" t="s">
        <v>2201</v>
      </c>
      <c r="R23" t="s">
        <v>275</v>
      </c>
      <c r="S23" t="s">
        <v>3014</v>
      </c>
      <c r="U23" t="s">
        <v>8103</v>
      </c>
      <c r="W23" t="s">
        <v>8966</v>
      </c>
    </row>
    <row r="24" spans="1:23">
      <c r="A24" t="s">
        <v>8890</v>
      </c>
      <c r="B24" t="s">
        <v>8736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  <c r="I24" t="s">
        <v>5238</v>
      </c>
      <c r="J24" t="s">
        <v>8891</v>
      </c>
      <c r="L24" t="s">
        <v>5238</v>
      </c>
      <c r="M24" t="s">
        <v>8891</v>
      </c>
      <c r="O24" t="s">
        <v>4321</v>
      </c>
      <c r="P24" t="s">
        <v>4317</v>
      </c>
      <c r="R24" t="s">
        <v>275</v>
      </c>
      <c r="S24" t="s">
        <v>2168</v>
      </c>
      <c r="U24" t="s">
        <v>8103</v>
      </c>
      <c r="W24" t="s">
        <v>8967</v>
      </c>
    </row>
    <row r="25" spans="1:23">
      <c r="A25" t="s">
        <v>8891</v>
      </c>
      <c r="B25" t="s">
        <v>8737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  <c r="I25" t="s">
        <v>5238</v>
      </c>
      <c r="J25" t="s">
        <v>8892</v>
      </c>
      <c r="L25" t="s">
        <v>5238</v>
      </c>
      <c r="M25" t="s">
        <v>8892</v>
      </c>
      <c r="O25" t="s">
        <v>8031</v>
      </c>
      <c r="P25" t="s">
        <v>2676</v>
      </c>
      <c r="R25" t="s">
        <v>275</v>
      </c>
      <c r="S25" t="s">
        <v>4228</v>
      </c>
      <c r="U25" t="s">
        <v>8103</v>
      </c>
      <c r="W25" t="s">
        <v>8968</v>
      </c>
    </row>
    <row r="26" spans="1:23">
      <c r="A26" t="s">
        <v>8892</v>
      </c>
      <c r="B26" t="s">
        <v>8738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  <c r="I26" t="s">
        <v>8892</v>
      </c>
      <c r="J26" t="s">
        <v>8893</v>
      </c>
      <c r="L26" t="s">
        <v>8892</v>
      </c>
      <c r="M26" t="s">
        <v>8893</v>
      </c>
      <c r="O26" t="s">
        <v>4626</v>
      </c>
      <c r="P26" t="s">
        <v>8862</v>
      </c>
      <c r="R26" t="s">
        <v>275</v>
      </c>
      <c r="S26" t="s">
        <v>2719</v>
      </c>
      <c r="U26" t="s">
        <v>8103</v>
      </c>
      <c r="W26" t="s">
        <v>8969</v>
      </c>
    </row>
    <row r="27" spans="1:23">
      <c r="A27" t="s">
        <v>8893</v>
      </c>
      <c r="B27" t="s">
        <v>8739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  <c r="I27" t="s">
        <v>8892</v>
      </c>
      <c r="J27" t="s">
        <v>8894</v>
      </c>
      <c r="L27" t="s">
        <v>8892</v>
      </c>
      <c r="M27" t="s">
        <v>8894</v>
      </c>
      <c r="O27" t="s">
        <v>4626</v>
      </c>
      <c r="P27" t="s">
        <v>4636</v>
      </c>
      <c r="R27" t="s">
        <v>275</v>
      </c>
      <c r="S27" t="s">
        <v>4656</v>
      </c>
      <c r="U27" t="s">
        <v>8103</v>
      </c>
      <c r="W27" t="s">
        <v>8970</v>
      </c>
    </row>
    <row r="28" spans="1:23">
      <c r="A28" t="s">
        <v>8894</v>
      </c>
      <c r="B28" t="s">
        <v>8740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  <c r="I28" t="s">
        <v>8892</v>
      </c>
      <c r="J28" t="s">
        <v>8895</v>
      </c>
      <c r="L28" t="s">
        <v>8892</v>
      </c>
      <c r="M28" t="s">
        <v>8895</v>
      </c>
      <c r="O28" t="s">
        <v>4626</v>
      </c>
      <c r="P28" t="s">
        <v>8863</v>
      </c>
      <c r="R28" t="s">
        <v>275</v>
      </c>
      <c r="S28" t="s">
        <v>2690</v>
      </c>
      <c r="U28" t="s">
        <v>8105</v>
      </c>
      <c r="W28" t="s">
        <v>8971</v>
      </c>
    </row>
    <row r="29" spans="1:23">
      <c r="A29" t="s">
        <v>8895</v>
      </c>
      <c r="B29" t="s">
        <v>8741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  <c r="I29" t="s">
        <v>8892</v>
      </c>
      <c r="J29" t="s">
        <v>8896</v>
      </c>
      <c r="L29" t="s">
        <v>8892</v>
      </c>
      <c r="M29" t="s">
        <v>8896</v>
      </c>
      <c r="O29" t="s">
        <v>8017</v>
      </c>
      <c r="P29" t="s">
        <v>2100</v>
      </c>
      <c r="R29" t="s">
        <v>275</v>
      </c>
      <c r="S29" t="s">
        <v>4725</v>
      </c>
      <c r="U29" t="s">
        <v>8105</v>
      </c>
      <c r="W29" t="s">
        <v>8972</v>
      </c>
    </row>
    <row r="30" spans="1:23">
      <c r="A30" t="s">
        <v>8896</v>
      </c>
      <c r="B30" t="s">
        <v>8742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  <c r="I30" t="s">
        <v>2199</v>
      </c>
      <c r="J30" t="s">
        <v>8897</v>
      </c>
      <c r="L30" t="s">
        <v>2199</v>
      </c>
      <c r="M30" t="s">
        <v>8897</v>
      </c>
      <c r="O30" t="s">
        <v>8038</v>
      </c>
      <c r="P30" t="s">
        <v>8039</v>
      </c>
      <c r="R30" t="s">
        <v>275</v>
      </c>
      <c r="S30" t="s">
        <v>4727</v>
      </c>
      <c r="U30" t="s">
        <v>8101</v>
      </c>
      <c r="W30" t="s">
        <v>8973</v>
      </c>
    </row>
    <row r="31" spans="1:23">
      <c r="A31" t="s">
        <v>8897</v>
      </c>
      <c r="B31" t="s">
        <v>8743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  <c r="I31" t="s">
        <v>2544</v>
      </c>
      <c r="J31" t="s">
        <v>8898</v>
      </c>
      <c r="L31" t="s">
        <v>2544</v>
      </c>
      <c r="M31" t="s">
        <v>8898</v>
      </c>
      <c r="O31" t="s">
        <v>4626</v>
      </c>
      <c r="P31" t="s">
        <v>4357</v>
      </c>
      <c r="R31" t="s">
        <v>275</v>
      </c>
      <c r="S31" t="s">
        <v>4729</v>
      </c>
      <c r="U31" t="s">
        <v>8107</v>
      </c>
      <c r="W31" t="s">
        <v>8974</v>
      </c>
    </row>
    <row r="32" spans="1:23">
      <c r="A32" t="s">
        <v>8898</v>
      </c>
      <c r="B32" t="s">
        <v>8744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  <c r="I32" t="s">
        <v>8785</v>
      </c>
      <c r="J32" t="s">
        <v>8899</v>
      </c>
      <c r="L32" t="s">
        <v>8785</v>
      </c>
      <c r="M32" t="s">
        <v>8899</v>
      </c>
      <c r="O32" t="s">
        <v>4863</v>
      </c>
      <c r="P32" t="s">
        <v>4731</v>
      </c>
      <c r="R32" t="s">
        <v>275</v>
      </c>
      <c r="S32" t="s">
        <v>4926</v>
      </c>
      <c r="U32" t="s">
        <v>8111</v>
      </c>
      <c r="W32" t="s">
        <v>8975</v>
      </c>
    </row>
    <row r="33" spans="1:23">
      <c r="A33" t="s">
        <v>8899</v>
      </c>
      <c r="B33" t="s">
        <v>8745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  <c r="I33" t="s">
        <v>8785</v>
      </c>
      <c r="J33" t="s">
        <v>8900</v>
      </c>
      <c r="L33" t="s">
        <v>8785</v>
      </c>
      <c r="M33" t="s">
        <v>8900</v>
      </c>
      <c r="O33" t="s">
        <v>8785</v>
      </c>
      <c r="P33" t="s">
        <v>2142</v>
      </c>
      <c r="R33" t="s">
        <v>275</v>
      </c>
      <c r="S33" t="s">
        <v>4884</v>
      </c>
      <c r="U33" t="s">
        <v>8110</v>
      </c>
      <c r="W33" t="s">
        <v>8976</v>
      </c>
    </row>
    <row r="34" spans="1:23">
      <c r="A34" t="s">
        <v>8900</v>
      </c>
      <c r="B34" t="s">
        <v>8746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  <c r="I34" t="s">
        <v>2149</v>
      </c>
      <c r="J34" t="s">
        <v>8901</v>
      </c>
      <c r="L34" t="s">
        <v>2149</v>
      </c>
      <c r="M34" t="s">
        <v>8901</v>
      </c>
      <c r="O34" t="s">
        <v>8052</v>
      </c>
      <c r="P34" t="s">
        <v>2190</v>
      </c>
      <c r="R34" t="s">
        <v>275</v>
      </c>
      <c r="S34" t="s">
        <v>8867</v>
      </c>
      <c r="U34" t="s">
        <v>8110</v>
      </c>
      <c r="W34" t="s">
        <v>8977</v>
      </c>
    </row>
    <row r="35" spans="1:23">
      <c r="A35" t="s">
        <v>8901</v>
      </c>
      <c r="B35" t="s">
        <v>8747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  <c r="I35" t="s">
        <v>2151</v>
      </c>
      <c r="J35" t="s">
        <v>8902</v>
      </c>
      <c r="L35" t="s">
        <v>2151</v>
      </c>
      <c r="M35" t="s">
        <v>8902</v>
      </c>
      <c r="O35" t="s">
        <v>8052</v>
      </c>
      <c r="P35" t="s">
        <v>2195</v>
      </c>
      <c r="R35" t="s">
        <v>275</v>
      </c>
      <c r="S35" t="s">
        <v>4865</v>
      </c>
      <c r="U35" t="s">
        <v>8110</v>
      </c>
      <c r="W35" t="s">
        <v>8978</v>
      </c>
    </row>
    <row r="36" spans="1:23">
      <c r="A36" t="s">
        <v>8902</v>
      </c>
      <c r="B36" t="s">
        <v>8748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  <c r="I36" t="s">
        <v>2537</v>
      </c>
      <c r="J36" t="s">
        <v>8903</v>
      </c>
      <c r="L36" t="s">
        <v>2537</v>
      </c>
      <c r="M36" t="s">
        <v>8903</v>
      </c>
      <c r="O36" t="s">
        <v>8052</v>
      </c>
      <c r="P36" t="s">
        <v>2199</v>
      </c>
      <c r="R36" t="s">
        <v>275</v>
      </c>
      <c r="S36" t="s">
        <v>4887</v>
      </c>
      <c r="U36" t="s">
        <v>8110</v>
      </c>
      <c r="W36" t="s">
        <v>8979</v>
      </c>
    </row>
    <row r="37" spans="1:23">
      <c r="A37" t="s">
        <v>8903</v>
      </c>
      <c r="B37" t="s">
        <v>8749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  <c r="I37" t="s">
        <v>8785</v>
      </c>
      <c r="J37" t="s">
        <v>8904</v>
      </c>
      <c r="L37" t="s">
        <v>8785</v>
      </c>
      <c r="M37" t="s">
        <v>8904</v>
      </c>
      <c r="O37" t="s">
        <v>8052</v>
      </c>
      <c r="P37" t="s">
        <v>2203</v>
      </c>
      <c r="R37" t="s">
        <v>275</v>
      </c>
      <c r="S37" t="s">
        <v>4889</v>
      </c>
      <c r="U37" t="s">
        <v>8110</v>
      </c>
      <c r="W37" t="s">
        <v>8980</v>
      </c>
    </row>
    <row r="38" spans="1:23">
      <c r="A38" t="s">
        <v>8904</v>
      </c>
      <c r="B38" t="s">
        <v>8750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  <c r="I38" t="s">
        <v>8904</v>
      </c>
      <c r="J38" t="s">
        <v>8905</v>
      </c>
      <c r="L38" t="s">
        <v>8904</v>
      </c>
      <c r="M38" t="s">
        <v>8905</v>
      </c>
      <c r="O38" t="s">
        <v>2234</v>
      </c>
      <c r="P38" t="s">
        <v>2303</v>
      </c>
      <c r="R38" t="s">
        <v>275</v>
      </c>
      <c r="S38" t="s">
        <v>4891</v>
      </c>
      <c r="U38" t="s">
        <v>8110</v>
      </c>
      <c r="W38" t="s">
        <v>8981</v>
      </c>
    </row>
    <row r="39" spans="1:23">
      <c r="A39" t="s">
        <v>8905</v>
      </c>
      <c r="B39" t="s">
        <v>8751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  <c r="I39" t="s">
        <v>8785</v>
      </c>
      <c r="J39" t="s">
        <v>8906</v>
      </c>
      <c r="L39" t="s">
        <v>8785</v>
      </c>
      <c r="M39" t="s">
        <v>8906</v>
      </c>
      <c r="O39" t="s">
        <v>2234</v>
      </c>
      <c r="P39" t="s">
        <v>2306</v>
      </c>
      <c r="R39" t="s">
        <v>275</v>
      </c>
      <c r="S39" t="s">
        <v>4893</v>
      </c>
      <c r="U39" t="s">
        <v>8110</v>
      </c>
      <c r="W39" t="s">
        <v>8982</v>
      </c>
    </row>
    <row r="40" spans="1:23">
      <c r="A40" t="s">
        <v>8906</v>
      </c>
      <c r="B40" t="s">
        <v>8752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  <c r="I40" t="s">
        <v>8786</v>
      </c>
      <c r="J40" t="s">
        <v>8907</v>
      </c>
      <c r="L40" t="s">
        <v>8786</v>
      </c>
      <c r="M40" t="s">
        <v>8907</v>
      </c>
      <c r="O40" t="s">
        <v>2234</v>
      </c>
      <c r="P40" t="s">
        <v>2308</v>
      </c>
      <c r="R40" t="s">
        <v>275</v>
      </c>
      <c r="S40" t="s">
        <v>4895</v>
      </c>
      <c r="U40" t="s">
        <v>8110</v>
      </c>
      <c r="W40" t="s">
        <v>8983</v>
      </c>
    </row>
    <row r="41" spans="1:23">
      <c r="A41" t="s">
        <v>8907</v>
      </c>
      <c r="B41" t="s">
        <v>8753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  <c r="I41" t="s">
        <v>2418</v>
      </c>
      <c r="J41" t="s">
        <v>8908</v>
      </c>
      <c r="L41" t="s">
        <v>2418</v>
      </c>
      <c r="M41" t="s">
        <v>8908</v>
      </c>
      <c r="O41" t="s">
        <v>2482</v>
      </c>
      <c r="P41" t="s">
        <v>8864</v>
      </c>
      <c r="R41" t="s">
        <v>275</v>
      </c>
      <c r="S41" t="s">
        <v>2443</v>
      </c>
      <c r="U41" t="s">
        <v>8110</v>
      </c>
      <c r="W41" t="s">
        <v>8984</v>
      </c>
    </row>
    <row r="42" spans="1:23">
      <c r="A42" t="s">
        <v>8908</v>
      </c>
      <c r="B42" t="s">
        <v>8754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  <c r="I42" t="s">
        <v>8786</v>
      </c>
      <c r="J42" t="s">
        <v>8909</v>
      </c>
      <c r="L42" t="s">
        <v>8786</v>
      </c>
      <c r="M42" t="s">
        <v>8909</v>
      </c>
      <c r="O42" t="s">
        <v>2509</v>
      </c>
      <c r="P42" t="s">
        <v>8865</v>
      </c>
      <c r="U42" t="s">
        <v>8110</v>
      </c>
      <c r="W42" t="s">
        <v>8985</v>
      </c>
    </row>
    <row r="43" spans="1:23">
      <c r="A43" t="s">
        <v>8909</v>
      </c>
      <c r="B43" t="s">
        <v>8755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  <c r="I43" t="s">
        <v>2558</v>
      </c>
      <c r="J43" t="s">
        <v>8910</v>
      </c>
      <c r="L43" t="s">
        <v>2558</v>
      </c>
      <c r="M43" t="s">
        <v>8910</v>
      </c>
      <c r="O43" t="s">
        <v>2454</v>
      </c>
      <c r="P43" t="s">
        <v>8866</v>
      </c>
      <c r="U43" t="s">
        <v>8110</v>
      </c>
      <c r="W43" t="s">
        <v>8986</v>
      </c>
    </row>
    <row r="44" spans="1:23">
      <c r="A44" t="s">
        <v>8910</v>
      </c>
      <c r="B44" t="s">
        <v>8756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  <c r="I44" t="s">
        <v>5836</v>
      </c>
      <c r="J44" t="s">
        <v>8911</v>
      </c>
      <c r="L44" t="s">
        <v>5836</v>
      </c>
      <c r="M44" t="s">
        <v>8911</v>
      </c>
      <c r="O44" t="s">
        <v>8047</v>
      </c>
      <c r="P44" t="s">
        <v>2446</v>
      </c>
      <c r="U44" t="s">
        <v>8110</v>
      </c>
      <c r="W44" t="s">
        <v>8987</v>
      </c>
    </row>
    <row r="45" spans="1:23">
      <c r="A45" t="s">
        <v>8911</v>
      </c>
      <c r="B45" t="s">
        <v>8757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  <c r="I45" t="s">
        <v>5799</v>
      </c>
      <c r="J45" t="s">
        <v>8912</v>
      </c>
      <c r="L45" t="s">
        <v>5799</v>
      </c>
      <c r="M45" t="s">
        <v>8912</v>
      </c>
      <c r="O45" t="s">
        <v>8047</v>
      </c>
      <c r="P45" t="s">
        <v>2456</v>
      </c>
      <c r="U45" t="s">
        <v>8110</v>
      </c>
      <c r="W45" t="s">
        <v>8988</v>
      </c>
    </row>
    <row r="46" spans="1:23">
      <c r="A46" t="s">
        <v>8912</v>
      </c>
      <c r="B46" t="s">
        <v>8758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  <c r="I46" t="s">
        <v>5854</v>
      </c>
      <c r="J46" t="s">
        <v>8913</v>
      </c>
      <c r="L46" t="s">
        <v>5854</v>
      </c>
      <c r="M46" t="s">
        <v>8913</v>
      </c>
      <c r="O46" t="s">
        <v>8047</v>
      </c>
      <c r="P46" t="s">
        <v>2501</v>
      </c>
      <c r="U46" t="s">
        <v>8110</v>
      </c>
      <c r="W46" t="s">
        <v>8989</v>
      </c>
    </row>
    <row r="47" spans="1:23">
      <c r="A47" t="s">
        <v>8913</v>
      </c>
      <c r="B47" t="s">
        <v>8759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  <c r="I47" t="s">
        <v>4288</v>
      </c>
      <c r="J47" t="s">
        <v>8914</v>
      </c>
      <c r="L47" t="s">
        <v>4288</v>
      </c>
      <c r="M47" t="s">
        <v>8914</v>
      </c>
      <c r="O47" t="s">
        <v>8047</v>
      </c>
      <c r="P47" t="s">
        <v>2474</v>
      </c>
      <c r="U47" t="s">
        <v>8110</v>
      </c>
      <c r="W47" t="s">
        <v>8990</v>
      </c>
    </row>
    <row r="48" spans="1:23">
      <c r="A48" t="s">
        <v>8914</v>
      </c>
      <c r="B48" t="s">
        <v>8760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  <c r="I48" t="s">
        <v>4208</v>
      </c>
      <c r="J48" t="s">
        <v>8915</v>
      </c>
      <c r="L48" t="s">
        <v>4208</v>
      </c>
      <c r="M48" t="s">
        <v>8915</v>
      </c>
      <c r="O48" t="s">
        <v>8047</v>
      </c>
      <c r="P48" t="s">
        <v>2484</v>
      </c>
      <c r="U48" t="s">
        <v>8111</v>
      </c>
      <c r="W48" t="s">
        <v>8991</v>
      </c>
    </row>
    <row r="49" spans="1:23">
      <c r="A49" t="s">
        <v>8915</v>
      </c>
      <c r="B49" t="s">
        <v>8761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  <c r="I49" t="s">
        <v>5324</v>
      </c>
      <c r="J49" t="s">
        <v>8916</v>
      </c>
      <c r="L49" t="s">
        <v>5324</v>
      </c>
      <c r="M49" t="s">
        <v>8916</v>
      </c>
      <c r="U49" t="s">
        <v>8109</v>
      </c>
      <c r="W49" t="s">
        <v>8992</v>
      </c>
    </row>
    <row r="50" spans="1:23">
      <c r="A50" t="s">
        <v>8916</v>
      </c>
      <c r="B50" t="s">
        <v>8762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  <c r="I50" t="s">
        <v>5395</v>
      </c>
      <c r="J50" t="s">
        <v>8917</v>
      </c>
      <c r="L50" t="s">
        <v>5395</v>
      </c>
      <c r="M50" t="s">
        <v>8917</v>
      </c>
      <c r="U50" t="s">
        <v>8112</v>
      </c>
      <c r="W50" t="s">
        <v>8993</v>
      </c>
    </row>
    <row r="51" spans="1:23">
      <c r="A51" t="s">
        <v>8917</v>
      </c>
      <c r="B51" t="s">
        <v>8763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  <c r="I51" t="s">
        <v>4638</v>
      </c>
      <c r="J51" t="s">
        <v>8918</v>
      </c>
      <c r="L51" t="s">
        <v>4638</v>
      </c>
      <c r="M51" t="s">
        <v>8918</v>
      </c>
      <c r="U51" t="s">
        <v>8084</v>
      </c>
      <c r="W51" t="s">
        <v>8994</v>
      </c>
    </row>
    <row r="52" spans="1:23">
      <c r="A52" t="s">
        <v>8918</v>
      </c>
      <c r="B52" t="s">
        <v>8764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  <c r="I52" t="s">
        <v>4640</v>
      </c>
      <c r="J52" t="s">
        <v>8919</v>
      </c>
      <c r="L52" t="s">
        <v>4640</v>
      </c>
      <c r="M52" t="s">
        <v>8919</v>
      </c>
      <c r="U52" t="s">
        <v>8084</v>
      </c>
      <c r="W52" t="s">
        <v>8995</v>
      </c>
    </row>
    <row r="53" spans="1:23">
      <c r="A53" t="s">
        <v>8919</v>
      </c>
      <c r="B53" t="s">
        <v>8765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  <c r="I53" t="s">
        <v>4642</v>
      </c>
      <c r="J53" t="s">
        <v>8920</v>
      </c>
      <c r="L53" t="s">
        <v>4642</v>
      </c>
      <c r="M53" t="s">
        <v>8920</v>
      </c>
      <c r="U53" t="s">
        <v>8084</v>
      </c>
      <c r="W53" t="s">
        <v>8996</v>
      </c>
    </row>
    <row r="54" spans="1:23">
      <c r="A54" t="s">
        <v>8920</v>
      </c>
      <c r="B54" t="s">
        <v>8766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  <c r="I54" t="s">
        <v>4644</v>
      </c>
      <c r="J54" t="s">
        <v>8921</v>
      </c>
      <c r="L54" t="s">
        <v>4644</v>
      </c>
      <c r="M54" t="s">
        <v>8921</v>
      </c>
      <c r="U54" t="s">
        <v>8088</v>
      </c>
      <c r="W54" t="s">
        <v>8997</v>
      </c>
    </row>
    <row r="55" spans="1:23">
      <c r="A55" t="s">
        <v>8921</v>
      </c>
      <c r="B55" t="s">
        <v>8767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  <c r="I55" t="s">
        <v>4646</v>
      </c>
      <c r="J55" t="s">
        <v>8922</v>
      </c>
      <c r="L55" t="s">
        <v>4646</v>
      </c>
      <c r="M55" t="s">
        <v>8922</v>
      </c>
      <c r="U55" t="s">
        <v>8088</v>
      </c>
      <c r="W55" t="s">
        <v>8998</v>
      </c>
    </row>
    <row r="56" spans="1:23">
      <c r="A56" t="s">
        <v>8922</v>
      </c>
      <c r="B56" t="s">
        <v>8768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  <c r="I56" t="s">
        <v>4650</v>
      </c>
      <c r="J56" t="s">
        <v>8923</v>
      </c>
      <c r="L56" t="s">
        <v>4650</v>
      </c>
      <c r="M56" t="s">
        <v>8923</v>
      </c>
      <c r="U56" t="s">
        <v>8088</v>
      </c>
      <c r="W56" t="s">
        <v>8999</v>
      </c>
    </row>
    <row r="57" spans="1:23">
      <c r="A57" t="s">
        <v>8923</v>
      </c>
      <c r="B57" t="s">
        <v>8769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  <c r="I57" t="s">
        <v>4652</v>
      </c>
      <c r="J57" t="s">
        <v>8924</v>
      </c>
      <c r="L57" t="s">
        <v>4652</v>
      </c>
      <c r="M57" t="s">
        <v>8924</v>
      </c>
      <c r="U57" t="s">
        <v>8086</v>
      </c>
      <c r="W57" t="s">
        <v>9000</v>
      </c>
    </row>
    <row r="58" spans="1:23">
      <c r="A58" t="s">
        <v>8924</v>
      </c>
      <c r="B58" t="s">
        <v>8770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  <c r="I58" t="s">
        <v>4654</v>
      </c>
      <c r="J58" t="s">
        <v>8925</v>
      </c>
      <c r="L58" t="s">
        <v>4654</v>
      </c>
      <c r="M58" t="s">
        <v>8925</v>
      </c>
      <c r="U58" t="s">
        <v>8086</v>
      </c>
      <c r="W58" t="s">
        <v>9001</v>
      </c>
    </row>
    <row r="59" spans="1:23">
      <c r="A59" t="s">
        <v>8925</v>
      </c>
      <c r="B59" t="s">
        <v>8771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  <c r="I59" t="s">
        <v>7804</v>
      </c>
      <c r="J59" t="s">
        <v>8926</v>
      </c>
      <c r="L59" t="s">
        <v>7804</v>
      </c>
      <c r="M59" t="s">
        <v>8926</v>
      </c>
      <c r="U59" t="s">
        <v>8086</v>
      </c>
      <c r="W59" t="s">
        <v>9002</v>
      </c>
    </row>
    <row r="60" spans="1:23">
      <c r="A60" t="s">
        <v>8926</v>
      </c>
      <c r="B60" t="s">
        <v>8768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  <c r="I60" t="s">
        <v>7813</v>
      </c>
      <c r="J60" t="s">
        <v>8927</v>
      </c>
      <c r="L60" t="s">
        <v>7813</v>
      </c>
      <c r="M60" t="s">
        <v>8927</v>
      </c>
      <c r="U60" t="s">
        <v>8076</v>
      </c>
      <c r="W60" t="s">
        <v>9003</v>
      </c>
    </row>
    <row r="61" spans="1:23">
      <c r="A61" t="s">
        <v>8927</v>
      </c>
      <c r="B61" t="s">
        <v>8772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  <c r="I61" t="s">
        <v>7814</v>
      </c>
      <c r="J61" t="s">
        <v>8928</v>
      </c>
      <c r="L61" t="s">
        <v>7814</v>
      </c>
      <c r="M61" t="s">
        <v>8928</v>
      </c>
      <c r="U61" t="s">
        <v>8076</v>
      </c>
      <c r="W61" t="s">
        <v>9004</v>
      </c>
    </row>
    <row r="62" spans="1:23">
      <c r="A62" t="s">
        <v>8928</v>
      </c>
      <c r="B62" t="s">
        <v>8771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  <c r="I62" t="s">
        <v>7814</v>
      </c>
      <c r="J62" t="s">
        <v>8929</v>
      </c>
      <c r="L62" t="s">
        <v>7814</v>
      </c>
      <c r="M62" t="s">
        <v>8929</v>
      </c>
      <c r="U62" t="s">
        <v>8094</v>
      </c>
      <c r="W62" t="s">
        <v>9005</v>
      </c>
    </row>
    <row r="63" spans="1:23">
      <c r="A63" t="s">
        <v>8929</v>
      </c>
      <c r="B63" t="s">
        <v>4686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  <c r="I63" t="s">
        <v>7814</v>
      </c>
      <c r="J63" t="s">
        <v>8930</v>
      </c>
      <c r="L63" t="s">
        <v>7814</v>
      </c>
      <c r="M63" t="s">
        <v>8930</v>
      </c>
      <c r="U63" t="s">
        <v>8090</v>
      </c>
      <c r="W63" t="s">
        <v>9006</v>
      </c>
    </row>
    <row r="64" spans="1:23">
      <c r="A64" t="s">
        <v>8930</v>
      </c>
      <c r="B64" t="s">
        <v>8773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  <c r="I64" t="s">
        <v>4638</v>
      </c>
      <c r="J64" t="s">
        <v>8931</v>
      </c>
      <c r="L64" t="s">
        <v>4638</v>
      </c>
      <c r="M64" t="s">
        <v>8931</v>
      </c>
      <c r="U64" t="s">
        <v>8090</v>
      </c>
      <c r="W64" t="s">
        <v>9007</v>
      </c>
    </row>
    <row r="65" spans="1:23">
      <c r="A65" t="s">
        <v>8931</v>
      </c>
      <c r="B65" t="s">
        <v>8774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  <c r="I65" t="s">
        <v>4640</v>
      </c>
      <c r="J65" t="s">
        <v>8932</v>
      </c>
      <c r="L65" t="s">
        <v>4640</v>
      </c>
      <c r="M65" t="s">
        <v>8932</v>
      </c>
      <c r="U65" t="s">
        <v>8096</v>
      </c>
      <c r="W65" t="s">
        <v>9008</v>
      </c>
    </row>
    <row r="66" spans="1:23">
      <c r="A66" t="s">
        <v>8932</v>
      </c>
      <c r="B66" t="s">
        <v>8775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  <c r="I66" t="s">
        <v>4642</v>
      </c>
      <c r="J66" t="s">
        <v>8933</v>
      </c>
      <c r="L66" t="s">
        <v>4642</v>
      </c>
      <c r="M66" t="s">
        <v>8933</v>
      </c>
      <c r="U66" t="s">
        <v>8096</v>
      </c>
      <c r="W66" t="s">
        <v>9009</v>
      </c>
    </row>
    <row r="67" spans="1:23">
      <c r="A67" t="s">
        <v>8933</v>
      </c>
      <c r="B67" t="s">
        <v>8776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  <c r="I67" t="s">
        <v>4644</v>
      </c>
      <c r="J67" t="s">
        <v>8934</v>
      </c>
      <c r="L67" t="s">
        <v>4644</v>
      </c>
      <c r="M67" t="s">
        <v>8934</v>
      </c>
      <c r="U67" t="s">
        <v>8096</v>
      </c>
      <c r="W67" t="s">
        <v>9010</v>
      </c>
    </row>
    <row r="68" spans="1:23">
      <c r="A68" t="s">
        <v>8934</v>
      </c>
      <c r="B68" t="s">
        <v>8777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  <c r="I68" t="s">
        <v>4646</v>
      </c>
      <c r="J68" t="s">
        <v>8935</v>
      </c>
      <c r="L68" t="s">
        <v>4646</v>
      </c>
      <c r="M68" t="s">
        <v>8935</v>
      </c>
      <c r="U68" t="s">
        <v>8096</v>
      </c>
      <c r="W68" t="s">
        <v>9011</v>
      </c>
    </row>
    <row r="69" spans="1:23">
      <c r="A69" t="s">
        <v>8935</v>
      </c>
      <c r="B69" t="s">
        <v>8778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  <c r="I69" t="s">
        <v>4650</v>
      </c>
      <c r="J69" t="s">
        <v>8936</v>
      </c>
      <c r="L69" t="s">
        <v>4650</v>
      </c>
      <c r="M69" t="s">
        <v>8936</v>
      </c>
      <c r="U69" t="s">
        <v>8096</v>
      </c>
      <c r="W69" t="s">
        <v>9012</v>
      </c>
    </row>
    <row r="70" spans="1:23">
      <c r="A70" t="s">
        <v>8936</v>
      </c>
      <c r="B70" t="s">
        <v>8779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  <c r="I70" t="s">
        <v>4652</v>
      </c>
      <c r="J70" t="s">
        <v>8937</v>
      </c>
      <c r="L70" t="s">
        <v>4652</v>
      </c>
      <c r="M70" t="s">
        <v>8937</v>
      </c>
      <c r="U70" t="s">
        <v>8096</v>
      </c>
      <c r="W70" t="s">
        <v>9013</v>
      </c>
    </row>
    <row r="71" spans="1:23">
      <c r="A71" t="s">
        <v>8937</v>
      </c>
      <c r="B71" t="s">
        <v>8780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  <c r="I71" t="s">
        <v>4654</v>
      </c>
      <c r="J71" t="s">
        <v>8938</v>
      </c>
      <c r="L71" t="s">
        <v>4654</v>
      </c>
      <c r="M71" t="s">
        <v>8938</v>
      </c>
      <c r="U71" t="s">
        <v>8096</v>
      </c>
      <c r="W71" t="s">
        <v>9014</v>
      </c>
    </row>
    <row r="72" spans="1:23">
      <c r="A72" t="s">
        <v>8938</v>
      </c>
      <c r="B72" t="s">
        <v>8773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  <c r="I72" t="s">
        <v>7804</v>
      </c>
      <c r="J72" t="s">
        <v>8939</v>
      </c>
      <c r="L72" t="s">
        <v>7804</v>
      </c>
      <c r="M72" t="s">
        <v>8939</v>
      </c>
      <c r="U72" t="s">
        <v>8096</v>
      </c>
      <c r="W72" t="s">
        <v>9015</v>
      </c>
    </row>
    <row r="73" spans="1:23">
      <c r="A73" t="s">
        <v>8939</v>
      </c>
      <c r="B73" t="s">
        <v>8778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  <c r="I73" t="s">
        <v>7813</v>
      </c>
      <c r="J73" t="s">
        <v>8940</v>
      </c>
      <c r="L73" t="s">
        <v>7813</v>
      </c>
      <c r="M73" t="s">
        <v>8940</v>
      </c>
      <c r="U73" t="s">
        <v>8096</v>
      </c>
      <c r="W73" t="s">
        <v>9016</v>
      </c>
    </row>
    <row r="74" spans="1:23">
      <c r="A74" t="s">
        <v>8940</v>
      </c>
      <c r="B74" t="s">
        <v>8781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  <c r="I74" t="s">
        <v>7813</v>
      </c>
      <c r="J74" t="s">
        <v>8941</v>
      </c>
      <c r="L74" t="s">
        <v>7813</v>
      </c>
      <c r="M74" t="s">
        <v>8941</v>
      </c>
      <c r="U74" t="s">
        <v>8096</v>
      </c>
      <c r="W74" t="s">
        <v>9017</v>
      </c>
    </row>
    <row r="75" spans="1:23">
      <c r="A75" t="s">
        <v>8941</v>
      </c>
      <c r="B75" t="s">
        <v>8782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  <c r="I75" t="s">
        <v>7804</v>
      </c>
      <c r="J75" t="s">
        <v>8942</v>
      </c>
      <c r="L75" t="s">
        <v>7804</v>
      </c>
      <c r="M75" t="s">
        <v>8942</v>
      </c>
      <c r="U75" t="s">
        <v>8096</v>
      </c>
      <c r="W75" t="s">
        <v>9018</v>
      </c>
    </row>
    <row r="76" spans="1:23">
      <c r="A76" t="s">
        <v>8942</v>
      </c>
      <c r="B76" t="s">
        <v>4674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  <c r="I76" t="s">
        <v>8047</v>
      </c>
      <c r="J76" t="s">
        <v>8943</v>
      </c>
      <c r="L76" t="s">
        <v>8047</v>
      </c>
      <c r="M76" t="s">
        <v>8943</v>
      </c>
      <c r="U76" t="s">
        <v>8096</v>
      </c>
      <c r="W76" t="s">
        <v>9019</v>
      </c>
    </row>
    <row r="77" spans="1:23">
      <c r="A77" t="s">
        <v>8943</v>
      </c>
      <c r="B77" t="s">
        <v>8783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  <c r="I77" t="s">
        <v>4208</v>
      </c>
      <c r="J77" t="s">
        <v>4212</v>
      </c>
      <c r="U77" t="s">
        <v>8096</v>
      </c>
      <c r="W77" t="s">
        <v>9020</v>
      </c>
    </row>
    <row r="78" spans="1:23">
      <c r="A78" t="s">
        <v>3336</v>
      </c>
      <c r="B78" t="s">
        <v>8787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  <c r="I78" t="s">
        <v>5350</v>
      </c>
      <c r="J78" t="s">
        <v>5220</v>
      </c>
      <c r="U78" t="s">
        <v>8096</v>
      </c>
      <c r="W78" t="s">
        <v>9021</v>
      </c>
    </row>
    <row r="79" spans="1:23">
      <c r="A79" t="s">
        <v>722</v>
      </c>
      <c r="B79" t="s">
        <v>8788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  <c r="I79" t="s">
        <v>5324</v>
      </c>
      <c r="J79" t="s">
        <v>5327</v>
      </c>
      <c r="U79" t="s">
        <v>8096</v>
      </c>
      <c r="W79" t="s">
        <v>9022</v>
      </c>
    </row>
    <row r="80" spans="1:23">
      <c r="A80" t="s">
        <v>4297</v>
      </c>
      <c r="B80" t="s">
        <v>8789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  <c r="I80" t="s">
        <v>5350</v>
      </c>
      <c r="J80" t="s">
        <v>5355</v>
      </c>
      <c r="U80" t="s">
        <v>8096</v>
      </c>
      <c r="W80" t="s">
        <v>9023</v>
      </c>
    </row>
    <row r="81" spans="1:23">
      <c r="A81" t="s">
        <v>4210</v>
      </c>
      <c r="B81" t="s">
        <v>8790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  <c r="I81" t="s">
        <v>5395</v>
      </c>
      <c r="J81" t="s">
        <v>5396</v>
      </c>
      <c r="U81" t="s">
        <v>8096</v>
      </c>
      <c r="W81" t="s">
        <v>9024</v>
      </c>
    </row>
    <row r="82" spans="1:23">
      <c r="A82" t="s">
        <v>5322</v>
      </c>
      <c r="B82" t="s">
        <v>8791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  <c r="I82" t="s">
        <v>4861</v>
      </c>
      <c r="J82" t="s">
        <v>6434</v>
      </c>
      <c r="U82" t="s">
        <v>8047</v>
      </c>
      <c r="W82" t="s">
        <v>9025</v>
      </c>
    </row>
    <row r="83" spans="1:23">
      <c r="A83" t="s">
        <v>5348</v>
      </c>
      <c r="B83" t="s">
        <v>8792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  <c r="I83" t="s">
        <v>4861</v>
      </c>
      <c r="J83" t="s">
        <v>6435</v>
      </c>
      <c r="U83" t="s">
        <v>8047</v>
      </c>
      <c r="W83" t="s">
        <v>9026</v>
      </c>
    </row>
    <row r="84" spans="1:23">
      <c r="A84" t="s">
        <v>5873</v>
      </c>
      <c r="B84" t="s">
        <v>8793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  <c r="I84" t="s">
        <v>4861</v>
      </c>
      <c r="J84" t="s">
        <v>6436</v>
      </c>
      <c r="U84" t="s">
        <v>8047</v>
      </c>
      <c r="W84" t="s">
        <v>9027</v>
      </c>
    </row>
    <row r="85" spans="1:23">
      <c r="A85" t="s">
        <v>5393</v>
      </c>
      <c r="B85" t="s">
        <v>8794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  <c r="I85" t="s">
        <v>4861</v>
      </c>
      <c r="J85" t="s">
        <v>6437</v>
      </c>
      <c r="U85" t="s">
        <v>8047</v>
      </c>
      <c r="W85" t="s">
        <v>9028</v>
      </c>
    </row>
    <row r="86" spans="1:23">
      <c r="A86" t="s">
        <v>5890</v>
      </c>
      <c r="B86" t="s">
        <v>8795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  <c r="I86" t="s">
        <v>2688</v>
      </c>
      <c r="J86" t="s">
        <v>4875</v>
      </c>
      <c r="U86" t="s">
        <v>8047</v>
      </c>
      <c r="W86" t="s">
        <v>9029</v>
      </c>
    </row>
    <row r="87" spans="1:23">
      <c r="A87" t="s">
        <v>8796</v>
      </c>
      <c r="B87" t="s">
        <v>8797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  <c r="I87" t="s">
        <v>2688</v>
      </c>
      <c r="J87" t="s">
        <v>4877</v>
      </c>
      <c r="U87" t="s">
        <v>8047</v>
      </c>
      <c r="W87" t="s">
        <v>9030</v>
      </c>
    </row>
    <row r="88" spans="1:23">
      <c r="A88" t="s">
        <v>8798</v>
      </c>
      <c r="B88" t="s">
        <v>8799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  <c r="I88" t="s">
        <v>2688</v>
      </c>
      <c r="J88" t="s">
        <v>4879</v>
      </c>
    </row>
    <row r="89" spans="1:23">
      <c r="A89" t="s">
        <v>8800</v>
      </c>
      <c r="B89" t="s">
        <v>8801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  <c r="I89" t="s">
        <v>4861</v>
      </c>
      <c r="J89" t="s">
        <v>4921</v>
      </c>
    </row>
    <row r="90" spans="1:23">
      <c r="A90" t="s">
        <v>2445</v>
      </c>
      <c r="B90" t="s">
        <v>8802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  <c r="I90" t="s">
        <v>4861</v>
      </c>
      <c r="J90" t="s">
        <v>4922</v>
      </c>
    </row>
    <row r="91" spans="1:23">
      <c r="A91" t="s">
        <v>1621</v>
      </c>
      <c r="B91" t="s">
        <v>8803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  <c r="I91" t="s">
        <v>2688</v>
      </c>
      <c r="J91" t="s">
        <v>4923</v>
      </c>
    </row>
    <row r="92" spans="1:23">
      <c r="A92" t="s">
        <v>2500</v>
      </c>
      <c r="B92" t="s">
        <v>8804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  <c r="I92" t="s">
        <v>4923</v>
      </c>
      <c r="J92" t="s">
        <v>4882</v>
      </c>
    </row>
    <row r="93" spans="1:23">
      <c r="A93" t="s">
        <v>4857</v>
      </c>
      <c r="B93" t="s">
        <v>8805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  <c r="I93" t="s">
        <v>4923</v>
      </c>
      <c r="J93" t="s">
        <v>4924</v>
      </c>
    </row>
    <row r="94" spans="1:23">
      <c r="A94" t="s">
        <v>4861</v>
      </c>
      <c r="B94" t="s">
        <v>8806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  <c r="I94" t="s">
        <v>2688</v>
      </c>
      <c r="J94" t="s">
        <v>4925</v>
      </c>
    </row>
    <row r="95" spans="1:23">
      <c r="A95" t="s">
        <v>4863</v>
      </c>
      <c r="B95" t="s">
        <v>8807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  <c r="I95" t="s">
        <v>2142</v>
      </c>
      <c r="J95" t="s">
        <v>2144</v>
      </c>
    </row>
    <row r="96" spans="1:23">
      <c r="A96" t="s">
        <v>2537</v>
      </c>
      <c r="B96" t="s">
        <v>8808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  <c r="I96" t="s">
        <v>2195</v>
      </c>
      <c r="J96" t="s">
        <v>3190</v>
      </c>
    </row>
    <row r="97" spans="1:10">
      <c r="A97" t="s">
        <v>2535</v>
      </c>
      <c r="B97" t="s">
        <v>8809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  <c r="I97" t="s">
        <v>2190</v>
      </c>
      <c r="J97" t="s">
        <v>2197</v>
      </c>
    </row>
    <row r="98" spans="1:10">
      <c r="A98" t="s">
        <v>2538</v>
      </c>
      <c r="B98" t="s">
        <v>8810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  <c r="I98" t="s">
        <v>8052</v>
      </c>
      <c r="J98" t="s">
        <v>2201</v>
      </c>
    </row>
    <row r="99" spans="1:10">
      <c r="A99" t="s">
        <v>2540</v>
      </c>
      <c r="B99" t="s">
        <v>8811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</row>
    <row r="100" spans="1:10">
      <c r="A100" t="s">
        <v>2418</v>
      </c>
      <c r="B100" t="s">
        <v>8812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</row>
    <row r="101" spans="1:10">
      <c r="A101" t="s">
        <v>2558</v>
      </c>
      <c r="B101" t="s">
        <v>8813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</row>
    <row r="102" spans="1:10">
      <c r="A102" t="s">
        <v>2556</v>
      </c>
      <c r="B102" t="s">
        <v>8814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</row>
    <row r="103" spans="1:10">
      <c r="A103" t="s">
        <v>2559</v>
      </c>
      <c r="B103" t="s">
        <v>8815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</row>
    <row r="104" spans="1:10">
      <c r="A104" t="s">
        <v>2561</v>
      </c>
      <c r="B104" t="s">
        <v>8816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</row>
    <row r="105" spans="1:10">
      <c r="A105" t="s">
        <v>8817</v>
      </c>
      <c r="B105" t="s">
        <v>8818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</row>
    <row r="106" spans="1:10">
      <c r="A106" t="s">
        <v>5926</v>
      </c>
      <c r="B106" t="s">
        <v>8819</v>
      </c>
      <c r="C106" t="s">
        <v>4938</v>
      </c>
      <c r="D106" t="s">
        <v>4938</v>
      </c>
      <c r="E106" t="s">
        <v>4938</v>
      </c>
      <c r="F106" t="s">
        <v>4938</v>
      </c>
      <c r="G106" t="s">
        <v>4938</v>
      </c>
    </row>
    <row r="107" spans="1:10">
      <c r="A107" t="s">
        <v>8820</v>
      </c>
      <c r="B107" t="s">
        <v>8821</v>
      </c>
      <c r="C107" t="s">
        <v>4938</v>
      </c>
      <c r="D107" t="s">
        <v>4938</v>
      </c>
      <c r="E107" t="s">
        <v>4938</v>
      </c>
      <c r="F107" t="s">
        <v>4938</v>
      </c>
      <c r="G107" t="s">
        <v>4938</v>
      </c>
    </row>
    <row r="108" spans="1:10">
      <c r="A108" t="s">
        <v>8822</v>
      </c>
      <c r="B108" t="s">
        <v>8823</v>
      </c>
      <c r="C108" t="s">
        <v>4938</v>
      </c>
      <c r="D108" t="s">
        <v>4938</v>
      </c>
      <c r="E108" t="s">
        <v>4938</v>
      </c>
      <c r="F108" t="s">
        <v>4938</v>
      </c>
      <c r="G108" t="s">
        <v>4938</v>
      </c>
    </row>
    <row r="109" spans="1:10">
      <c r="A109" t="s">
        <v>8824</v>
      </c>
      <c r="B109" t="s">
        <v>8823</v>
      </c>
      <c r="C109" t="s">
        <v>4938</v>
      </c>
      <c r="D109" t="s">
        <v>4938</v>
      </c>
      <c r="E109" t="s">
        <v>4938</v>
      </c>
      <c r="F109" t="s">
        <v>4938</v>
      </c>
      <c r="G109" t="s">
        <v>4938</v>
      </c>
    </row>
    <row r="110" spans="1:10">
      <c r="A110" t="s">
        <v>8825</v>
      </c>
      <c r="B110" t="s">
        <v>8826</v>
      </c>
      <c r="C110" t="s">
        <v>4938</v>
      </c>
      <c r="D110" t="s">
        <v>4938</v>
      </c>
      <c r="E110" t="s">
        <v>4938</v>
      </c>
      <c r="F110" t="s">
        <v>4938</v>
      </c>
      <c r="G110" t="s">
        <v>4938</v>
      </c>
    </row>
    <row r="111" spans="1:10">
      <c r="A111" t="s">
        <v>8827</v>
      </c>
      <c r="B111" t="s">
        <v>8828</v>
      </c>
      <c r="C111" t="s">
        <v>4938</v>
      </c>
      <c r="D111" t="s">
        <v>4938</v>
      </c>
      <c r="E111" t="s">
        <v>4938</v>
      </c>
      <c r="F111" t="s">
        <v>4938</v>
      </c>
      <c r="G111" t="s">
        <v>4938</v>
      </c>
    </row>
    <row r="112" spans="1:10">
      <c r="A112" t="s">
        <v>8829</v>
      </c>
      <c r="B112" t="s">
        <v>8830</v>
      </c>
      <c r="C112" t="s">
        <v>4938</v>
      </c>
      <c r="D112" t="s">
        <v>4938</v>
      </c>
      <c r="E112" t="s">
        <v>4938</v>
      </c>
      <c r="F112" t="s">
        <v>4938</v>
      </c>
      <c r="G112" t="s">
        <v>4938</v>
      </c>
    </row>
    <row r="113" spans="1:7">
      <c r="A113" t="s">
        <v>2192</v>
      </c>
      <c r="B113" t="s">
        <v>8831</v>
      </c>
      <c r="C113" t="s">
        <v>4938</v>
      </c>
      <c r="D113" t="s">
        <v>4938</v>
      </c>
      <c r="E113" t="s">
        <v>4938</v>
      </c>
      <c r="F113" t="s">
        <v>4938</v>
      </c>
      <c r="G113" t="s">
        <v>4938</v>
      </c>
    </row>
    <row r="114" spans="1:7">
      <c r="A114" t="s">
        <v>2542</v>
      </c>
      <c r="B114" t="s">
        <v>8832</v>
      </c>
      <c r="C114" t="s">
        <v>4938</v>
      </c>
      <c r="D114" t="s">
        <v>4938</v>
      </c>
      <c r="E114" t="s">
        <v>4938</v>
      </c>
      <c r="F114" t="s">
        <v>4938</v>
      </c>
      <c r="G114" t="s">
        <v>4938</v>
      </c>
    </row>
    <row r="115" spans="1:7">
      <c r="A115" t="s">
        <v>2545</v>
      </c>
      <c r="B115" t="s">
        <v>8833</v>
      </c>
      <c r="C115" t="s">
        <v>4938</v>
      </c>
      <c r="D115" t="s">
        <v>4938</v>
      </c>
      <c r="E115" t="s">
        <v>4938</v>
      </c>
      <c r="F115" t="s">
        <v>4938</v>
      </c>
      <c r="G115" t="s">
        <v>4938</v>
      </c>
    </row>
    <row r="116" spans="1:7">
      <c r="A116" t="s">
        <v>2547</v>
      </c>
      <c r="B116" t="s">
        <v>8834</v>
      </c>
      <c r="C116" t="s">
        <v>4938</v>
      </c>
      <c r="D116" t="s">
        <v>4938</v>
      </c>
      <c r="E116" t="s">
        <v>4938</v>
      </c>
      <c r="F116" t="s">
        <v>4938</v>
      </c>
      <c r="G116" t="s">
        <v>4938</v>
      </c>
    </row>
    <row r="117" spans="1:7">
      <c r="A117" t="s">
        <v>5238</v>
      </c>
      <c r="B117" t="s">
        <v>8835</v>
      </c>
      <c r="C117" t="s">
        <v>4938</v>
      </c>
      <c r="D117" t="s">
        <v>4938</v>
      </c>
      <c r="E117" t="s">
        <v>4938</v>
      </c>
      <c r="F117" t="s">
        <v>4938</v>
      </c>
      <c r="G117" t="s">
        <v>4938</v>
      </c>
    </row>
    <row r="118" spans="1:7">
      <c r="A118" t="s">
        <v>2305</v>
      </c>
      <c r="B118" t="s">
        <v>8836</v>
      </c>
      <c r="C118" t="s">
        <v>4938</v>
      </c>
      <c r="D118" t="s">
        <v>4938</v>
      </c>
      <c r="E118" t="s">
        <v>4938</v>
      </c>
      <c r="F118" t="s">
        <v>4938</v>
      </c>
      <c r="G118" t="s">
        <v>4938</v>
      </c>
    </row>
    <row r="119" spans="1:7">
      <c r="A119" t="s">
        <v>2549</v>
      </c>
      <c r="B119" t="s">
        <v>8837</v>
      </c>
      <c r="C119" t="s">
        <v>4938</v>
      </c>
      <c r="D119" t="s">
        <v>4938</v>
      </c>
      <c r="E119" t="s">
        <v>4938</v>
      </c>
      <c r="F119" t="s">
        <v>4938</v>
      </c>
      <c r="G119" t="s">
        <v>4938</v>
      </c>
    </row>
    <row r="120" spans="1:7">
      <c r="A120" t="s">
        <v>2552</v>
      </c>
      <c r="B120" t="s">
        <v>8838</v>
      </c>
      <c r="C120" t="s">
        <v>4938</v>
      </c>
      <c r="D120" t="s">
        <v>4938</v>
      </c>
      <c r="E120" t="s">
        <v>4938</v>
      </c>
      <c r="F120" t="s">
        <v>4938</v>
      </c>
      <c r="G120" t="s">
        <v>4938</v>
      </c>
    </row>
    <row r="121" spans="1:7">
      <c r="A121" t="s">
        <v>2554</v>
      </c>
      <c r="B121" t="s">
        <v>8839</v>
      </c>
      <c r="C121" t="s">
        <v>4938</v>
      </c>
      <c r="D121" t="s">
        <v>4938</v>
      </c>
      <c r="E121" t="s">
        <v>4938</v>
      </c>
      <c r="F121" t="s">
        <v>4938</v>
      </c>
      <c r="G121" t="s">
        <v>4938</v>
      </c>
    </row>
    <row r="122" spans="1:7">
      <c r="A122" t="s">
        <v>4212</v>
      </c>
      <c r="B122" t="s">
        <v>8840</v>
      </c>
      <c r="C122" t="s">
        <v>4938</v>
      </c>
      <c r="D122" t="s">
        <v>4938</v>
      </c>
      <c r="E122" t="s">
        <v>4938</v>
      </c>
      <c r="F122" t="s">
        <v>4938</v>
      </c>
      <c r="G122" t="s">
        <v>4938</v>
      </c>
    </row>
    <row r="123" spans="1:7">
      <c r="A123" t="s">
        <v>5220</v>
      </c>
      <c r="B123" t="s">
        <v>8841</v>
      </c>
      <c r="C123" t="s">
        <v>4938</v>
      </c>
      <c r="D123" t="s">
        <v>4938</v>
      </c>
      <c r="E123" t="s">
        <v>4938</v>
      </c>
      <c r="F123" t="s">
        <v>4938</v>
      </c>
      <c r="G123" t="s">
        <v>4938</v>
      </c>
    </row>
    <row r="124" spans="1:7">
      <c r="A124" t="s">
        <v>5327</v>
      </c>
      <c r="B124" t="s">
        <v>8842</v>
      </c>
      <c r="C124" t="s">
        <v>4938</v>
      </c>
      <c r="D124" t="s">
        <v>4938</v>
      </c>
      <c r="E124" t="s">
        <v>4938</v>
      </c>
      <c r="F124" t="s">
        <v>4938</v>
      </c>
      <c r="G124" t="s">
        <v>4938</v>
      </c>
    </row>
    <row r="125" spans="1:7">
      <c r="A125" t="s">
        <v>5355</v>
      </c>
      <c r="B125" t="s">
        <v>8843</v>
      </c>
      <c r="C125" t="s">
        <v>4938</v>
      </c>
      <c r="D125" t="s">
        <v>4938</v>
      </c>
      <c r="E125" t="s">
        <v>4938</v>
      </c>
      <c r="F125" t="s">
        <v>4938</v>
      </c>
      <c r="G125" t="s">
        <v>4938</v>
      </c>
    </row>
    <row r="126" spans="1:7">
      <c r="A126" t="s">
        <v>5396</v>
      </c>
      <c r="B126" t="s">
        <v>8844</v>
      </c>
      <c r="C126" t="s">
        <v>4938</v>
      </c>
      <c r="D126" t="s">
        <v>4938</v>
      </c>
      <c r="E126" t="s">
        <v>4938</v>
      </c>
      <c r="F126" t="s">
        <v>4938</v>
      </c>
      <c r="G126" t="s">
        <v>4938</v>
      </c>
    </row>
    <row r="127" spans="1:7">
      <c r="A127" t="s">
        <v>6434</v>
      </c>
      <c r="B127" t="s">
        <v>8845</v>
      </c>
      <c r="C127" t="s">
        <v>4938</v>
      </c>
      <c r="D127" t="s">
        <v>4938</v>
      </c>
      <c r="E127" t="s">
        <v>4938</v>
      </c>
      <c r="F127" t="s">
        <v>4938</v>
      </c>
      <c r="G127" t="s">
        <v>4938</v>
      </c>
    </row>
    <row r="128" spans="1:7">
      <c r="A128" t="s">
        <v>6435</v>
      </c>
      <c r="B128" t="s">
        <v>8846</v>
      </c>
      <c r="C128" t="s">
        <v>4938</v>
      </c>
      <c r="D128" t="s">
        <v>4938</v>
      </c>
      <c r="E128" t="s">
        <v>4938</v>
      </c>
      <c r="F128" t="s">
        <v>4938</v>
      </c>
      <c r="G128" t="s">
        <v>4938</v>
      </c>
    </row>
    <row r="129" spans="1:7">
      <c r="A129" t="s">
        <v>6436</v>
      </c>
      <c r="B129" t="s">
        <v>8847</v>
      </c>
      <c r="C129" t="s">
        <v>4938</v>
      </c>
      <c r="D129" t="s">
        <v>4938</v>
      </c>
      <c r="E129" t="s">
        <v>4938</v>
      </c>
      <c r="F129" t="s">
        <v>4938</v>
      </c>
      <c r="G129" t="s">
        <v>4938</v>
      </c>
    </row>
    <row r="130" spans="1:7">
      <c r="A130" t="s">
        <v>6437</v>
      </c>
      <c r="B130" t="s">
        <v>8848</v>
      </c>
      <c r="C130" t="s">
        <v>4938</v>
      </c>
      <c r="D130" t="s">
        <v>4938</v>
      </c>
      <c r="E130" t="s">
        <v>4938</v>
      </c>
      <c r="F130" t="s">
        <v>4938</v>
      </c>
      <c r="G130" t="s">
        <v>4938</v>
      </c>
    </row>
    <row r="131" spans="1:7">
      <c r="A131" t="s">
        <v>4875</v>
      </c>
      <c r="B131" t="s">
        <v>8849</v>
      </c>
      <c r="C131" t="s">
        <v>4938</v>
      </c>
      <c r="D131" t="s">
        <v>4938</v>
      </c>
      <c r="E131" t="s">
        <v>4938</v>
      </c>
      <c r="F131" t="s">
        <v>4938</v>
      </c>
      <c r="G131" t="s">
        <v>4938</v>
      </c>
    </row>
    <row r="132" spans="1:7">
      <c r="A132" t="s">
        <v>4877</v>
      </c>
      <c r="B132" t="s">
        <v>8850</v>
      </c>
      <c r="C132" t="s">
        <v>4938</v>
      </c>
      <c r="D132" t="s">
        <v>4938</v>
      </c>
      <c r="E132" t="s">
        <v>4938</v>
      </c>
      <c r="F132" t="s">
        <v>4938</v>
      </c>
      <c r="G132" t="s">
        <v>4938</v>
      </c>
    </row>
    <row r="133" spans="1:7">
      <c r="A133" t="s">
        <v>4879</v>
      </c>
      <c r="B133" t="s">
        <v>8851</v>
      </c>
      <c r="C133" t="s">
        <v>4938</v>
      </c>
      <c r="D133" t="s">
        <v>4938</v>
      </c>
      <c r="E133" t="s">
        <v>4938</v>
      </c>
      <c r="F133" t="s">
        <v>4938</v>
      </c>
      <c r="G133" t="s">
        <v>4938</v>
      </c>
    </row>
    <row r="134" spans="1:7">
      <c r="A134" t="s">
        <v>4921</v>
      </c>
      <c r="B134" t="s">
        <v>8852</v>
      </c>
      <c r="C134" t="s">
        <v>4938</v>
      </c>
      <c r="D134" t="s">
        <v>4938</v>
      </c>
      <c r="E134" t="s">
        <v>4938</v>
      </c>
      <c r="F134" t="s">
        <v>4938</v>
      </c>
      <c r="G134" t="s">
        <v>4938</v>
      </c>
    </row>
    <row r="135" spans="1:7">
      <c r="A135" t="s">
        <v>4922</v>
      </c>
      <c r="B135" t="s">
        <v>8853</v>
      </c>
      <c r="C135" t="s">
        <v>4938</v>
      </c>
      <c r="D135" t="s">
        <v>4938</v>
      </c>
      <c r="E135" t="s">
        <v>4938</v>
      </c>
      <c r="F135" t="s">
        <v>4938</v>
      </c>
      <c r="G135" t="s">
        <v>4938</v>
      </c>
    </row>
    <row r="136" spans="1:7">
      <c r="A136" t="s">
        <v>4923</v>
      </c>
      <c r="B136" t="s">
        <v>8854</v>
      </c>
      <c r="C136" t="s">
        <v>4938</v>
      </c>
      <c r="D136" t="s">
        <v>4938</v>
      </c>
      <c r="E136" t="s">
        <v>4938</v>
      </c>
      <c r="F136" t="s">
        <v>4938</v>
      </c>
      <c r="G136" t="s">
        <v>4938</v>
      </c>
    </row>
    <row r="137" spans="1:7">
      <c r="A137" t="s">
        <v>4882</v>
      </c>
      <c r="B137" t="s">
        <v>8855</v>
      </c>
      <c r="C137" t="s">
        <v>4938</v>
      </c>
      <c r="D137" t="s">
        <v>4938</v>
      </c>
      <c r="E137" t="s">
        <v>4938</v>
      </c>
      <c r="F137" t="s">
        <v>4938</v>
      </c>
      <c r="G137" t="s">
        <v>4938</v>
      </c>
    </row>
    <row r="138" spans="1:7">
      <c r="A138" t="s">
        <v>4924</v>
      </c>
      <c r="B138" t="s">
        <v>8856</v>
      </c>
      <c r="C138" t="s">
        <v>4938</v>
      </c>
      <c r="D138" t="s">
        <v>4938</v>
      </c>
      <c r="E138" t="s">
        <v>4938</v>
      </c>
      <c r="F138" t="s">
        <v>4938</v>
      </c>
      <c r="G138" t="s">
        <v>4938</v>
      </c>
    </row>
    <row r="139" spans="1:7">
      <c r="A139" t="s">
        <v>4925</v>
      </c>
      <c r="B139" t="s">
        <v>8857</v>
      </c>
      <c r="C139" t="s">
        <v>4938</v>
      </c>
      <c r="D139" t="s">
        <v>4938</v>
      </c>
      <c r="E139" t="s">
        <v>4938</v>
      </c>
      <c r="F139" t="s">
        <v>4938</v>
      </c>
      <c r="G139" t="s">
        <v>4938</v>
      </c>
    </row>
    <row r="140" spans="1:7">
      <c r="A140" t="s">
        <v>2144</v>
      </c>
      <c r="B140" t="s">
        <v>8858</v>
      </c>
      <c r="C140" t="s">
        <v>4938</v>
      </c>
      <c r="D140" t="s">
        <v>4938</v>
      </c>
      <c r="E140" t="s">
        <v>4938</v>
      </c>
      <c r="F140" t="s">
        <v>4938</v>
      </c>
      <c r="G140" t="s">
        <v>4938</v>
      </c>
    </row>
    <row r="141" spans="1:7">
      <c r="A141" t="s">
        <v>3190</v>
      </c>
      <c r="B141" t="s">
        <v>8859</v>
      </c>
      <c r="C141" t="s">
        <v>4938</v>
      </c>
      <c r="D141" t="s">
        <v>4938</v>
      </c>
      <c r="E141" t="s">
        <v>4938</v>
      </c>
      <c r="F141" t="s">
        <v>4938</v>
      </c>
      <c r="G141" t="s">
        <v>4938</v>
      </c>
    </row>
    <row r="142" spans="1:7">
      <c r="A142" t="s">
        <v>2197</v>
      </c>
      <c r="B142" t="s">
        <v>8860</v>
      </c>
      <c r="C142" t="s">
        <v>4938</v>
      </c>
      <c r="D142" t="s">
        <v>4938</v>
      </c>
      <c r="E142" t="s">
        <v>4938</v>
      </c>
      <c r="F142" t="s">
        <v>4938</v>
      </c>
      <c r="G142" t="s">
        <v>4938</v>
      </c>
    </row>
    <row r="143" spans="1:7">
      <c r="A143" t="s">
        <v>2201</v>
      </c>
      <c r="B143" t="s">
        <v>8861</v>
      </c>
      <c r="C143" t="s">
        <v>4938</v>
      </c>
      <c r="D143" t="s">
        <v>4938</v>
      </c>
      <c r="E143" t="s">
        <v>4938</v>
      </c>
      <c r="F143" t="s">
        <v>4938</v>
      </c>
      <c r="G143" t="s">
        <v>4938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3685D-5B53-4C5E-B906-4DE053C9A42E}">
  <dimension ref="A1:M80"/>
  <sheetViews>
    <sheetView topLeftCell="A31" workbookViewId="0">
      <selection activeCell="E1" sqref="E1:E80"/>
    </sheetView>
  </sheetViews>
  <sheetFormatPr defaultRowHeight="15"/>
  <cols>
    <col min="5" max="5" width="13.28515625" bestFit="1" customWidth="1"/>
  </cols>
  <sheetData>
    <row r="1" spans="1:13">
      <c r="A1" t="s">
        <v>9032</v>
      </c>
      <c r="B1" t="s">
        <v>8944</v>
      </c>
      <c r="C1" t="s">
        <v>9033</v>
      </c>
      <c r="D1" t="s">
        <v>9034</v>
      </c>
      <c r="E1" t="s">
        <v>8971</v>
      </c>
      <c r="F1" t="s">
        <v>9035</v>
      </c>
      <c r="G1" t="s">
        <v>9036</v>
      </c>
      <c r="H1" t="s">
        <v>9037</v>
      </c>
      <c r="I1" t="s">
        <v>9038</v>
      </c>
      <c r="J1" t="s">
        <v>9039</v>
      </c>
      <c r="K1" t="s">
        <v>9040</v>
      </c>
      <c r="L1" t="s">
        <v>9041</v>
      </c>
      <c r="M1" t="s">
        <v>9042</v>
      </c>
    </row>
    <row r="2" spans="1:13">
      <c r="A2" t="s">
        <v>9032</v>
      </c>
      <c r="B2" t="s">
        <v>8944</v>
      </c>
      <c r="C2" t="s">
        <v>9033</v>
      </c>
      <c r="D2" t="s">
        <v>9034</v>
      </c>
      <c r="E2" t="s">
        <v>8972</v>
      </c>
      <c r="F2" t="s">
        <v>9035</v>
      </c>
      <c r="G2" t="s">
        <v>9036</v>
      </c>
      <c r="H2" t="s">
        <v>9037</v>
      </c>
      <c r="I2" t="s">
        <v>9038</v>
      </c>
      <c r="J2" t="s">
        <v>9039</v>
      </c>
      <c r="K2" t="s">
        <v>9040</v>
      </c>
      <c r="L2" t="s">
        <v>9041</v>
      </c>
      <c r="M2" t="s">
        <v>9042</v>
      </c>
    </row>
    <row r="3" spans="1:13">
      <c r="A3" t="s">
        <v>9032</v>
      </c>
      <c r="B3" t="s">
        <v>8944</v>
      </c>
      <c r="C3" t="s">
        <v>9033</v>
      </c>
      <c r="D3" t="s">
        <v>9034</v>
      </c>
      <c r="E3" t="s">
        <v>8973</v>
      </c>
      <c r="F3" t="s">
        <v>9035</v>
      </c>
      <c r="G3" t="s">
        <v>9036</v>
      </c>
      <c r="H3" t="s">
        <v>9037</v>
      </c>
      <c r="I3" t="s">
        <v>9038</v>
      </c>
      <c r="J3" t="s">
        <v>9039</v>
      </c>
      <c r="K3" t="s">
        <v>9040</v>
      </c>
      <c r="L3" t="s">
        <v>9041</v>
      </c>
      <c r="M3" t="s">
        <v>9042</v>
      </c>
    </row>
    <row r="4" spans="1:13">
      <c r="A4" t="s">
        <v>9032</v>
      </c>
      <c r="B4" t="s">
        <v>8944</v>
      </c>
      <c r="C4" t="s">
        <v>9033</v>
      </c>
      <c r="D4" t="s">
        <v>9034</v>
      </c>
      <c r="E4" t="s">
        <v>8974</v>
      </c>
      <c r="F4" t="s">
        <v>9035</v>
      </c>
      <c r="G4" t="s">
        <v>9036</v>
      </c>
      <c r="H4" t="s">
        <v>9037</v>
      </c>
      <c r="I4" t="s">
        <v>9038</v>
      </c>
      <c r="J4" t="s">
        <v>9039</v>
      </c>
      <c r="K4" t="s">
        <v>9040</v>
      </c>
      <c r="L4" t="s">
        <v>9041</v>
      </c>
      <c r="M4" t="s">
        <v>9042</v>
      </c>
    </row>
    <row r="5" spans="1:13">
      <c r="A5" t="s">
        <v>9032</v>
      </c>
      <c r="B5" t="s">
        <v>8944</v>
      </c>
      <c r="C5" t="s">
        <v>9033</v>
      </c>
      <c r="D5" t="s">
        <v>9034</v>
      </c>
      <c r="E5" t="s">
        <v>8993</v>
      </c>
      <c r="F5" t="s">
        <v>9035</v>
      </c>
      <c r="G5" t="s">
        <v>9036</v>
      </c>
      <c r="H5" t="s">
        <v>9037</v>
      </c>
      <c r="I5" t="s">
        <v>9038</v>
      </c>
      <c r="J5" t="s">
        <v>9039</v>
      </c>
      <c r="K5" t="s">
        <v>9040</v>
      </c>
      <c r="L5" t="s">
        <v>9041</v>
      </c>
      <c r="M5" t="s">
        <v>9042</v>
      </c>
    </row>
    <row r="6" spans="1:13">
      <c r="A6" t="s">
        <v>9032</v>
      </c>
      <c r="B6" t="s">
        <v>8944</v>
      </c>
      <c r="C6" t="s">
        <v>9033</v>
      </c>
      <c r="D6" t="s">
        <v>9034</v>
      </c>
      <c r="E6" t="s">
        <v>8991</v>
      </c>
      <c r="F6" t="s">
        <v>9035</v>
      </c>
      <c r="G6" t="s">
        <v>9036</v>
      </c>
      <c r="H6" t="s">
        <v>9037</v>
      </c>
      <c r="I6" t="s">
        <v>9038</v>
      </c>
      <c r="J6" t="s">
        <v>9039</v>
      </c>
      <c r="K6" t="s">
        <v>9040</v>
      </c>
      <c r="L6" t="s">
        <v>9041</v>
      </c>
      <c r="M6" t="s">
        <v>9042</v>
      </c>
    </row>
    <row r="7" spans="1:13">
      <c r="A7" t="s">
        <v>9032</v>
      </c>
      <c r="B7" t="s">
        <v>8944</v>
      </c>
      <c r="C7" t="s">
        <v>9033</v>
      </c>
      <c r="D7" t="s">
        <v>9034</v>
      </c>
      <c r="E7" t="s">
        <v>8992</v>
      </c>
      <c r="F7" t="s">
        <v>9035</v>
      </c>
      <c r="G7" t="s">
        <v>9036</v>
      </c>
      <c r="H7" t="s">
        <v>9037</v>
      </c>
      <c r="I7" t="s">
        <v>9038</v>
      </c>
      <c r="J7" t="s">
        <v>9039</v>
      </c>
      <c r="K7" t="s">
        <v>9040</v>
      </c>
      <c r="L7" t="s">
        <v>9041</v>
      </c>
      <c r="M7" t="s">
        <v>9042</v>
      </c>
    </row>
    <row r="8" spans="1:13">
      <c r="A8" t="s">
        <v>9032</v>
      </c>
      <c r="B8" t="s">
        <v>8944</v>
      </c>
      <c r="C8" t="s">
        <v>9033</v>
      </c>
      <c r="D8" t="s">
        <v>9034</v>
      </c>
      <c r="E8" t="s">
        <v>9000</v>
      </c>
      <c r="F8" t="s">
        <v>9035</v>
      </c>
      <c r="G8" t="s">
        <v>9036</v>
      </c>
      <c r="H8" t="s">
        <v>9037</v>
      </c>
      <c r="I8" t="s">
        <v>9038</v>
      </c>
      <c r="J8" t="s">
        <v>9039</v>
      </c>
      <c r="K8" t="s">
        <v>9040</v>
      </c>
      <c r="L8" t="s">
        <v>9041</v>
      </c>
      <c r="M8" t="s">
        <v>9042</v>
      </c>
    </row>
    <row r="9" spans="1:13">
      <c r="A9" t="s">
        <v>9032</v>
      </c>
      <c r="B9" t="s">
        <v>8944</v>
      </c>
      <c r="C9" t="s">
        <v>9033</v>
      </c>
      <c r="D9" t="s">
        <v>9034</v>
      </c>
      <c r="E9" t="s">
        <v>9003</v>
      </c>
      <c r="F9" t="s">
        <v>9035</v>
      </c>
      <c r="G9" t="s">
        <v>9036</v>
      </c>
      <c r="H9" t="s">
        <v>9037</v>
      </c>
      <c r="I9" t="s">
        <v>9038</v>
      </c>
      <c r="J9" t="s">
        <v>9039</v>
      </c>
      <c r="K9" t="s">
        <v>9040</v>
      </c>
      <c r="L9" t="s">
        <v>9041</v>
      </c>
      <c r="M9" t="s">
        <v>9042</v>
      </c>
    </row>
    <row r="10" spans="1:13">
      <c r="A10" t="s">
        <v>9032</v>
      </c>
      <c r="B10" t="s">
        <v>8944</v>
      </c>
      <c r="C10" t="s">
        <v>9033</v>
      </c>
      <c r="D10" t="s">
        <v>9034</v>
      </c>
      <c r="E10" t="s">
        <v>9004</v>
      </c>
      <c r="F10" t="s">
        <v>9035</v>
      </c>
      <c r="G10" t="s">
        <v>9036</v>
      </c>
      <c r="H10" t="s">
        <v>9037</v>
      </c>
      <c r="I10" t="s">
        <v>9038</v>
      </c>
      <c r="J10" t="s">
        <v>9039</v>
      </c>
      <c r="K10" t="s">
        <v>9040</v>
      </c>
      <c r="L10" t="s">
        <v>9041</v>
      </c>
      <c r="M10" t="s">
        <v>9042</v>
      </c>
    </row>
    <row r="11" spans="1:13">
      <c r="A11" t="s">
        <v>9032</v>
      </c>
      <c r="B11" t="s">
        <v>8944</v>
      </c>
      <c r="C11" t="s">
        <v>9033</v>
      </c>
      <c r="D11" t="s">
        <v>9034</v>
      </c>
      <c r="E11" t="s">
        <v>8994</v>
      </c>
      <c r="F11" t="s">
        <v>9035</v>
      </c>
      <c r="G11" t="s">
        <v>9036</v>
      </c>
      <c r="H11" t="s">
        <v>9037</v>
      </c>
      <c r="I11" t="s">
        <v>9038</v>
      </c>
      <c r="J11" t="s">
        <v>9039</v>
      </c>
      <c r="K11" t="s">
        <v>9040</v>
      </c>
      <c r="L11" t="s">
        <v>9041</v>
      </c>
      <c r="M11" t="s">
        <v>9042</v>
      </c>
    </row>
    <row r="12" spans="1:13">
      <c r="A12" t="s">
        <v>9032</v>
      </c>
      <c r="B12" t="s">
        <v>8944</v>
      </c>
      <c r="C12" t="s">
        <v>9033</v>
      </c>
      <c r="D12" t="s">
        <v>9034</v>
      </c>
      <c r="E12" t="s">
        <v>8995</v>
      </c>
      <c r="F12" t="s">
        <v>9035</v>
      </c>
      <c r="G12" t="s">
        <v>9036</v>
      </c>
      <c r="H12" t="s">
        <v>9037</v>
      </c>
      <c r="I12" t="s">
        <v>9038</v>
      </c>
      <c r="J12" t="s">
        <v>9039</v>
      </c>
      <c r="K12" t="s">
        <v>9040</v>
      </c>
      <c r="L12" t="s">
        <v>9041</v>
      </c>
      <c r="M12" t="s">
        <v>9042</v>
      </c>
    </row>
    <row r="13" spans="1:13">
      <c r="A13" t="s">
        <v>9032</v>
      </c>
      <c r="B13" t="s">
        <v>8944</v>
      </c>
      <c r="C13" t="s">
        <v>9033</v>
      </c>
      <c r="D13" t="s">
        <v>9034</v>
      </c>
      <c r="E13" t="s">
        <v>8996</v>
      </c>
      <c r="F13" t="s">
        <v>9035</v>
      </c>
      <c r="G13" t="s">
        <v>9036</v>
      </c>
      <c r="H13" t="s">
        <v>9037</v>
      </c>
      <c r="I13" t="s">
        <v>9038</v>
      </c>
      <c r="J13" t="s">
        <v>9039</v>
      </c>
      <c r="K13" t="s">
        <v>9040</v>
      </c>
      <c r="L13" t="s">
        <v>9041</v>
      </c>
      <c r="M13" t="s">
        <v>9042</v>
      </c>
    </row>
    <row r="14" spans="1:13">
      <c r="A14" t="s">
        <v>9032</v>
      </c>
      <c r="B14" t="s">
        <v>8944</v>
      </c>
      <c r="C14" t="s">
        <v>9033</v>
      </c>
      <c r="D14" t="s">
        <v>9034</v>
      </c>
      <c r="E14" t="s">
        <v>9005</v>
      </c>
      <c r="F14" t="s">
        <v>9035</v>
      </c>
      <c r="G14" t="s">
        <v>9036</v>
      </c>
      <c r="H14" t="s">
        <v>9037</v>
      </c>
      <c r="I14" t="s">
        <v>9038</v>
      </c>
      <c r="J14" t="s">
        <v>9039</v>
      </c>
      <c r="K14" t="s">
        <v>9040</v>
      </c>
      <c r="L14" t="s">
        <v>9041</v>
      </c>
      <c r="M14" t="s">
        <v>9042</v>
      </c>
    </row>
    <row r="15" spans="1:13">
      <c r="A15" t="s">
        <v>9032</v>
      </c>
      <c r="B15" t="s">
        <v>8944</v>
      </c>
      <c r="C15" t="s">
        <v>9033</v>
      </c>
      <c r="D15" t="s">
        <v>9034</v>
      </c>
      <c r="E15" t="s">
        <v>9006</v>
      </c>
      <c r="F15" t="s">
        <v>9035</v>
      </c>
      <c r="G15" t="s">
        <v>9036</v>
      </c>
      <c r="H15" t="s">
        <v>9037</v>
      </c>
      <c r="I15" t="s">
        <v>9038</v>
      </c>
      <c r="J15" t="s">
        <v>9039</v>
      </c>
      <c r="K15" t="s">
        <v>9040</v>
      </c>
      <c r="L15" t="s">
        <v>9041</v>
      </c>
      <c r="M15" t="s">
        <v>9042</v>
      </c>
    </row>
    <row r="16" spans="1:13">
      <c r="A16" t="s">
        <v>9032</v>
      </c>
      <c r="B16" t="s">
        <v>8944</v>
      </c>
      <c r="C16" t="s">
        <v>9033</v>
      </c>
      <c r="D16" t="s">
        <v>9034</v>
      </c>
      <c r="E16" t="s">
        <v>9007</v>
      </c>
      <c r="F16" t="s">
        <v>9035</v>
      </c>
      <c r="G16" t="s">
        <v>9036</v>
      </c>
      <c r="H16" t="s">
        <v>9037</v>
      </c>
      <c r="I16" t="s">
        <v>9038</v>
      </c>
      <c r="J16" t="s">
        <v>9039</v>
      </c>
      <c r="K16" t="s">
        <v>9040</v>
      </c>
      <c r="L16" t="s">
        <v>9041</v>
      </c>
      <c r="M16" t="s">
        <v>9042</v>
      </c>
    </row>
    <row r="17" spans="1:13">
      <c r="A17" t="s">
        <v>9032</v>
      </c>
      <c r="B17" t="s">
        <v>8944</v>
      </c>
      <c r="C17" t="s">
        <v>9033</v>
      </c>
      <c r="D17" t="s">
        <v>9034</v>
      </c>
      <c r="E17" t="s">
        <v>9008</v>
      </c>
      <c r="F17" t="s">
        <v>9035</v>
      </c>
      <c r="G17" t="s">
        <v>9036</v>
      </c>
      <c r="H17" t="s">
        <v>9037</v>
      </c>
      <c r="I17" t="s">
        <v>9038</v>
      </c>
      <c r="J17" t="s">
        <v>9039</v>
      </c>
      <c r="K17" t="s">
        <v>9040</v>
      </c>
      <c r="L17" t="s">
        <v>9041</v>
      </c>
      <c r="M17" t="s">
        <v>9042</v>
      </c>
    </row>
    <row r="18" spans="1:13">
      <c r="A18" t="s">
        <v>9032</v>
      </c>
      <c r="B18" t="s">
        <v>8944</v>
      </c>
      <c r="C18" t="s">
        <v>9033</v>
      </c>
      <c r="D18" t="s">
        <v>9034</v>
      </c>
      <c r="E18" t="s">
        <v>9009</v>
      </c>
      <c r="F18" t="s">
        <v>9035</v>
      </c>
      <c r="G18" t="s">
        <v>9036</v>
      </c>
      <c r="H18" t="s">
        <v>9037</v>
      </c>
      <c r="I18" t="s">
        <v>9038</v>
      </c>
      <c r="J18" t="s">
        <v>9039</v>
      </c>
      <c r="K18" t="s">
        <v>9040</v>
      </c>
      <c r="L18" t="s">
        <v>9041</v>
      </c>
      <c r="M18" t="s">
        <v>9042</v>
      </c>
    </row>
    <row r="19" spans="1:13">
      <c r="A19" t="s">
        <v>9032</v>
      </c>
      <c r="B19" t="s">
        <v>8944</v>
      </c>
      <c r="C19" t="s">
        <v>9033</v>
      </c>
      <c r="D19" t="s">
        <v>9034</v>
      </c>
      <c r="E19" t="s">
        <v>9010</v>
      </c>
      <c r="F19" t="s">
        <v>9035</v>
      </c>
      <c r="G19" t="s">
        <v>9036</v>
      </c>
      <c r="H19" t="s">
        <v>9037</v>
      </c>
      <c r="I19" t="s">
        <v>9038</v>
      </c>
      <c r="J19" t="s">
        <v>9039</v>
      </c>
      <c r="K19" t="s">
        <v>9040</v>
      </c>
      <c r="L19" t="s">
        <v>9041</v>
      </c>
      <c r="M19" t="s">
        <v>9042</v>
      </c>
    </row>
    <row r="20" spans="1:13">
      <c r="A20" t="s">
        <v>9032</v>
      </c>
      <c r="B20" t="s">
        <v>8944</v>
      </c>
      <c r="C20" t="s">
        <v>9033</v>
      </c>
      <c r="D20" t="s">
        <v>9034</v>
      </c>
      <c r="E20" t="s">
        <v>9011</v>
      </c>
      <c r="F20" t="s">
        <v>9035</v>
      </c>
      <c r="G20" t="s">
        <v>9036</v>
      </c>
      <c r="H20" t="s">
        <v>9037</v>
      </c>
      <c r="I20" t="s">
        <v>9038</v>
      </c>
      <c r="J20" t="s">
        <v>9039</v>
      </c>
      <c r="K20" t="s">
        <v>9040</v>
      </c>
      <c r="L20" t="s">
        <v>9041</v>
      </c>
      <c r="M20" t="s">
        <v>9042</v>
      </c>
    </row>
    <row r="21" spans="1:13">
      <c r="A21" t="s">
        <v>9032</v>
      </c>
      <c r="B21" t="s">
        <v>8944</v>
      </c>
      <c r="C21" t="s">
        <v>9033</v>
      </c>
      <c r="D21" t="s">
        <v>9034</v>
      </c>
      <c r="E21" t="s">
        <v>9012</v>
      </c>
      <c r="F21" t="s">
        <v>9035</v>
      </c>
      <c r="G21" t="s">
        <v>9036</v>
      </c>
      <c r="H21" t="s">
        <v>9037</v>
      </c>
      <c r="I21" t="s">
        <v>9038</v>
      </c>
      <c r="J21" t="s">
        <v>9039</v>
      </c>
      <c r="K21" t="s">
        <v>9040</v>
      </c>
      <c r="L21" t="s">
        <v>9041</v>
      </c>
      <c r="M21" t="s">
        <v>9042</v>
      </c>
    </row>
    <row r="22" spans="1:13">
      <c r="A22" t="s">
        <v>9032</v>
      </c>
      <c r="B22" t="s">
        <v>8944</v>
      </c>
      <c r="C22" t="s">
        <v>9033</v>
      </c>
      <c r="D22" t="s">
        <v>9034</v>
      </c>
      <c r="E22" t="s">
        <v>9013</v>
      </c>
      <c r="F22" t="s">
        <v>9035</v>
      </c>
      <c r="G22" t="s">
        <v>9036</v>
      </c>
      <c r="H22" t="s">
        <v>9037</v>
      </c>
      <c r="I22" t="s">
        <v>9038</v>
      </c>
      <c r="J22" t="s">
        <v>9039</v>
      </c>
      <c r="K22" t="s">
        <v>9040</v>
      </c>
      <c r="L22" t="s">
        <v>9041</v>
      </c>
      <c r="M22" t="s">
        <v>9042</v>
      </c>
    </row>
    <row r="23" spans="1:13">
      <c r="A23" t="s">
        <v>9032</v>
      </c>
      <c r="B23" t="s">
        <v>8944</v>
      </c>
      <c r="C23" t="s">
        <v>9033</v>
      </c>
      <c r="D23" t="s">
        <v>9034</v>
      </c>
      <c r="E23" t="s">
        <v>9014</v>
      </c>
      <c r="F23" t="s">
        <v>9035</v>
      </c>
      <c r="G23" t="s">
        <v>9036</v>
      </c>
      <c r="H23" t="s">
        <v>9037</v>
      </c>
      <c r="I23" t="s">
        <v>9038</v>
      </c>
      <c r="J23" t="s">
        <v>9039</v>
      </c>
      <c r="K23" t="s">
        <v>9040</v>
      </c>
      <c r="L23" t="s">
        <v>9041</v>
      </c>
      <c r="M23" t="s">
        <v>9042</v>
      </c>
    </row>
    <row r="24" spans="1:13">
      <c r="A24" t="s">
        <v>9032</v>
      </c>
      <c r="B24" t="s">
        <v>8944</v>
      </c>
      <c r="C24" t="s">
        <v>9033</v>
      </c>
      <c r="D24" t="s">
        <v>9034</v>
      </c>
      <c r="E24" t="s">
        <v>9015</v>
      </c>
      <c r="F24" t="s">
        <v>9035</v>
      </c>
      <c r="G24" t="s">
        <v>9036</v>
      </c>
      <c r="H24" t="s">
        <v>9037</v>
      </c>
      <c r="I24" t="s">
        <v>9038</v>
      </c>
      <c r="J24" t="s">
        <v>9039</v>
      </c>
      <c r="K24" t="s">
        <v>9040</v>
      </c>
      <c r="L24" t="s">
        <v>9041</v>
      </c>
      <c r="M24" t="s">
        <v>9042</v>
      </c>
    </row>
    <row r="25" spans="1:13">
      <c r="A25" t="s">
        <v>9032</v>
      </c>
      <c r="B25" t="s">
        <v>8944</v>
      </c>
      <c r="C25" t="s">
        <v>9033</v>
      </c>
      <c r="D25" t="s">
        <v>9034</v>
      </c>
      <c r="E25" t="s">
        <v>9016</v>
      </c>
      <c r="F25" t="s">
        <v>9035</v>
      </c>
      <c r="G25" t="s">
        <v>9036</v>
      </c>
      <c r="H25" t="s">
        <v>9037</v>
      </c>
      <c r="I25" t="s">
        <v>9038</v>
      </c>
      <c r="J25" t="s">
        <v>9039</v>
      </c>
      <c r="K25" t="s">
        <v>9040</v>
      </c>
      <c r="L25" t="s">
        <v>9041</v>
      </c>
      <c r="M25" t="s">
        <v>9042</v>
      </c>
    </row>
    <row r="26" spans="1:13">
      <c r="A26" t="s">
        <v>9032</v>
      </c>
      <c r="B26" t="s">
        <v>8944</v>
      </c>
      <c r="C26" t="s">
        <v>9033</v>
      </c>
      <c r="D26" t="s">
        <v>9034</v>
      </c>
      <c r="E26" t="s">
        <v>9017</v>
      </c>
      <c r="F26" t="s">
        <v>9035</v>
      </c>
      <c r="G26" t="s">
        <v>9036</v>
      </c>
      <c r="H26" t="s">
        <v>9037</v>
      </c>
      <c r="I26" t="s">
        <v>9038</v>
      </c>
      <c r="J26" t="s">
        <v>9039</v>
      </c>
      <c r="K26" t="s">
        <v>9040</v>
      </c>
      <c r="L26" t="s">
        <v>9041</v>
      </c>
      <c r="M26" t="s">
        <v>9042</v>
      </c>
    </row>
    <row r="27" spans="1:13">
      <c r="A27" t="s">
        <v>9032</v>
      </c>
      <c r="B27" t="s">
        <v>8944</v>
      </c>
      <c r="C27" t="s">
        <v>9033</v>
      </c>
      <c r="D27" t="s">
        <v>9034</v>
      </c>
      <c r="E27" t="s">
        <v>9018</v>
      </c>
      <c r="F27" t="s">
        <v>9035</v>
      </c>
      <c r="G27" t="s">
        <v>9036</v>
      </c>
      <c r="H27" t="s">
        <v>9037</v>
      </c>
      <c r="I27" t="s">
        <v>9038</v>
      </c>
      <c r="J27" t="s">
        <v>9039</v>
      </c>
      <c r="K27" t="s">
        <v>9040</v>
      </c>
      <c r="L27" t="s">
        <v>9041</v>
      </c>
      <c r="M27" t="s">
        <v>9042</v>
      </c>
    </row>
    <row r="28" spans="1:13">
      <c r="A28" t="s">
        <v>9032</v>
      </c>
      <c r="B28" t="s">
        <v>8944</v>
      </c>
      <c r="C28" t="s">
        <v>9033</v>
      </c>
      <c r="D28" t="s">
        <v>9034</v>
      </c>
      <c r="E28" t="s">
        <v>9019</v>
      </c>
      <c r="F28" t="s">
        <v>9035</v>
      </c>
      <c r="G28" t="s">
        <v>9036</v>
      </c>
      <c r="H28" t="s">
        <v>9037</v>
      </c>
      <c r="I28" t="s">
        <v>9038</v>
      </c>
      <c r="J28" t="s">
        <v>9039</v>
      </c>
      <c r="K28" t="s">
        <v>9040</v>
      </c>
      <c r="L28" t="s">
        <v>9041</v>
      </c>
      <c r="M28" t="s">
        <v>9042</v>
      </c>
    </row>
    <row r="29" spans="1:13">
      <c r="A29" t="s">
        <v>9032</v>
      </c>
      <c r="B29" t="s">
        <v>8944</v>
      </c>
      <c r="C29" t="s">
        <v>9033</v>
      </c>
      <c r="D29" t="s">
        <v>9034</v>
      </c>
      <c r="E29" t="s">
        <v>9020</v>
      </c>
      <c r="F29" t="s">
        <v>9035</v>
      </c>
      <c r="G29" t="s">
        <v>9036</v>
      </c>
      <c r="H29" t="s">
        <v>9037</v>
      </c>
      <c r="I29" t="s">
        <v>9038</v>
      </c>
      <c r="J29" t="s">
        <v>9039</v>
      </c>
      <c r="K29" t="s">
        <v>9040</v>
      </c>
      <c r="L29" t="s">
        <v>9041</v>
      </c>
      <c r="M29" t="s">
        <v>9042</v>
      </c>
    </row>
    <row r="30" spans="1:13">
      <c r="A30" t="s">
        <v>9032</v>
      </c>
      <c r="B30" t="s">
        <v>8944</v>
      </c>
      <c r="C30" t="s">
        <v>9033</v>
      </c>
      <c r="D30" t="s">
        <v>9034</v>
      </c>
      <c r="E30" t="s">
        <v>9021</v>
      </c>
      <c r="F30" t="s">
        <v>9035</v>
      </c>
      <c r="G30" t="s">
        <v>9036</v>
      </c>
      <c r="H30" t="s">
        <v>9037</v>
      </c>
      <c r="I30" t="s">
        <v>9038</v>
      </c>
      <c r="J30" t="s">
        <v>9039</v>
      </c>
      <c r="K30" t="s">
        <v>9040</v>
      </c>
      <c r="L30" t="s">
        <v>9041</v>
      </c>
      <c r="M30" t="s">
        <v>9042</v>
      </c>
    </row>
    <row r="31" spans="1:13">
      <c r="A31" t="s">
        <v>9032</v>
      </c>
      <c r="B31" t="s">
        <v>8944</v>
      </c>
      <c r="C31" t="s">
        <v>9033</v>
      </c>
      <c r="D31" t="s">
        <v>9034</v>
      </c>
      <c r="E31" t="s">
        <v>9022</v>
      </c>
      <c r="F31" t="s">
        <v>9035</v>
      </c>
      <c r="G31" t="s">
        <v>9036</v>
      </c>
      <c r="H31" t="s">
        <v>9037</v>
      </c>
      <c r="I31" t="s">
        <v>9038</v>
      </c>
      <c r="J31" t="s">
        <v>9039</v>
      </c>
      <c r="K31" t="s">
        <v>9040</v>
      </c>
      <c r="L31" t="s">
        <v>9041</v>
      </c>
      <c r="M31" t="s">
        <v>9042</v>
      </c>
    </row>
    <row r="32" spans="1:13">
      <c r="A32" t="s">
        <v>9032</v>
      </c>
      <c r="B32" t="s">
        <v>8944</v>
      </c>
      <c r="C32" t="s">
        <v>9033</v>
      </c>
      <c r="D32" t="s">
        <v>9034</v>
      </c>
      <c r="E32" t="s">
        <v>9023</v>
      </c>
      <c r="F32" t="s">
        <v>9035</v>
      </c>
      <c r="G32" t="s">
        <v>9036</v>
      </c>
      <c r="H32" t="s">
        <v>9037</v>
      </c>
      <c r="I32" t="s">
        <v>9038</v>
      </c>
      <c r="J32" t="s">
        <v>9039</v>
      </c>
      <c r="K32" t="s">
        <v>9040</v>
      </c>
      <c r="L32" t="s">
        <v>9041</v>
      </c>
      <c r="M32" t="s">
        <v>9042</v>
      </c>
    </row>
    <row r="33" spans="1:13">
      <c r="A33" t="s">
        <v>9032</v>
      </c>
      <c r="B33" t="s">
        <v>8944</v>
      </c>
      <c r="C33" t="s">
        <v>9033</v>
      </c>
      <c r="D33" t="s">
        <v>9034</v>
      </c>
      <c r="E33" t="s">
        <v>9024</v>
      </c>
      <c r="F33" t="s">
        <v>9035</v>
      </c>
      <c r="G33" t="s">
        <v>9036</v>
      </c>
      <c r="H33" t="s">
        <v>9037</v>
      </c>
      <c r="I33" t="s">
        <v>9038</v>
      </c>
      <c r="J33" t="s">
        <v>9039</v>
      </c>
      <c r="K33" t="s">
        <v>9040</v>
      </c>
      <c r="L33" t="s">
        <v>9041</v>
      </c>
      <c r="M33" t="s">
        <v>9042</v>
      </c>
    </row>
    <row r="34" spans="1:13">
      <c r="A34" t="s">
        <v>9032</v>
      </c>
      <c r="B34" t="s">
        <v>8944</v>
      </c>
      <c r="C34" t="s">
        <v>9033</v>
      </c>
      <c r="D34" t="s">
        <v>9034</v>
      </c>
      <c r="E34" t="s">
        <v>8997</v>
      </c>
      <c r="F34" t="s">
        <v>9035</v>
      </c>
      <c r="G34" t="s">
        <v>9036</v>
      </c>
      <c r="H34" t="s">
        <v>9037</v>
      </c>
      <c r="I34" t="s">
        <v>9038</v>
      </c>
      <c r="J34" t="s">
        <v>9039</v>
      </c>
      <c r="K34" t="s">
        <v>9040</v>
      </c>
      <c r="L34" t="s">
        <v>9041</v>
      </c>
      <c r="M34" t="s">
        <v>9042</v>
      </c>
    </row>
    <row r="35" spans="1:13">
      <c r="A35" t="s">
        <v>9032</v>
      </c>
      <c r="B35" t="s">
        <v>8944</v>
      </c>
      <c r="C35" t="s">
        <v>9033</v>
      </c>
      <c r="D35" t="s">
        <v>9034</v>
      </c>
      <c r="E35" t="s">
        <v>8998</v>
      </c>
      <c r="F35" t="s">
        <v>9035</v>
      </c>
      <c r="G35" t="s">
        <v>9036</v>
      </c>
      <c r="H35" t="s">
        <v>9037</v>
      </c>
      <c r="I35" t="s">
        <v>9038</v>
      </c>
      <c r="J35" t="s">
        <v>9039</v>
      </c>
      <c r="K35" t="s">
        <v>9040</v>
      </c>
      <c r="L35" t="s">
        <v>9041</v>
      </c>
      <c r="M35" t="s">
        <v>9042</v>
      </c>
    </row>
    <row r="36" spans="1:13">
      <c r="A36" t="s">
        <v>9032</v>
      </c>
      <c r="B36" t="s">
        <v>8944</v>
      </c>
      <c r="C36" t="s">
        <v>9033</v>
      </c>
      <c r="D36" t="s">
        <v>9034</v>
      </c>
      <c r="E36" t="s">
        <v>9001</v>
      </c>
      <c r="F36" t="s">
        <v>9035</v>
      </c>
      <c r="G36" t="s">
        <v>9036</v>
      </c>
      <c r="H36" t="s">
        <v>9037</v>
      </c>
      <c r="I36" t="s">
        <v>9038</v>
      </c>
      <c r="J36" t="s">
        <v>9039</v>
      </c>
      <c r="K36" t="s">
        <v>9040</v>
      </c>
      <c r="L36" t="s">
        <v>9041</v>
      </c>
      <c r="M36" t="s">
        <v>9042</v>
      </c>
    </row>
    <row r="37" spans="1:13">
      <c r="A37" t="s">
        <v>9032</v>
      </c>
      <c r="B37" t="s">
        <v>8944</v>
      </c>
      <c r="C37" t="s">
        <v>9033</v>
      </c>
      <c r="D37" t="s">
        <v>9034</v>
      </c>
      <c r="E37" t="s">
        <v>9002</v>
      </c>
      <c r="F37" t="s">
        <v>9035</v>
      </c>
      <c r="G37" t="s">
        <v>9036</v>
      </c>
      <c r="H37" t="s">
        <v>9037</v>
      </c>
      <c r="I37" t="s">
        <v>9038</v>
      </c>
      <c r="J37" t="s">
        <v>9039</v>
      </c>
      <c r="K37" t="s">
        <v>9040</v>
      </c>
      <c r="L37" t="s">
        <v>9041</v>
      </c>
      <c r="M37" t="s">
        <v>9042</v>
      </c>
    </row>
    <row r="38" spans="1:13">
      <c r="A38" t="s">
        <v>9032</v>
      </c>
      <c r="B38" t="s">
        <v>8944</v>
      </c>
      <c r="C38" t="s">
        <v>9033</v>
      </c>
      <c r="D38" t="s">
        <v>9034</v>
      </c>
      <c r="E38" t="s">
        <v>8975</v>
      </c>
      <c r="F38" t="s">
        <v>9035</v>
      </c>
      <c r="G38" t="s">
        <v>9036</v>
      </c>
      <c r="H38" t="s">
        <v>9037</v>
      </c>
      <c r="I38" t="s">
        <v>9038</v>
      </c>
      <c r="J38" t="s">
        <v>9039</v>
      </c>
      <c r="K38" t="s">
        <v>9040</v>
      </c>
      <c r="L38" t="s">
        <v>9041</v>
      </c>
      <c r="M38" t="s">
        <v>9042</v>
      </c>
    </row>
    <row r="39" spans="1:13">
      <c r="A39" t="s">
        <v>9032</v>
      </c>
      <c r="B39" t="s">
        <v>8944</v>
      </c>
      <c r="C39" t="s">
        <v>9033</v>
      </c>
      <c r="D39" t="s">
        <v>9034</v>
      </c>
      <c r="E39" t="s">
        <v>8999</v>
      </c>
      <c r="F39" t="s">
        <v>9035</v>
      </c>
      <c r="G39" t="s">
        <v>9036</v>
      </c>
      <c r="H39" t="s">
        <v>9037</v>
      </c>
      <c r="I39" t="s">
        <v>9038</v>
      </c>
      <c r="J39" t="s">
        <v>9039</v>
      </c>
      <c r="K39" t="s">
        <v>9040</v>
      </c>
      <c r="L39" t="s">
        <v>9041</v>
      </c>
      <c r="M39" t="s">
        <v>9042</v>
      </c>
    </row>
    <row r="40" spans="1:13">
      <c r="A40" t="s">
        <v>9032</v>
      </c>
      <c r="B40" t="s">
        <v>8944</v>
      </c>
      <c r="C40" t="s">
        <v>9033</v>
      </c>
      <c r="D40" t="s">
        <v>9034</v>
      </c>
      <c r="E40" t="s">
        <v>8990</v>
      </c>
      <c r="F40" t="s">
        <v>9035</v>
      </c>
      <c r="G40" t="s">
        <v>9036</v>
      </c>
      <c r="H40" t="s">
        <v>9037</v>
      </c>
      <c r="I40" t="s">
        <v>9038</v>
      </c>
      <c r="J40" t="s">
        <v>9039</v>
      </c>
      <c r="K40" t="s">
        <v>9040</v>
      </c>
      <c r="L40" t="s">
        <v>9041</v>
      </c>
      <c r="M40" t="s">
        <v>9042</v>
      </c>
    </row>
    <row r="41" spans="1:13">
      <c r="A41" t="s">
        <v>9032</v>
      </c>
      <c r="B41" t="s">
        <v>8944</v>
      </c>
      <c r="C41" t="s">
        <v>9033</v>
      </c>
      <c r="D41" t="s">
        <v>9034</v>
      </c>
      <c r="E41" t="s">
        <v>8945</v>
      </c>
      <c r="F41" t="s">
        <v>9035</v>
      </c>
      <c r="G41" t="s">
        <v>9036</v>
      </c>
      <c r="H41" t="s">
        <v>9037</v>
      </c>
      <c r="I41" t="s">
        <v>9038</v>
      </c>
      <c r="J41" t="s">
        <v>9039</v>
      </c>
      <c r="K41" t="s">
        <v>9040</v>
      </c>
      <c r="L41" t="s">
        <v>9041</v>
      </c>
      <c r="M41" t="s">
        <v>9042</v>
      </c>
    </row>
    <row r="42" spans="1:13">
      <c r="A42" t="s">
        <v>9032</v>
      </c>
      <c r="B42" t="s">
        <v>8944</v>
      </c>
      <c r="C42" t="s">
        <v>9033</v>
      </c>
      <c r="D42" t="s">
        <v>9034</v>
      </c>
      <c r="E42" t="s">
        <v>8946</v>
      </c>
      <c r="F42" t="s">
        <v>9035</v>
      </c>
      <c r="G42" t="s">
        <v>9036</v>
      </c>
      <c r="H42" t="s">
        <v>9037</v>
      </c>
      <c r="I42" t="s">
        <v>9038</v>
      </c>
      <c r="J42" t="s">
        <v>9039</v>
      </c>
      <c r="K42" t="s">
        <v>9040</v>
      </c>
      <c r="L42" t="s">
        <v>9041</v>
      </c>
      <c r="M42" t="s">
        <v>9042</v>
      </c>
    </row>
    <row r="43" spans="1:13">
      <c r="A43" t="s">
        <v>9032</v>
      </c>
      <c r="B43" t="s">
        <v>8944</v>
      </c>
      <c r="C43" t="s">
        <v>9033</v>
      </c>
      <c r="D43" t="s">
        <v>9034</v>
      </c>
      <c r="E43" t="s">
        <v>8947</v>
      </c>
      <c r="F43" t="s">
        <v>9035</v>
      </c>
      <c r="G43" t="s">
        <v>9036</v>
      </c>
      <c r="H43" t="s">
        <v>9037</v>
      </c>
      <c r="I43" t="s">
        <v>9038</v>
      </c>
      <c r="J43" t="s">
        <v>9039</v>
      </c>
      <c r="K43" t="s">
        <v>9040</v>
      </c>
      <c r="L43" t="s">
        <v>9041</v>
      </c>
      <c r="M43" t="s">
        <v>9042</v>
      </c>
    </row>
    <row r="44" spans="1:13">
      <c r="A44" t="s">
        <v>9032</v>
      </c>
      <c r="B44" t="s">
        <v>8944</v>
      </c>
      <c r="C44" t="s">
        <v>9033</v>
      </c>
      <c r="D44" t="s">
        <v>9034</v>
      </c>
      <c r="E44" t="s">
        <v>8948</v>
      </c>
      <c r="F44" t="s">
        <v>9035</v>
      </c>
      <c r="G44" t="s">
        <v>9036</v>
      </c>
      <c r="H44" t="s">
        <v>9037</v>
      </c>
      <c r="I44" t="s">
        <v>9038</v>
      </c>
      <c r="J44" t="s">
        <v>9039</v>
      </c>
      <c r="K44" t="s">
        <v>9040</v>
      </c>
      <c r="L44" t="s">
        <v>9041</v>
      </c>
      <c r="M44" t="s">
        <v>9042</v>
      </c>
    </row>
    <row r="45" spans="1:13">
      <c r="A45" t="s">
        <v>9032</v>
      </c>
      <c r="B45" t="s">
        <v>8944</v>
      </c>
      <c r="C45" t="s">
        <v>9033</v>
      </c>
      <c r="D45" t="s">
        <v>9034</v>
      </c>
      <c r="E45" t="s">
        <v>8949</v>
      </c>
      <c r="F45" t="s">
        <v>9035</v>
      </c>
      <c r="G45" t="s">
        <v>9036</v>
      </c>
      <c r="H45" t="s">
        <v>9037</v>
      </c>
      <c r="I45" t="s">
        <v>9038</v>
      </c>
      <c r="J45" t="s">
        <v>9039</v>
      </c>
      <c r="K45" t="s">
        <v>9040</v>
      </c>
      <c r="L45" t="s">
        <v>9041</v>
      </c>
      <c r="M45" t="s">
        <v>9042</v>
      </c>
    </row>
    <row r="46" spans="1:13">
      <c r="A46" t="s">
        <v>9032</v>
      </c>
      <c r="B46" t="s">
        <v>8944</v>
      </c>
      <c r="C46" t="s">
        <v>9033</v>
      </c>
      <c r="D46" t="s">
        <v>9034</v>
      </c>
      <c r="E46" t="s">
        <v>8950</v>
      </c>
      <c r="F46" t="s">
        <v>9035</v>
      </c>
      <c r="G46" t="s">
        <v>9036</v>
      </c>
      <c r="H46" t="s">
        <v>9037</v>
      </c>
      <c r="I46" t="s">
        <v>9038</v>
      </c>
      <c r="J46" t="s">
        <v>9039</v>
      </c>
      <c r="K46" t="s">
        <v>9040</v>
      </c>
      <c r="L46" t="s">
        <v>9041</v>
      </c>
      <c r="M46" t="s">
        <v>9042</v>
      </c>
    </row>
    <row r="47" spans="1:13">
      <c r="A47" t="s">
        <v>9032</v>
      </c>
      <c r="B47" t="s">
        <v>8944</v>
      </c>
      <c r="C47" t="s">
        <v>9033</v>
      </c>
      <c r="D47" t="s">
        <v>9034</v>
      </c>
      <c r="E47" t="s">
        <v>8951</v>
      </c>
      <c r="F47" t="s">
        <v>9035</v>
      </c>
      <c r="G47" t="s">
        <v>9036</v>
      </c>
      <c r="H47" t="s">
        <v>9037</v>
      </c>
      <c r="I47" t="s">
        <v>9038</v>
      </c>
      <c r="J47" t="s">
        <v>9039</v>
      </c>
      <c r="K47" t="s">
        <v>9040</v>
      </c>
      <c r="L47" t="s">
        <v>9041</v>
      </c>
      <c r="M47" t="s">
        <v>9042</v>
      </c>
    </row>
    <row r="48" spans="1:13">
      <c r="A48" t="s">
        <v>9032</v>
      </c>
      <c r="B48" t="s">
        <v>8944</v>
      </c>
      <c r="C48" t="s">
        <v>9033</v>
      </c>
      <c r="D48" t="s">
        <v>9034</v>
      </c>
      <c r="E48" t="s">
        <v>8952</v>
      </c>
      <c r="F48" t="s">
        <v>9035</v>
      </c>
      <c r="G48" t="s">
        <v>9036</v>
      </c>
      <c r="H48" t="s">
        <v>9037</v>
      </c>
      <c r="I48" t="s">
        <v>9038</v>
      </c>
      <c r="J48" t="s">
        <v>9039</v>
      </c>
      <c r="K48" t="s">
        <v>9040</v>
      </c>
      <c r="L48" t="s">
        <v>9041</v>
      </c>
      <c r="M48" t="s">
        <v>9042</v>
      </c>
    </row>
    <row r="49" spans="1:13">
      <c r="A49" t="s">
        <v>9032</v>
      </c>
      <c r="B49" t="s">
        <v>8944</v>
      </c>
      <c r="C49" t="s">
        <v>9033</v>
      </c>
      <c r="D49" t="s">
        <v>9034</v>
      </c>
      <c r="E49" t="s">
        <v>8953</v>
      </c>
      <c r="F49" t="s">
        <v>9035</v>
      </c>
      <c r="G49" t="s">
        <v>9036</v>
      </c>
      <c r="H49" t="s">
        <v>9037</v>
      </c>
      <c r="I49" t="s">
        <v>9038</v>
      </c>
      <c r="J49" t="s">
        <v>9039</v>
      </c>
      <c r="K49" t="s">
        <v>9040</v>
      </c>
      <c r="L49" t="s">
        <v>9041</v>
      </c>
      <c r="M49" t="s">
        <v>9042</v>
      </c>
    </row>
    <row r="50" spans="1:13">
      <c r="A50" t="s">
        <v>9032</v>
      </c>
      <c r="B50" t="s">
        <v>8944</v>
      </c>
      <c r="C50" t="s">
        <v>9033</v>
      </c>
      <c r="D50" t="s">
        <v>9034</v>
      </c>
      <c r="E50" t="s">
        <v>8954</v>
      </c>
      <c r="F50" t="s">
        <v>9035</v>
      </c>
      <c r="G50" t="s">
        <v>9036</v>
      </c>
      <c r="H50" t="s">
        <v>9037</v>
      </c>
      <c r="I50" t="s">
        <v>9038</v>
      </c>
      <c r="J50" t="s">
        <v>9039</v>
      </c>
      <c r="K50" t="s">
        <v>9040</v>
      </c>
      <c r="L50" t="s">
        <v>9041</v>
      </c>
      <c r="M50" t="s">
        <v>9042</v>
      </c>
    </row>
    <row r="51" spans="1:13">
      <c r="A51" t="s">
        <v>9032</v>
      </c>
      <c r="B51" t="s">
        <v>8944</v>
      </c>
      <c r="C51" t="s">
        <v>9033</v>
      </c>
      <c r="D51" t="s">
        <v>9034</v>
      </c>
      <c r="E51" t="s">
        <v>8976</v>
      </c>
      <c r="F51" t="s">
        <v>9035</v>
      </c>
      <c r="G51" t="s">
        <v>9036</v>
      </c>
      <c r="H51" t="s">
        <v>9037</v>
      </c>
      <c r="I51" t="s">
        <v>9038</v>
      </c>
      <c r="J51" t="s">
        <v>9039</v>
      </c>
      <c r="K51" t="s">
        <v>9040</v>
      </c>
      <c r="L51" t="s">
        <v>9041</v>
      </c>
      <c r="M51" t="s">
        <v>9042</v>
      </c>
    </row>
    <row r="52" spans="1:13">
      <c r="A52" t="s">
        <v>9032</v>
      </c>
      <c r="B52" t="s">
        <v>8944</v>
      </c>
      <c r="C52" t="s">
        <v>9033</v>
      </c>
      <c r="D52" t="s">
        <v>9034</v>
      </c>
      <c r="E52" t="s">
        <v>8977</v>
      </c>
      <c r="F52" t="s">
        <v>9035</v>
      </c>
      <c r="G52" t="s">
        <v>9036</v>
      </c>
      <c r="H52" t="s">
        <v>9037</v>
      </c>
      <c r="I52" t="s">
        <v>9038</v>
      </c>
      <c r="J52" t="s">
        <v>9039</v>
      </c>
      <c r="K52" t="s">
        <v>9040</v>
      </c>
      <c r="L52" t="s">
        <v>9041</v>
      </c>
      <c r="M52" t="s">
        <v>9042</v>
      </c>
    </row>
    <row r="53" spans="1:13">
      <c r="A53" t="s">
        <v>9032</v>
      </c>
      <c r="B53" t="s">
        <v>8944</v>
      </c>
      <c r="C53" t="s">
        <v>9033</v>
      </c>
      <c r="D53" t="s">
        <v>9034</v>
      </c>
      <c r="E53" t="s">
        <v>8978</v>
      </c>
      <c r="F53" t="s">
        <v>9035</v>
      </c>
      <c r="G53" t="s">
        <v>9036</v>
      </c>
      <c r="H53" t="s">
        <v>9037</v>
      </c>
      <c r="I53" t="s">
        <v>9038</v>
      </c>
      <c r="J53" t="s">
        <v>9039</v>
      </c>
      <c r="K53" t="s">
        <v>9040</v>
      </c>
      <c r="L53" t="s">
        <v>9041</v>
      </c>
      <c r="M53" t="s">
        <v>9042</v>
      </c>
    </row>
    <row r="54" spans="1:13">
      <c r="A54" t="s">
        <v>9032</v>
      </c>
      <c r="B54" t="s">
        <v>8944</v>
      </c>
      <c r="C54" t="s">
        <v>9033</v>
      </c>
      <c r="D54" t="s">
        <v>9034</v>
      </c>
      <c r="E54" t="s">
        <v>8979</v>
      </c>
      <c r="F54" t="s">
        <v>9035</v>
      </c>
      <c r="G54" t="s">
        <v>9036</v>
      </c>
      <c r="H54" t="s">
        <v>9037</v>
      </c>
      <c r="I54" t="s">
        <v>9038</v>
      </c>
      <c r="J54" t="s">
        <v>9039</v>
      </c>
      <c r="K54" t="s">
        <v>9040</v>
      </c>
      <c r="L54" t="s">
        <v>9041</v>
      </c>
      <c r="M54" t="s">
        <v>9042</v>
      </c>
    </row>
    <row r="55" spans="1:13">
      <c r="A55" t="s">
        <v>9032</v>
      </c>
      <c r="B55" t="s">
        <v>8944</v>
      </c>
      <c r="C55" t="s">
        <v>9033</v>
      </c>
      <c r="D55" t="s">
        <v>9034</v>
      </c>
      <c r="E55" t="s">
        <v>8980</v>
      </c>
      <c r="F55" t="s">
        <v>9035</v>
      </c>
      <c r="G55" t="s">
        <v>9036</v>
      </c>
      <c r="H55" t="s">
        <v>9037</v>
      </c>
      <c r="I55" t="s">
        <v>9038</v>
      </c>
      <c r="J55" t="s">
        <v>9039</v>
      </c>
      <c r="K55" t="s">
        <v>9040</v>
      </c>
      <c r="L55" t="s">
        <v>9041</v>
      </c>
      <c r="M55" t="s">
        <v>9042</v>
      </c>
    </row>
    <row r="56" spans="1:13">
      <c r="A56" t="s">
        <v>9032</v>
      </c>
      <c r="B56" t="s">
        <v>8944</v>
      </c>
      <c r="C56" t="s">
        <v>9033</v>
      </c>
      <c r="D56" t="s">
        <v>9034</v>
      </c>
      <c r="E56" t="s">
        <v>8981</v>
      </c>
      <c r="F56" t="s">
        <v>9035</v>
      </c>
      <c r="G56" t="s">
        <v>9036</v>
      </c>
      <c r="H56" t="s">
        <v>9037</v>
      </c>
      <c r="I56" t="s">
        <v>9038</v>
      </c>
      <c r="J56" t="s">
        <v>9039</v>
      </c>
      <c r="K56" t="s">
        <v>9040</v>
      </c>
      <c r="L56" t="s">
        <v>9041</v>
      </c>
      <c r="M56" t="s">
        <v>9042</v>
      </c>
    </row>
    <row r="57" spans="1:13">
      <c r="A57" t="s">
        <v>9032</v>
      </c>
      <c r="B57" t="s">
        <v>8944</v>
      </c>
      <c r="C57" t="s">
        <v>9033</v>
      </c>
      <c r="D57" t="s">
        <v>9034</v>
      </c>
      <c r="E57" t="s">
        <v>8955</v>
      </c>
      <c r="F57" t="s">
        <v>9035</v>
      </c>
      <c r="G57" t="s">
        <v>9036</v>
      </c>
      <c r="H57" t="s">
        <v>9037</v>
      </c>
      <c r="I57" t="s">
        <v>9038</v>
      </c>
      <c r="J57" t="s">
        <v>9039</v>
      </c>
      <c r="K57" t="s">
        <v>9040</v>
      </c>
      <c r="L57" t="s">
        <v>9041</v>
      </c>
      <c r="M57" t="s">
        <v>9042</v>
      </c>
    </row>
    <row r="58" spans="1:13">
      <c r="A58" t="s">
        <v>9032</v>
      </c>
      <c r="B58" t="s">
        <v>8944</v>
      </c>
      <c r="C58" t="s">
        <v>9033</v>
      </c>
      <c r="D58" t="s">
        <v>9034</v>
      </c>
      <c r="E58" t="s">
        <v>8982</v>
      </c>
      <c r="F58" t="s">
        <v>9035</v>
      </c>
      <c r="G58" t="s">
        <v>9036</v>
      </c>
      <c r="H58" t="s">
        <v>9037</v>
      </c>
      <c r="I58" t="s">
        <v>9038</v>
      </c>
      <c r="J58" t="s">
        <v>9039</v>
      </c>
      <c r="K58" t="s">
        <v>9040</v>
      </c>
      <c r="L58" t="s">
        <v>9041</v>
      </c>
      <c r="M58" t="s">
        <v>9042</v>
      </c>
    </row>
    <row r="59" spans="1:13">
      <c r="A59" t="s">
        <v>9032</v>
      </c>
      <c r="B59" t="s">
        <v>8944</v>
      </c>
      <c r="C59" t="s">
        <v>9033</v>
      </c>
      <c r="D59" t="s">
        <v>9034</v>
      </c>
      <c r="E59" t="s">
        <v>8983</v>
      </c>
      <c r="F59" t="s">
        <v>9035</v>
      </c>
      <c r="G59" t="s">
        <v>9036</v>
      </c>
      <c r="H59" t="s">
        <v>9037</v>
      </c>
      <c r="I59" t="s">
        <v>9038</v>
      </c>
      <c r="J59" t="s">
        <v>9039</v>
      </c>
      <c r="K59" t="s">
        <v>9040</v>
      </c>
      <c r="L59" t="s">
        <v>9041</v>
      </c>
      <c r="M59" t="s">
        <v>9042</v>
      </c>
    </row>
    <row r="60" spans="1:13">
      <c r="A60" t="s">
        <v>9032</v>
      </c>
      <c r="B60" t="s">
        <v>8944</v>
      </c>
      <c r="C60" t="s">
        <v>9033</v>
      </c>
      <c r="D60" t="s">
        <v>9034</v>
      </c>
      <c r="E60" t="s">
        <v>8984</v>
      </c>
      <c r="F60" t="s">
        <v>9035</v>
      </c>
      <c r="G60" t="s">
        <v>9036</v>
      </c>
      <c r="H60" t="s">
        <v>9037</v>
      </c>
      <c r="I60" t="s">
        <v>9038</v>
      </c>
      <c r="J60" t="s">
        <v>9039</v>
      </c>
      <c r="K60" t="s">
        <v>9040</v>
      </c>
      <c r="L60" t="s">
        <v>9041</v>
      </c>
      <c r="M60" t="s">
        <v>9042</v>
      </c>
    </row>
    <row r="61" spans="1:13">
      <c r="A61" t="s">
        <v>9032</v>
      </c>
      <c r="B61" t="s">
        <v>8944</v>
      </c>
      <c r="C61" t="s">
        <v>9033</v>
      </c>
      <c r="D61" t="s">
        <v>9034</v>
      </c>
      <c r="E61" t="s">
        <v>8956</v>
      </c>
      <c r="F61" t="s">
        <v>9035</v>
      </c>
      <c r="G61" t="s">
        <v>9036</v>
      </c>
      <c r="H61" t="s">
        <v>9037</v>
      </c>
      <c r="I61" t="s">
        <v>9038</v>
      </c>
      <c r="J61" t="s">
        <v>9039</v>
      </c>
      <c r="K61" t="s">
        <v>9040</v>
      </c>
      <c r="L61" t="s">
        <v>9041</v>
      </c>
      <c r="M61" t="s">
        <v>9042</v>
      </c>
    </row>
    <row r="62" spans="1:13">
      <c r="A62" t="s">
        <v>9032</v>
      </c>
      <c r="B62" t="s">
        <v>8944</v>
      </c>
      <c r="C62" t="s">
        <v>9033</v>
      </c>
      <c r="D62" t="s">
        <v>9034</v>
      </c>
      <c r="E62" t="s">
        <v>8957</v>
      </c>
      <c r="F62" t="s">
        <v>9035</v>
      </c>
      <c r="G62" t="s">
        <v>9036</v>
      </c>
      <c r="H62" t="s">
        <v>9037</v>
      </c>
      <c r="I62" t="s">
        <v>9038</v>
      </c>
      <c r="J62" t="s">
        <v>9039</v>
      </c>
      <c r="K62" t="s">
        <v>9040</v>
      </c>
      <c r="L62" t="s">
        <v>9041</v>
      </c>
      <c r="M62" t="s">
        <v>9042</v>
      </c>
    </row>
    <row r="63" spans="1:13">
      <c r="A63" t="s">
        <v>9032</v>
      </c>
      <c r="B63" t="s">
        <v>8944</v>
      </c>
      <c r="C63" t="s">
        <v>9033</v>
      </c>
      <c r="D63" t="s">
        <v>9034</v>
      </c>
      <c r="E63" t="s">
        <v>8958</v>
      </c>
      <c r="F63" t="s">
        <v>9035</v>
      </c>
      <c r="G63" t="s">
        <v>9036</v>
      </c>
      <c r="H63" t="s">
        <v>9037</v>
      </c>
      <c r="I63" t="s">
        <v>9038</v>
      </c>
      <c r="J63" t="s">
        <v>9039</v>
      </c>
      <c r="K63" t="s">
        <v>9040</v>
      </c>
      <c r="L63" t="s">
        <v>9041</v>
      </c>
      <c r="M63" t="s">
        <v>9042</v>
      </c>
    </row>
    <row r="64" spans="1:13">
      <c r="A64" t="s">
        <v>9032</v>
      </c>
      <c r="B64" t="s">
        <v>8944</v>
      </c>
      <c r="C64" t="s">
        <v>9033</v>
      </c>
      <c r="D64" t="s">
        <v>9034</v>
      </c>
      <c r="E64" t="s">
        <v>8985</v>
      </c>
      <c r="F64" t="s">
        <v>9035</v>
      </c>
      <c r="G64" t="s">
        <v>9036</v>
      </c>
      <c r="H64" t="s">
        <v>9037</v>
      </c>
      <c r="I64" t="s">
        <v>9038</v>
      </c>
      <c r="J64" t="s">
        <v>9039</v>
      </c>
      <c r="K64" t="s">
        <v>9040</v>
      </c>
      <c r="L64" t="s">
        <v>9041</v>
      </c>
      <c r="M64" t="s">
        <v>9042</v>
      </c>
    </row>
    <row r="65" spans="1:13">
      <c r="A65" t="s">
        <v>9032</v>
      </c>
      <c r="B65" t="s">
        <v>8944</v>
      </c>
      <c r="C65" t="s">
        <v>9033</v>
      </c>
      <c r="D65" t="s">
        <v>9034</v>
      </c>
      <c r="E65" t="s">
        <v>8959</v>
      </c>
      <c r="F65" t="s">
        <v>9035</v>
      </c>
      <c r="G65" t="s">
        <v>9036</v>
      </c>
      <c r="H65" t="s">
        <v>9037</v>
      </c>
      <c r="I65" t="s">
        <v>9038</v>
      </c>
      <c r="J65" t="s">
        <v>9039</v>
      </c>
      <c r="K65" t="s">
        <v>9040</v>
      </c>
      <c r="L65" t="s">
        <v>9041</v>
      </c>
      <c r="M65" t="s">
        <v>9042</v>
      </c>
    </row>
    <row r="66" spans="1:13">
      <c r="A66" t="s">
        <v>9032</v>
      </c>
      <c r="B66" t="s">
        <v>8944</v>
      </c>
      <c r="C66" t="s">
        <v>9033</v>
      </c>
      <c r="D66" t="s">
        <v>9034</v>
      </c>
      <c r="E66" t="s">
        <v>8960</v>
      </c>
      <c r="F66" t="s">
        <v>9035</v>
      </c>
      <c r="G66" t="s">
        <v>9036</v>
      </c>
      <c r="H66" t="s">
        <v>9037</v>
      </c>
      <c r="I66" t="s">
        <v>9038</v>
      </c>
      <c r="J66" t="s">
        <v>9039</v>
      </c>
      <c r="K66" t="s">
        <v>9040</v>
      </c>
      <c r="L66" t="s">
        <v>9041</v>
      </c>
      <c r="M66" t="s">
        <v>9042</v>
      </c>
    </row>
    <row r="67" spans="1:13">
      <c r="A67" t="s">
        <v>9032</v>
      </c>
      <c r="B67" t="s">
        <v>8944</v>
      </c>
      <c r="C67" t="s">
        <v>9033</v>
      </c>
      <c r="D67" t="s">
        <v>9034</v>
      </c>
      <c r="E67" t="s">
        <v>8961</v>
      </c>
      <c r="F67" t="s">
        <v>9035</v>
      </c>
      <c r="G67" t="s">
        <v>9036</v>
      </c>
      <c r="H67" t="s">
        <v>9037</v>
      </c>
      <c r="I67" t="s">
        <v>9038</v>
      </c>
      <c r="J67" t="s">
        <v>9039</v>
      </c>
      <c r="K67" t="s">
        <v>9040</v>
      </c>
      <c r="L67" t="s">
        <v>9041</v>
      </c>
      <c r="M67" t="s">
        <v>9042</v>
      </c>
    </row>
    <row r="68" spans="1:13">
      <c r="A68" t="s">
        <v>9032</v>
      </c>
      <c r="B68" t="s">
        <v>8944</v>
      </c>
      <c r="C68" t="s">
        <v>9033</v>
      </c>
      <c r="D68" t="s">
        <v>9034</v>
      </c>
      <c r="E68" t="s">
        <v>8962</v>
      </c>
      <c r="F68" t="s">
        <v>9035</v>
      </c>
      <c r="G68" t="s">
        <v>9036</v>
      </c>
      <c r="H68" t="s">
        <v>9037</v>
      </c>
      <c r="I68" t="s">
        <v>9038</v>
      </c>
      <c r="J68" t="s">
        <v>9039</v>
      </c>
      <c r="K68" t="s">
        <v>9040</v>
      </c>
      <c r="L68" t="s">
        <v>9041</v>
      </c>
      <c r="M68" t="s">
        <v>9042</v>
      </c>
    </row>
    <row r="69" spans="1:13">
      <c r="A69" t="s">
        <v>9032</v>
      </c>
      <c r="B69" t="s">
        <v>8944</v>
      </c>
      <c r="C69" t="s">
        <v>9033</v>
      </c>
      <c r="D69" t="s">
        <v>9034</v>
      </c>
      <c r="E69" t="s">
        <v>8963</v>
      </c>
      <c r="F69" t="s">
        <v>9035</v>
      </c>
      <c r="G69" t="s">
        <v>9036</v>
      </c>
      <c r="H69" t="s">
        <v>9037</v>
      </c>
      <c r="I69" t="s">
        <v>9038</v>
      </c>
      <c r="J69" t="s">
        <v>9039</v>
      </c>
      <c r="K69" t="s">
        <v>9040</v>
      </c>
      <c r="L69" t="s">
        <v>9041</v>
      </c>
      <c r="M69" t="s">
        <v>9042</v>
      </c>
    </row>
    <row r="70" spans="1:13">
      <c r="A70" t="s">
        <v>9032</v>
      </c>
      <c r="B70" t="s">
        <v>8944</v>
      </c>
      <c r="C70" t="s">
        <v>9033</v>
      </c>
      <c r="D70" t="s">
        <v>9034</v>
      </c>
      <c r="E70" t="s">
        <v>8964</v>
      </c>
      <c r="F70" t="s">
        <v>9035</v>
      </c>
      <c r="G70" t="s">
        <v>9036</v>
      </c>
      <c r="H70" t="s">
        <v>9037</v>
      </c>
      <c r="I70" t="s">
        <v>9038</v>
      </c>
      <c r="J70" t="s">
        <v>9039</v>
      </c>
      <c r="K70" t="s">
        <v>9040</v>
      </c>
      <c r="L70" t="s">
        <v>9041</v>
      </c>
      <c r="M70" t="s">
        <v>9042</v>
      </c>
    </row>
    <row r="71" spans="1:13">
      <c r="A71" t="s">
        <v>9032</v>
      </c>
      <c r="B71" t="s">
        <v>8944</v>
      </c>
      <c r="C71" t="s">
        <v>9033</v>
      </c>
      <c r="D71" t="s">
        <v>9034</v>
      </c>
      <c r="E71" t="s">
        <v>8965</v>
      </c>
      <c r="F71" t="s">
        <v>9035</v>
      </c>
      <c r="G71" t="s">
        <v>9036</v>
      </c>
      <c r="H71" t="s">
        <v>9037</v>
      </c>
      <c r="I71" t="s">
        <v>9038</v>
      </c>
      <c r="J71" t="s">
        <v>9039</v>
      </c>
      <c r="K71" t="s">
        <v>9040</v>
      </c>
      <c r="L71" t="s">
        <v>9041</v>
      </c>
      <c r="M71" t="s">
        <v>9042</v>
      </c>
    </row>
    <row r="72" spans="1:13">
      <c r="A72" t="s">
        <v>9032</v>
      </c>
      <c r="B72" t="s">
        <v>8944</v>
      </c>
      <c r="C72" t="s">
        <v>9033</v>
      </c>
      <c r="D72" t="s">
        <v>9034</v>
      </c>
      <c r="E72" t="s">
        <v>8986</v>
      </c>
      <c r="F72" t="s">
        <v>9035</v>
      </c>
      <c r="G72" t="s">
        <v>9036</v>
      </c>
      <c r="H72" t="s">
        <v>9037</v>
      </c>
      <c r="I72" t="s">
        <v>9038</v>
      </c>
      <c r="J72" t="s">
        <v>9039</v>
      </c>
      <c r="K72" t="s">
        <v>9040</v>
      </c>
      <c r="L72" t="s">
        <v>9041</v>
      </c>
      <c r="M72" t="s">
        <v>9042</v>
      </c>
    </row>
    <row r="73" spans="1:13">
      <c r="A73" t="s">
        <v>9032</v>
      </c>
      <c r="B73" t="s">
        <v>8944</v>
      </c>
      <c r="C73" t="s">
        <v>9033</v>
      </c>
      <c r="D73" t="s">
        <v>9034</v>
      </c>
      <c r="E73" t="s">
        <v>8966</v>
      </c>
      <c r="F73" t="s">
        <v>9035</v>
      </c>
      <c r="G73" t="s">
        <v>9036</v>
      </c>
      <c r="H73" t="s">
        <v>9037</v>
      </c>
      <c r="I73" t="s">
        <v>9038</v>
      </c>
      <c r="J73" t="s">
        <v>9039</v>
      </c>
      <c r="K73" t="s">
        <v>9040</v>
      </c>
      <c r="L73" t="s">
        <v>9041</v>
      </c>
      <c r="M73" t="s">
        <v>9042</v>
      </c>
    </row>
    <row r="74" spans="1:13">
      <c r="A74" t="s">
        <v>9032</v>
      </c>
      <c r="B74" t="s">
        <v>8944</v>
      </c>
      <c r="C74" t="s">
        <v>9033</v>
      </c>
      <c r="D74" t="s">
        <v>9034</v>
      </c>
      <c r="E74" t="s">
        <v>8987</v>
      </c>
      <c r="F74" t="s">
        <v>9035</v>
      </c>
      <c r="G74" t="s">
        <v>9036</v>
      </c>
      <c r="H74" t="s">
        <v>9037</v>
      </c>
      <c r="I74" t="s">
        <v>9038</v>
      </c>
      <c r="J74" t="s">
        <v>9039</v>
      </c>
      <c r="K74" t="s">
        <v>9040</v>
      </c>
      <c r="L74" t="s">
        <v>9041</v>
      </c>
      <c r="M74" t="s">
        <v>9042</v>
      </c>
    </row>
    <row r="75" spans="1:13">
      <c r="A75" t="s">
        <v>9032</v>
      </c>
      <c r="B75" t="s">
        <v>8944</v>
      </c>
      <c r="C75" t="s">
        <v>9033</v>
      </c>
      <c r="D75" t="s">
        <v>9034</v>
      </c>
      <c r="E75" t="s">
        <v>8988</v>
      </c>
      <c r="F75" t="s">
        <v>9035</v>
      </c>
      <c r="G75" t="s">
        <v>9036</v>
      </c>
      <c r="H75" t="s">
        <v>9037</v>
      </c>
      <c r="I75" t="s">
        <v>9038</v>
      </c>
      <c r="J75" t="s">
        <v>9039</v>
      </c>
      <c r="K75" t="s">
        <v>9040</v>
      </c>
      <c r="L75" t="s">
        <v>9041</v>
      </c>
      <c r="M75" t="s">
        <v>9042</v>
      </c>
    </row>
    <row r="76" spans="1:13">
      <c r="A76" t="s">
        <v>9032</v>
      </c>
      <c r="B76" t="s">
        <v>8944</v>
      </c>
      <c r="C76" t="s">
        <v>9033</v>
      </c>
      <c r="D76" t="s">
        <v>9034</v>
      </c>
      <c r="E76" t="s">
        <v>8967</v>
      </c>
      <c r="F76" t="s">
        <v>9035</v>
      </c>
      <c r="G76" t="s">
        <v>9036</v>
      </c>
      <c r="H76" t="s">
        <v>9037</v>
      </c>
      <c r="I76" t="s">
        <v>9038</v>
      </c>
      <c r="J76" t="s">
        <v>9039</v>
      </c>
      <c r="K76" t="s">
        <v>9040</v>
      </c>
      <c r="L76" t="s">
        <v>9041</v>
      </c>
      <c r="M76" t="s">
        <v>9042</v>
      </c>
    </row>
    <row r="77" spans="1:13">
      <c r="A77" t="s">
        <v>9032</v>
      </c>
      <c r="B77" t="s">
        <v>8944</v>
      </c>
      <c r="C77" t="s">
        <v>9033</v>
      </c>
      <c r="D77" t="s">
        <v>9034</v>
      </c>
      <c r="E77" t="s">
        <v>8968</v>
      </c>
      <c r="F77" t="s">
        <v>9035</v>
      </c>
      <c r="G77" t="s">
        <v>9036</v>
      </c>
      <c r="H77" t="s">
        <v>9037</v>
      </c>
      <c r="I77" t="s">
        <v>9038</v>
      </c>
      <c r="J77" t="s">
        <v>9039</v>
      </c>
      <c r="K77" t="s">
        <v>9040</v>
      </c>
      <c r="L77" t="s">
        <v>9041</v>
      </c>
      <c r="M77" t="s">
        <v>9042</v>
      </c>
    </row>
    <row r="78" spans="1:13">
      <c r="A78" t="s">
        <v>9032</v>
      </c>
      <c r="B78" t="s">
        <v>8944</v>
      </c>
      <c r="C78" t="s">
        <v>9033</v>
      </c>
      <c r="D78" t="s">
        <v>9034</v>
      </c>
      <c r="E78" t="s">
        <v>8989</v>
      </c>
      <c r="F78" t="s">
        <v>9035</v>
      </c>
      <c r="G78" t="s">
        <v>9036</v>
      </c>
      <c r="H78" t="s">
        <v>9037</v>
      </c>
      <c r="I78" t="s">
        <v>9038</v>
      </c>
      <c r="J78" t="s">
        <v>9039</v>
      </c>
      <c r="K78" t="s">
        <v>9040</v>
      </c>
      <c r="L78" t="s">
        <v>9041</v>
      </c>
      <c r="M78" t="s">
        <v>9042</v>
      </c>
    </row>
    <row r="79" spans="1:13">
      <c r="A79" t="s">
        <v>9032</v>
      </c>
      <c r="B79" t="s">
        <v>8944</v>
      </c>
      <c r="C79" t="s">
        <v>9033</v>
      </c>
      <c r="D79" t="s">
        <v>9034</v>
      </c>
      <c r="E79" t="s">
        <v>8969</v>
      </c>
      <c r="F79" t="s">
        <v>9035</v>
      </c>
      <c r="G79" t="s">
        <v>9036</v>
      </c>
      <c r="H79" t="s">
        <v>9037</v>
      </c>
      <c r="I79" t="s">
        <v>9038</v>
      </c>
      <c r="J79" t="s">
        <v>9039</v>
      </c>
      <c r="K79" t="s">
        <v>9040</v>
      </c>
      <c r="L79" t="s">
        <v>9041</v>
      </c>
      <c r="M79" t="s">
        <v>9042</v>
      </c>
    </row>
    <row r="80" spans="1:13">
      <c r="A80" t="s">
        <v>9032</v>
      </c>
      <c r="B80" t="s">
        <v>8944</v>
      </c>
      <c r="C80" t="s">
        <v>9033</v>
      </c>
      <c r="D80" t="s">
        <v>9034</v>
      </c>
      <c r="E80" t="s">
        <v>8970</v>
      </c>
      <c r="F80" t="s">
        <v>9035</v>
      </c>
      <c r="G80" t="s">
        <v>9036</v>
      </c>
      <c r="H80" t="s">
        <v>9037</v>
      </c>
      <c r="I80" t="s">
        <v>9038</v>
      </c>
      <c r="J80" t="s">
        <v>9039</v>
      </c>
      <c r="K80" t="s">
        <v>9040</v>
      </c>
      <c r="L80" t="s">
        <v>9041</v>
      </c>
      <c r="M80" t="s">
        <v>9042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D5B69-CDBE-467D-91B7-339B9085770A}">
  <dimension ref="A1:D71"/>
  <sheetViews>
    <sheetView topLeftCell="A39" workbookViewId="0">
      <selection activeCell="D1" sqref="D1:D71"/>
    </sheetView>
  </sheetViews>
  <sheetFormatPr defaultRowHeight="15"/>
  <cols>
    <col min="1" max="1" width="11.140625" bestFit="1" customWidth="1"/>
    <col min="2" max="2" width="39.42578125" bestFit="1" customWidth="1"/>
  </cols>
  <sheetData>
    <row r="1" spans="1:4">
      <c r="A1" t="s">
        <v>8873</v>
      </c>
      <c r="B1" t="s">
        <v>8719</v>
      </c>
      <c r="C1">
        <v>1416</v>
      </c>
      <c r="D1" t="str">
        <f>+$A$1&amp;C1</f>
        <v>P000001416</v>
      </c>
    </row>
    <row r="2" spans="1:4">
      <c r="B2" t="s">
        <v>8720</v>
      </c>
      <c r="C2">
        <f>+C1+1</f>
        <v>1417</v>
      </c>
      <c r="D2" t="str">
        <f t="shared" ref="D2:D65" si="0">+$A$1&amp;C2</f>
        <v>P000001417</v>
      </c>
    </row>
    <row r="3" spans="1:4">
      <c r="B3" t="s">
        <v>8721</v>
      </c>
      <c r="C3">
        <f t="shared" ref="C3:C66" si="1">+C2+1</f>
        <v>1418</v>
      </c>
      <c r="D3" t="str">
        <f t="shared" si="0"/>
        <v>P000001418</v>
      </c>
    </row>
    <row r="4" spans="1:4">
      <c r="B4" t="s">
        <v>8722</v>
      </c>
      <c r="C4">
        <f t="shared" si="1"/>
        <v>1419</v>
      </c>
      <c r="D4" t="str">
        <f t="shared" si="0"/>
        <v>P000001419</v>
      </c>
    </row>
    <row r="5" spans="1:4">
      <c r="B5" t="s">
        <v>8723</v>
      </c>
      <c r="C5">
        <f t="shared" si="1"/>
        <v>1420</v>
      </c>
      <c r="D5" t="str">
        <f t="shared" si="0"/>
        <v>P000001420</v>
      </c>
    </row>
    <row r="6" spans="1:4">
      <c r="B6" t="s">
        <v>8724</v>
      </c>
      <c r="C6">
        <f t="shared" si="1"/>
        <v>1421</v>
      </c>
      <c r="D6" t="str">
        <f t="shared" si="0"/>
        <v>P000001421</v>
      </c>
    </row>
    <row r="7" spans="1:4">
      <c r="B7" t="s">
        <v>8725</v>
      </c>
      <c r="C7">
        <f t="shared" si="1"/>
        <v>1422</v>
      </c>
      <c r="D7" t="str">
        <f t="shared" si="0"/>
        <v>P000001422</v>
      </c>
    </row>
    <row r="8" spans="1:4">
      <c r="B8" t="s">
        <v>8726</v>
      </c>
      <c r="C8">
        <f t="shared" si="1"/>
        <v>1423</v>
      </c>
      <c r="D8" t="str">
        <f t="shared" si="0"/>
        <v>P000001423</v>
      </c>
    </row>
    <row r="9" spans="1:4">
      <c r="B9" t="s">
        <v>8727</v>
      </c>
      <c r="C9">
        <f t="shared" si="1"/>
        <v>1424</v>
      </c>
      <c r="D9" t="str">
        <f t="shared" si="0"/>
        <v>P000001424</v>
      </c>
    </row>
    <row r="10" spans="1:4">
      <c r="B10" t="s">
        <v>8728</v>
      </c>
      <c r="C10">
        <f t="shared" si="1"/>
        <v>1425</v>
      </c>
      <c r="D10" t="str">
        <f t="shared" si="0"/>
        <v>P000001425</v>
      </c>
    </row>
    <row r="11" spans="1:4">
      <c r="B11" t="s">
        <v>8729</v>
      </c>
      <c r="C11">
        <f t="shared" si="1"/>
        <v>1426</v>
      </c>
      <c r="D11" t="str">
        <f t="shared" si="0"/>
        <v>P000001426</v>
      </c>
    </row>
    <row r="12" spans="1:4">
      <c r="B12" t="s">
        <v>8730</v>
      </c>
      <c r="C12">
        <f t="shared" si="1"/>
        <v>1427</v>
      </c>
      <c r="D12" t="str">
        <f t="shared" si="0"/>
        <v>P000001427</v>
      </c>
    </row>
    <row r="13" spans="1:4">
      <c r="B13" t="s">
        <v>8731</v>
      </c>
      <c r="C13">
        <f t="shared" si="1"/>
        <v>1428</v>
      </c>
      <c r="D13" t="str">
        <f t="shared" si="0"/>
        <v>P000001428</v>
      </c>
    </row>
    <row r="14" spans="1:4">
      <c r="B14" t="s">
        <v>8732</v>
      </c>
      <c r="C14">
        <f t="shared" si="1"/>
        <v>1429</v>
      </c>
      <c r="D14" t="str">
        <f t="shared" si="0"/>
        <v>P000001429</v>
      </c>
    </row>
    <row r="15" spans="1:4">
      <c r="B15" t="s">
        <v>8733</v>
      </c>
      <c r="C15">
        <f t="shared" si="1"/>
        <v>1430</v>
      </c>
      <c r="D15" t="str">
        <f t="shared" si="0"/>
        <v>P000001430</v>
      </c>
    </row>
    <row r="16" spans="1:4">
      <c r="B16" t="s">
        <v>8734</v>
      </c>
      <c r="C16">
        <f t="shared" si="1"/>
        <v>1431</v>
      </c>
      <c r="D16" t="str">
        <f t="shared" si="0"/>
        <v>P000001431</v>
      </c>
    </row>
    <row r="17" spans="2:4">
      <c r="B17" t="s">
        <v>8735</v>
      </c>
      <c r="C17">
        <f t="shared" si="1"/>
        <v>1432</v>
      </c>
      <c r="D17" t="str">
        <f t="shared" si="0"/>
        <v>P000001432</v>
      </c>
    </row>
    <row r="18" spans="2:4">
      <c r="B18" t="s">
        <v>8736</v>
      </c>
      <c r="C18">
        <f t="shared" si="1"/>
        <v>1433</v>
      </c>
      <c r="D18" t="str">
        <f t="shared" si="0"/>
        <v>P000001433</v>
      </c>
    </row>
    <row r="19" spans="2:4">
      <c r="B19" t="s">
        <v>8737</v>
      </c>
      <c r="C19">
        <f t="shared" si="1"/>
        <v>1434</v>
      </c>
      <c r="D19" t="str">
        <f t="shared" si="0"/>
        <v>P000001434</v>
      </c>
    </row>
    <row r="20" spans="2:4">
      <c r="B20" t="s">
        <v>8738</v>
      </c>
      <c r="C20">
        <f t="shared" si="1"/>
        <v>1435</v>
      </c>
      <c r="D20" t="str">
        <f t="shared" si="0"/>
        <v>P000001435</v>
      </c>
    </row>
    <row r="21" spans="2:4">
      <c r="B21" t="s">
        <v>8739</v>
      </c>
      <c r="C21">
        <f t="shared" si="1"/>
        <v>1436</v>
      </c>
      <c r="D21" t="str">
        <f t="shared" si="0"/>
        <v>P000001436</v>
      </c>
    </row>
    <row r="22" spans="2:4">
      <c r="B22" t="s">
        <v>8740</v>
      </c>
      <c r="C22">
        <f t="shared" si="1"/>
        <v>1437</v>
      </c>
      <c r="D22" t="str">
        <f t="shared" si="0"/>
        <v>P000001437</v>
      </c>
    </row>
    <row r="23" spans="2:4">
      <c r="B23" t="s">
        <v>8741</v>
      </c>
      <c r="C23">
        <f t="shared" si="1"/>
        <v>1438</v>
      </c>
      <c r="D23" t="str">
        <f t="shared" si="0"/>
        <v>P000001438</v>
      </c>
    </row>
    <row r="24" spans="2:4">
      <c r="B24" t="s">
        <v>8742</v>
      </c>
      <c r="C24">
        <f t="shared" si="1"/>
        <v>1439</v>
      </c>
      <c r="D24" t="str">
        <f t="shared" si="0"/>
        <v>P000001439</v>
      </c>
    </row>
    <row r="25" spans="2:4">
      <c r="B25" t="s">
        <v>8743</v>
      </c>
      <c r="C25">
        <f t="shared" si="1"/>
        <v>1440</v>
      </c>
      <c r="D25" t="str">
        <f t="shared" si="0"/>
        <v>P000001440</v>
      </c>
    </row>
    <row r="26" spans="2:4">
      <c r="B26" t="s">
        <v>8744</v>
      </c>
      <c r="C26">
        <f t="shared" si="1"/>
        <v>1441</v>
      </c>
      <c r="D26" t="str">
        <f t="shared" si="0"/>
        <v>P000001441</v>
      </c>
    </row>
    <row r="27" spans="2:4">
      <c r="B27" t="s">
        <v>8745</v>
      </c>
      <c r="C27">
        <f t="shared" si="1"/>
        <v>1442</v>
      </c>
      <c r="D27" t="str">
        <f t="shared" si="0"/>
        <v>P000001442</v>
      </c>
    </row>
    <row r="28" spans="2:4">
      <c r="B28" t="s">
        <v>8746</v>
      </c>
      <c r="C28">
        <f t="shared" si="1"/>
        <v>1443</v>
      </c>
      <c r="D28" t="str">
        <f t="shared" si="0"/>
        <v>P000001443</v>
      </c>
    </row>
    <row r="29" spans="2:4">
      <c r="B29" t="s">
        <v>8747</v>
      </c>
      <c r="C29">
        <f t="shared" si="1"/>
        <v>1444</v>
      </c>
      <c r="D29" t="str">
        <f t="shared" si="0"/>
        <v>P000001444</v>
      </c>
    </row>
    <row r="30" spans="2:4">
      <c r="B30" t="s">
        <v>8748</v>
      </c>
      <c r="C30">
        <f t="shared" si="1"/>
        <v>1445</v>
      </c>
      <c r="D30" t="str">
        <f t="shared" si="0"/>
        <v>P000001445</v>
      </c>
    </row>
    <row r="31" spans="2:4">
      <c r="B31" t="s">
        <v>8749</v>
      </c>
      <c r="C31">
        <f t="shared" si="1"/>
        <v>1446</v>
      </c>
      <c r="D31" t="str">
        <f t="shared" si="0"/>
        <v>P000001446</v>
      </c>
    </row>
    <row r="32" spans="2:4">
      <c r="B32" t="s">
        <v>8750</v>
      </c>
      <c r="C32">
        <f t="shared" si="1"/>
        <v>1447</v>
      </c>
      <c r="D32" t="str">
        <f t="shared" si="0"/>
        <v>P000001447</v>
      </c>
    </row>
    <row r="33" spans="2:4">
      <c r="B33" t="s">
        <v>8751</v>
      </c>
      <c r="C33">
        <f t="shared" si="1"/>
        <v>1448</v>
      </c>
      <c r="D33" t="str">
        <f t="shared" si="0"/>
        <v>P000001448</v>
      </c>
    </row>
    <row r="34" spans="2:4">
      <c r="B34" t="s">
        <v>8752</v>
      </c>
      <c r="C34">
        <f t="shared" si="1"/>
        <v>1449</v>
      </c>
      <c r="D34" t="str">
        <f t="shared" si="0"/>
        <v>P000001449</v>
      </c>
    </row>
    <row r="35" spans="2:4">
      <c r="B35" t="s">
        <v>8753</v>
      </c>
      <c r="C35">
        <f t="shared" si="1"/>
        <v>1450</v>
      </c>
      <c r="D35" t="str">
        <f t="shared" si="0"/>
        <v>P000001450</v>
      </c>
    </row>
    <row r="36" spans="2:4">
      <c r="B36" t="s">
        <v>8754</v>
      </c>
      <c r="C36">
        <f t="shared" si="1"/>
        <v>1451</v>
      </c>
      <c r="D36" t="str">
        <f t="shared" si="0"/>
        <v>P000001451</v>
      </c>
    </row>
    <row r="37" spans="2:4">
      <c r="B37" t="s">
        <v>8755</v>
      </c>
      <c r="C37">
        <f t="shared" si="1"/>
        <v>1452</v>
      </c>
      <c r="D37" t="str">
        <f t="shared" si="0"/>
        <v>P000001452</v>
      </c>
    </row>
    <row r="38" spans="2:4">
      <c r="B38" t="s">
        <v>8756</v>
      </c>
      <c r="C38">
        <f t="shared" si="1"/>
        <v>1453</v>
      </c>
      <c r="D38" t="str">
        <f t="shared" si="0"/>
        <v>P000001453</v>
      </c>
    </row>
    <row r="39" spans="2:4">
      <c r="B39" t="s">
        <v>8757</v>
      </c>
      <c r="C39">
        <f t="shared" si="1"/>
        <v>1454</v>
      </c>
      <c r="D39" t="str">
        <f t="shared" si="0"/>
        <v>P000001454</v>
      </c>
    </row>
    <row r="40" spans="2:4">
      <c r="B40" t="s">
        <v>8758</v>
      </c>
      <c r="C40">
        <f t="shared" si="1"/>
        <v>1455</v>
      </c>
      <c r="D40" t="str">
        <f t="shared" si="0"/>
        <v>P000001455</v>
      </c>
    </row>
    <row r="41" spans="2:4">
      <c r="B41" t="s">
        <v>8759</v>
      </c>
      <c r="C41">
        <f t="shared" si="1"/>
        <v>1456</v>
      </c>
      <c r="D41" t="str">
        <f t="shared" si="0"/>
        <v>P000001456</v>
      </c>
    </row>
    <row r="42" spans="2:4">
      <c r="B42" t="s">
        <v>8760</v>
      </c>
      <c r="C42">
        <f t="shared" si="1"/>
        <v>1457</v>
      </c>
      <c r="D42" t="str">
        <f t="shared" si="0"/>
        <v>P000001457</v>
      </c>
    </row>
    <row r="43" spans="2:4">
      <c r="B43" t="s">
        <v>8761</v>
      </c>
      <c r="C43">
        <f t="shared" si="1"/>
        <v>1458</v>
      </c>
      <c r="D43" t="str">
        <f t="shared" si="0"/>
        <v>P000001458</v>
      </c>
    </row>
    <row r="44" spans="2:4">
      <c r="B44" t="s">
        <v>8762</v>
      </c>
      <c r="C44">
        <f t="shared" si="1"/>
        <v>1459</v>
      </c>
      <c r="D44" t="str">
        <f t="shared" si="0"/>
        <v>P000001459</v>
      </c>
    </row>
    <row r="45" spans="2:4">
      <c r="B45" t="s">
        <v>8763</v>
      </c>
      <c r="C45">
        <f t="shared" si="1"/>
        <v>1460</v>
      </c>
      <c r="D45" t="str">
        <f t="shared" si="0"/>
        <v>P000001460</v>
      </c>
    </row>
    <row r="46" spans="2:4">
      <c r="B46" t="s">
        <v>8764</v>
      </c>
      <c r="C46">
        <f t="shared" si="1"/>
        <v>1461</v>
      </c>
      <c r="D46" t="str">
        <f t="shared" si="0"/>
        <v>P000001461</v>
      </c>
    </row>
    <row r="47" spans="2:4">
      <c r="B47" t="s">
        <v>8765</v>
      </c>
      <c r="C47">
        <f t="shared" si="1"/>
        <v>1462</v>
      </c>
      <c r="D47" t="str">
        <f t="shared" si="0"/>
        <v>P000001462</v>
      </c>
    </row>
    <row r="48" spans="2:4">
      <c r="B48" t="s">
        <v>8766</v>
      </c>
      <c r="C48">
        <f t="shared" si="1"/>
        <v>1463</v>
      </c>
      <c r="D48" t="str">
        <f t="shared" si="0"/>
        <v>P000001463</v>
      </c>
    </row>
    <row r="49" spans="2:4">
      <c r="B49" t="s">
        <v>8767</v>
      </c>
      <c r="C49">
        <f t="shared" si="1"/>
        <v>1464</v>
      </c>
      <c r="D49" t="str">
        <f t="shared" si="0"/>
        <v>P000001464</v>
      </c>
    </row>
    <row r="50" spans="2:4">
      <c r="B50" t="s">
        <v>8768</v>
      </c>
      <c r="C50">
        <f t="shared" si="1"/>
        <v>1465</v>
      </c>
      <c r="D50" t="str">
        <f t="shared" si="0"/>
        <v>P000001465</v>
      </c>
    </row>
    <row r="51" spans="2:4">
      <c r="B51" t="s">
        <v>8769</v>
      </c>
      <c r="C51">
        <f t="shared" si="1"/>
        <v>1466</v>
      </c>
      <c r="D51" t="str">
        <f t="shared" si="0"/>
        <v>P000001466</v>
      </c>
    </row>
    <row r="52" spans="2:4">
      <c r="B52" t="s">
        <v>8770</v>
      </c>
      <c r="C52">
        <f t="shared" si="1"/>
        <v>1467</v>
      </c>
      <c r="D52" t="str">
        <f t="shared" si="0"/>
        <v>P000001467</v>
      </c>
    </row>
    <row r="53" spans="2:4">
      <c r="B53" t="s">
        <v>8771</v>
      </c>
      <c r="C53">
        <f t="shared" si="1"/>
        <v>1468</v>
      </c>
      <c r="D53" t="str">
        <f t="shared" si="0"/>
        <v>P000001468</v>
      </c>
    </row>
    <row r="54" spans="2:4">
      <c r="B54" t="s">
        <v>8768</v>
      </c>
      <c r="C54">
        <f t="shared" si="1"/>
        <v>1469</v>
      </c>
      <c r="D54" t="str">
        <f t="shared" si="0"/>
        <v>P000001469</v>
      </c>
    </row>
    <row r="55" spans="2:4">
      <c r="B55" t="s">
        <v>8772</v>
      </c>
      <c r="C55">
        <f t="shared" si="1"/>
        <v>1470</v>
      </c>
      <c r="D55" t="str">
        <f t="shared" si="0"/>
        <v>P000001470</v>
      </c>
    </row>
    <row r="56" spans="2:4">
      <c r="B56" t="s">
        <v>8771</v>
      </c>
      <c r="C56">
        <f t="shared" si="1"/>
        <v>1471</v>
      </c>
      <c r="D56" t="str">
        <f t="shared" si="0"/>
        <v>P000001471</v>
      </c>
    </row>
    <row r="57" spans="2:4">
      <c r="B57" t="s">
        <v>4686</v>
      </c>
      <c r="C57">
        <f t="shared" si="1"/>
        <v>1472</v>
      </c>
      <c r="D57" t="str">
        <f t="shared" si="0"/>
        <v>P000001472</v>
      </c>
    </row>
    <row r="58" spans="2:4">
      <c r="B58" t="s">
        <v>8773</v>
      </c>
      <c r="C58">
        <f t="shared" si="1"/>
        <v>1473</v>
      </c>
      <c r="D58" t="str">
        <f t="shared" si="0"/>
        <v>P000001473</v>
      </c>
    </row>
    <row r="59" spans="2:4">
      <c r="B59" t="s">
        <v>8774</v>
      </c>
      <c r="C59">
        <f t="shared" si="1"/>
        <v>1474</v>
      </c>
      <c r="D59" t="str">
        <f t="shared" si="0"/>
        <v>P000001474</v>
      </c>
    </row>
    <row r="60" spans="2:4">
      <c r="B60" t="s">
        <v>8775</v>
      </c>
      <c r="C60">
        <f t="shared" si="1"/>
        <v>1475</v>
      </c>
      <c r="D60" t="str">
        <f t="shared" si="0"/>
        <v>P000001475</v>
      </c>
    </row>
    <row r="61" spans="2:4">
      <c r="B61" t="s">
        <v>8776</v>
      </c>
      <c r="C61">
        <f t="shared" si="1"/>
        <v>1476</v>
      </c>
      <c r="D61" t="str">
        <f t="shared" si="0"/>
        <v>P000001476</v>
      </c>
    </row>
    <row r="62" spans="2:4">
      <c r="B62" t="s">
        <v>8777</v>
      </c>
      <c r="C62">
        <f t="shared" si="1"/>
        <v>1477</v>
      </c>
      <c r="D62" t="str">
        <f t="shared" si="0"/>
        <v>P000001477</v>
      </c>
    </row>
    <row r="63" spans="2:4">
      <c r="B63" t="s">
        <v>8778</v>
      </c>
      <c r="C63">
        <f t="shared" si="1"/>
        <v>1478</v>
      </c>
      <c r="D63" t="str">
        <f t="shared" si="0"/>
        <v>P000001478</v>
      </c>
    </row>
    <row r="64" spans="2:4">
      <c r="B64" t="s">
        <v>8779</v>
      </c>
      <c r="C64">
        <f t="shared" si="1"/>
        <v>1479</v>
      </c>
      <c r="D64" t="str">
        <f t="shared" si="0"/>
        <v>P000001479</v>
      </c>
    </row>
    <row r="65" spans="2:4">
      <c r="B65" t="s">
        <v>8780</v>
      </c>
      <c r="C65">
        <f t="shared" si="1"/>
        <v>1480</v>
      </c>
      <c r="D65" t="str">
        <f t="shared" si="0"/>
        <v>P000001480</v>
      </c>
    </row>
    <row r="66" spans="2:4">
      <c r="B66" t="s">
        <v>8773</v>
      </c>
      <c r="C66">
        <f t="shared" si="1"/>
        <v>1481</v>
      </c>
      <c r="D66" t="str">
        <f t="shared" ref="D66:D71" si="2">+$A$1&amp;C66</f>
        <v>P000001481</v>
      </c>
    </row>
    <row r="67" spans="2:4">
      <c r="B67" t="s">
        <v>8778</v>
      </c>
      <c r="C67">
        <f t="shared" ref="C67:C71" si="3">+C66+1</f>
        <v>1482</v>
      </c>
      <c r="D67" t="str">
        <f t="shared" si="2"/>
        <v>P000001482</v>
      </c>
    </row>
    <row r="68" spans="2:4">
      <c r="B68" t="s">
        <v>8781</v>
      </c>
      <c r="C68">
        <f t="shared" si="3"/>
        <v>1483</v>
      </c>
      <c r="D68" t="str">
        <f t="shared" si="2"/>
        <v>P000001483</v>
      </c>
    </row>
    <row r="69" spans="2:4">
      <c r="B69" t="s">
        <v>8782</v>
      </c>
      <c r="C69">
        <f t="shared" si="3"/>
        <v>1484</v>
      </c>
      <c r="D69" t="str">
        <f t="shared" si="2"/>
        <v>P000001484</v>
      </c>
    </row>
    <row r="70" spans="2:4">
      <c r="B70" t="s">
        <v>4674</v>
      </c>
      <c r="C70">
        <f t="shared" si="3"/>
        <v>1485</v>
      </c>
      <c r="D70" t="str">
        <f t="shared" si="2"/>
        <v>P000001485</v>
      </c>
    </row>
    <row r="71" spans="2:4">
      <c r="B71" t="s">
        <v>8783</v>
      </c>
      <c r="C71">
        <f t="shared" si="3"/>
        <v>1486</v>
      </c>
      <c r="D71" t="str">
        <f t="shared" si="2"/>
        <v>P000001486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6622</v>
      </c>
      <c r="B263" s="36" t="s">
        <v>86</v>
      </c>
    </row>
    <row r="264" spans="1:2">
      <c r="A264" s="5" t="s">
        <v>6628</v>
      </c>
      <c r="B264" s="36" t="s">
        <v>86</v>
      </c>
    </row>
    <row r="265" spans="1:2">
      <c r="A265" s="5" t="s">
        <v>6631</v>
      </c>
      <c r="B265" s="36" t="s">
        <v>86</v>
      </c>
    </row>
    <row r="266" spans="1:2">
      <c r="A266" s="5" t="s">
        <v>6632</v>
      </c>
      <c r="B266" s="36" t="s">
        <v>86</v>
      </c>
    </row>
    <row r="267" spans="1:2">
      <c r="A267" s="5" t="s">
        <v>6638</v>
      </c>
      <c r="B267" s="36" t="s">
        <v>86</v>
      </c>
    </row>
    <row r="268" spans="1:2">
      <c r="A268" s="5" t="s">
        <v>6639</v>
      </c>
      <c r="B268" s="36" t="s">
        <v>86</v>
      </c>
    </row>
    <row r="269" spans="1:2">
      <c r="A269" s="5" t="s">
        <v>6649</v>
      </c>
      <c r="B269" s="36" t="s">
        <v>86</v>
      </c>
    </row>
    <row r="270" spans="1:2">
      <c r="A270" s="5" t="s">
        <v>6654</v>
      </c>
      <c r="B270" s="36" t="s">
        <v>86</v>
      </c>
    </row>
    <row r="271" spans="1:2">
      <c r="A271" s="5" t="s">
        <v>6658</v>
      </c>
      <c r="B271" s="36" t="s">
        <v>86</v>
      </c>
    </row>
    <row r="272" spans="1:2">
      <c r="A272" s="5" t="s">
        <v>6709</v>
      </c>
      <c r="B272" s="36" t="s">
        <v>86</v>
      </c>
    </row>
    <row r="273" spans="1:2">
      <c r="A273" s="5" t="s">
        <v>6716</v>
      </c>
      <c r="B273" s="36" t="s">
        <v>86</v>
      </c>
    </row>
    <row r="274" spans="1:2">
      <c r="A274" s="5" t="s">
        <v>6724</v>
      </c>
      <c r="B274" s="36" t="s">
        <v>86</v>
      </c>
    </row>
    <row r="275" spans="1:2">
      <c r="A275" s="5" t="s">
        <v>6729</v>
      </c>
      <c r="B275" s="36" t="s">
        <v>86</v>
      </c>
    </row>
    <row r="276" spans="1:2">
      <c r="A276" s="5" t="s">
        <v>6733</v>
      </c>
      <c r="B276" s="36" t="s">
        <v>86</v>
      </c>
    </row>
    <row r="277" spans="1:2">
      <c r="A277" s="5" t="s">
        <v>7582</v>
      </c>
      <c r="B277" s="36" t="s">
        <v>86</v>
      </c>
    </row>
    <row r="278" spans="1:2">
      <c r="A278" s="5" t="s">
        <v>7587</v>
      </c>
      <c r="B278" s="36" t="s">
        <v>86</v>
      </c>
    </row>
    <row r="279" spans="1:2">
      <c r="A279" s="46" t="s">
        <v>7626</v>
      </c>
      <c r="B279" s="36" t="s">
        <v>86</v>
      </c>
    </row>
    <row r="280" spans="1:2">
      <c r="A280" s="46" t="s">
        <v>7678</v>
      </c>
      <c r="B280" s="36" t="s">
        <v>86</v>
      </c>
    </row>
    <row r="281" spans="1:2">
      <c r="A281" s="46" t="s">
        <v>7753</v>
      </c>
      <c r="B281" s="36" t="s">
        <v>86</v>
      </c>
    </row>
    <row r="282" spans="1:2">
      <c r="A282" s="46" t="s">
        <v>7755</v>
      </c>
      <c r="B282" s="36" t="s">
        <v>86</v>
      </c>
    </row>
    <row r="283" spans="1:2">
      <c r="A283" s="46" t="s">
        <v>7879</v>
      </c>
      <c r="B283" s="36" t="s">
        <v>86</v>
      </c>
    </row>
    <row r="284" spans="1:2">
      <c r="A284" s="46" t="s">
        <v>7881</v>
      </c>
      <c r="B284" s="36" t="s">
        <v>86</v>
      </c>
    </row>
    <row r="285" spans="1:2">
      <c r="A285" s="5" t="s">
        <v>7158</v>
      </c>
      <c r="B285" s="36" t="s">
        <v>86</v>
      </c>
    </row>
    <row r="286" spans="1:2">
      <c r="A286" s="5" t="s">
        <v>7160</v>
      </c>
      <c r="B286" s="36" t="s">
        <v>86</v>
      </c>
    </row>
    <row r="287" spans="1:2">
      <c r="A287" s="47" t="s">
        <v>7907</v>
      </c>
      <c r="B287" s="36" t="s">
        <v>86</v>
      </c>
    </row>
    <row r="288" spans="1:2">
      <c r="A288" s="5" t="s">
        <v>7912</v>
      </c>
      <c r="B288" s="36" t="s">
        <v>86</v>
      </c>
    </row>
    <row r="289" spans="1:2">
      <c r="A289" s="5" t="s">
        <v>7978</v>
      </c>
      <c r="B289" s="36" t="s">
        <v>86</v>
      </c>
    </row>
    <row r="290" spans="1:2">
      <c r="A290" s="5" t="s">
        <v>7979</v>
      </c>
      <c r="B290" s="36" t="s">
        <v>86</v>
      </c>
    </row>
    <row r="291" spans="1:2">
      <c r="A291" s="47" t="s">
        <v>7910</v>
      </c>
      <c r="B291" s="36" t="s">
        <v>86</v>
      </c>
    </row>
    <row r="292" spans="1:2">
      <c r="A292" s="5" t="s">
        <v>7944</v>
      </c>
      <c r="B292" s="36" t="s">
        <v>86</v>
      </c>
    </row>
    <row r="293" spans="1:2">
      <c r="A293" s="5" t="s">
        <v>7947</v>
      </c>
      <c r="B293" s="36" t="s">
        <v>86</v>
      </c>
    </row>
    <row r="294" spans="1:2">
      <c r="A294" s="5" t="s">
        <v>8128</v>
      </c>
      <c r="B294" s="36" t="s">
        <v>86</v>
      </c>
    </row>
    <row r="295" spans="1:2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pvt</vt:lpstr>
      <vt:lpstr>STUCT1</vt:lpstr>
      <vt:lpstr>Sheet8</vt:lpstr>
      <vt:lpstr>Sheet7</vt:lpstr>
      <vt:lpstr>Sheet6</vt:lpstr>
      <vt:lpstr>Sheet5</vt:lpstr>
      <vt:lpstr>Sheet4</vt:lpstr>
      <vt:lpstr>Sheet2</vt:lpstr>
      <vt:lpstr>Sheet3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2026-02-06T00:08:55Z</dcterms:modified>
</cp:coreProperties>
</file>