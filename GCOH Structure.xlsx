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0E1FD59-866D-424D-A8B9-83193D2946B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4" sheetId="22" r:id="rId3"/>
    <sheet name="Sheet3" sheetId="21" r:id="rId4"/>
    <sheet name="Sheet2" sheetId="20" r:id="rId5"/>
    <sheet name="Sheet1" sheetId="18" r:id="rId6"/>
    <sheet name="Names" sheetId="5" r:id="rId7"/>
    <sheet name="NEW NODES" sheetId="6" r:id="rId8"/>
    <sheet name="People" sheetId="7" r:id="rId9"/>
    <sheet name="2023" sheetId="8" r:id="rId10"/>
    <sheet name="2024" sheetId="19" r:id="rId11"/>
    <sheet name="Sectors" sheetId="9" r:id="rId12"/>
    <sheet name="Okey" sheetId="10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1">STUCT1!#REF!</definedName>
  </definedNames>
  <calcPr calcId="181029"/>
  <pivotCaches>
    <pivotCache cacheId="25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683" i="1" l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1" i="21"/>
  <c r="C3" i="21"/>
  <c r="C4" i="21" s="1"/>
  <c r="C5" i="21" s="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  <c r="C39" i="21" s="1"/>
  <c r="C40" i="21" s="1"/>
  <c r="C41" i="21" s="1"/>
  <c r="C42" i="21" s="1"/>
  <c r="C43" i="21" s="1"/>
  <c r="C44" i="21" s="1"/>
  <c r="C45" i="21" s="1"/>
  <c r="C46" i="21" s="1"/>
  <c r="C2" i="21"/>
  <c r="H1680" i="1"/>
  <c r="H1681" i="1"/>
  <c r="H1682" i="1"/>
  <c r="H1683" i="1"/>
  <c r="H1678" i="1"/>
  <c r="H1679" i="1"/>
  <c r="H1668" i="1"/>
  <c r="H1669" i="1"/>
  <c r="H1670" i="1"/>
  <c r="H1671" i="1"/>
  <c r="H1672" i="1"/>
  <c r="H1673" i="1"/>
  <c r="H1674" i="1"/>
  <c r="H1675" i="1"/>
  <c r="H1676" i="1"/>
  <c r="H1677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22" i="1" l="1"/>
  <c r="H1621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77" i="1"/>
  <c r="H1578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50" i="1"/>
  <c r="J1549" i="1"/>
  <c r="J1548" i="1"/>
  <c r="J1547" i="1"/>
  <c r="J1546" i="1"/>
  <c r="J1545" i="1"/>
  <c r="J1544" i="1"/>
  <c r="J1543" i="1"/>
  <c r="J1542" i="1"/>
  <c r="J1541" i="1"/>
  <c r="H1542" i="1"/>
  <c r="H1543" i="1"/>
  <c r="H1544" i="1"/>
  <c r="H1545" i="1"/>
  <c r="H1546" i="1"/>
  <c r="H1547" i="1"/>
  <c r="H1548" i="1"/>
  <c r="H1549" i="1"/>
  <c r="H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J1524" i="1"/>
  <c r="J1523" i="1"/>
  <c r="J1522" i="1"/>
  <c r="J1521" i="1"/>
  <c r="J1520" i="1"/>
  <c r="J1519" i="1"/>
  <c r="J1518" i="1"/>
  <c r="H1519" i="1"/>
  <c r="H1520" i="1"/>
  <c r="H1521" i="1"/>
  <c r="H1522" i="1"/>
  <c r="H1523" i="1"/>
  <c r="H1524" i="1"/>
  <c r="H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</calcChain>
</file>

<file path=xl/sharedStrings.xml><?xml version="1.0" encoding="utf-8"?>
<sst xmlns="http://schemas.openxmlformats.org/spreadsheetml/2006/main" count="44124" uniqueCount="7863">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</sst>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683" totalsRowShown="0">
  <autoFilter ref="A1:M1683" xr:uid="{00000000-000C-0000-FFFF-FFFF00000000}">
    <filterColumn colId="7">
      <filters blank="1"/>
    </filterColumn>
  </autoFilter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49" t="s">
        <v>0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7158</v>
      </c>
      <c r="B4" s="48">
        <v>420</v>
      </c>
    </row>
    <row r="5" spans="1:2" x14ac:dyDescent="0.25">
      <c r="A5" s="58" t="s">
        <v>7581</v>
      </c>
      <c r="B5" s="48">
        <v>420</v>
      </c>
    </row>
    <row r="6" spans="1:2" x14ac:dyDescent="0.25">
      <c r="A6" s="32" t="s">
        <v>7160</v>
      </c>
      <c r="B6" s="48">
        <v>1</v>
      </c>
    </row>
    <row r="7" spans="1:2" x14ac:dyDescent="0.25">
      <c r="A7" s="58" t="s">
        <v>7581</v>
      </c>
      <c r="B7" s="48">
        <v>1</v>
      </c>
    </row>
    <row r="8" spans="1:2" x14ac:dyDescent="0.25">
      <c r="A8" s="32" t="s">
        <v>10</v>
      </c>
      <c r="B8" s="48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683"/>
  <sheetViews>
    <sheetView tabSelected="1" topLeftCell="A1632" workbookViewId="0">
      <selection activeCell="J1597" sqref="J1597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hidden="1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hidden="1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hidden="1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hidden="1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hidden="1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hidden="1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hidden="1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hidden="1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hidden="1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hidden="1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hidden="1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hidden="1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hidden="1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hidden="1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hidden="1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hidden="1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hidden="1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hidden="1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hidden="1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hidden="1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hidden="1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hidden="1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hidden="1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hidden="1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hidden="1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hidden="1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hidden="1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hidden="1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hidden="1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hidden="1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hidden="1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hidden="1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hidden="1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hidden="1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hidden="1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hidden="1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hidden="1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hidden="1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hidden="1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hidden="1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hidden="1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hidden="1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hidden="1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hidden="1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hidden="1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hidden="1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hidden="1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hidden="1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hidden="1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hidden="1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hidden="1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hidden="1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hidden="1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hidden="1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hidden="1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hidden="1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hidden="1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hidden="1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hidden="1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hidden="1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hidden="1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hidden="1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hidden="1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hidden="1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hidden="1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hidden="1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hidden="1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hidden="1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hidden="1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hidden="1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hidden="1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hidden="1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hidden="1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hidden="1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hidden="1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hidden="1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hidden="1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hidden="1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hidden="1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hidden="1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hidden="1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hidden="1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hidden="1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hidden="1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hidden="1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hidden="1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hidden="1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hidden="1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hidden="1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hidden="1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hidden="1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hidden="1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hidden="1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hidden="1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hidden="1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hidden="1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hidden="1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hidden="1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hidden="1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hidden="1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hidden="1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hidden="1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hidden="1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hidden="1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hidden="1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hidden="1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hidden="1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hidden="1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hidden="1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hidden="1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hidden="1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hidden="1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hidden="1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hidden="1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hidden="1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hidden="1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hidden="1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hidden="1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hidden="1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hidden="1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hidden="1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hidden="1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hidden="1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hidden="1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hidden="1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hidden="1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hidden="1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hidden="1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hidden="1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hidden="1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hidden="1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hidden="1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hidden="1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hidden="1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hidden="1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hidden="1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hidden="1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hidden="1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hidden="1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hidden="1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hidden="1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hidden="1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hidden="1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hidden="1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hidden="1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hidden="1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hidden="1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hidden="1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hidden="1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hidden="1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hidden="1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hidden="1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hidden="1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hidden="1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hidden="1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hidden="1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hidden="1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hidden="1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hidden="1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hidden="1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hidden="1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hidden="1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hidden="1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hidden="1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hidden="1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hidden="1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hidden="1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hidden="1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hidden="1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hidden="1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hidden="1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hidden="1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hidden="1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hidden="1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hidden="1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hidden="1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hidden="1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hidden="1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hidden="1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hidden="1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hidden="1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hidden="1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hidden="1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hidden="1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hidden="1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hidden="1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hidden="1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hidden="1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hidden="1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hidden="1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hidden="1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hidden="1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hidden="1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hidden="1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hidden="1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hidden="1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hidden="1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hidden="1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hidden="1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hidden="1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hidden="1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hidden="1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hidden="1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hidden="1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hidden="1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hidden="1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hidden="1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hidden="1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hidden="1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hidden="1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hidden="1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hidden="1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hidden="1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hidden="1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hidden="1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hidden="1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hidden="1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hidden="1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hidden="1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hidden="1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hidden="1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hidden="1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hidden="1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hidden="1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hidden="1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hidden="1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hidden="1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hidden="1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hidden="1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hidden="1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hidden="1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hidden="1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hidden="1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hidden="1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hidden="1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hidden="1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hidden="1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hidden="1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hidden="1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hidden="1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hidden="1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hidden="1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hidden="1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hidden="1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hidden="1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hidden="1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hidden="1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hidden="1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hidden="1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hidden="1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hidden="1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hidden="1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hidden="1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hidden="1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hidden="1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hidden="1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hidden="1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hidden="1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hidden="1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hidden="1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hidden="1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hidden="1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hidden="1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hidden="1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hidden="1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hidden="1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hidden="1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hidden="1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hidden="1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hidden="1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hidden="1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hidden="1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hidden="1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hidden="1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hidden="1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hidden="1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hidden="1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hidden="1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hidden="1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hidden="1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hidden="1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hidden="1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hidden="1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hidden="1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hidden="1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hidden="1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hidden="1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hidden="1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hidden="1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hidden="1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hidden="1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hidden="1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hidden="1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hidden="1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hidden="1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hidden="1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hidden="1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hidden="1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hidden="1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hidden="1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hidden="1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hidden="1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hidden="1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hidden="1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hidden="1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hidden="1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hidden="1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hidden="1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hidden="1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hidden="1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hidden="1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hidden="1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hidden="1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hidden="1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hidden="1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hidden="1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hidden="1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hidden="1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hidden="1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hidden="1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hidden="1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hidden="1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hidden="1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hidden="1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hidden="1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hidden="1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hidden="1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hidden="1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hidden="1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hidden="1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hidden="1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hidden="1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hidden="1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hidden="1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hidden="1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hidden="1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hidden="1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hidden="1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hidden="1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hidden="1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hidden="1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hidden="1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hidden="1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hidden="1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hidden="1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hidden="1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hidden="1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hidden="1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hidden="1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hidden="1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hidden="1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hidden="1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hidden="1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hidden="1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hidden="1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hidden="1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hidden="1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hidden="1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hidden="1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hidden="1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hidden="1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hidden="1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hidden="1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hidden="1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hidden="1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hidden="1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hidden="1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hidden="1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hidden="1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hidden="1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hidden="1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hidden="1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hidden="1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hidden="1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hidden="1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hidden="1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hidden="1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hidden="1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hidden="1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hidden="1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hidden="1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hidden="1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hidden="1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hidden="1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hidden="1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hidden="1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hidden="1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hidden="1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hidden="1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hidden="1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hidden="1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hidden="1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hidden="1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hidden="1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hidden="1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hidden="1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hidden="1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hidden="1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hidden="1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hidden="1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hidden="1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hidden="1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hidden="1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hidden="1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hidden="1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hidden="1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hidden="1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hidden="1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hidden="1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hidden="1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hidden="1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hidden="1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hidden="1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hidden="1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hidden="1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hidden="1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hidden="1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hidden="1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hidden="1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hidden="1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hidden="1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hidden="1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hidden="1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hidden="1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hidden="1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hidden="1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hidden="1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hidden="1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hidden="1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hidden="1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hidden="1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hidden="1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hidden="1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hidden="1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hidden="1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hidden="1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hidden="1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hidden="1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hidden="1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hidden="1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hidden="1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hidden="1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hidden="1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hidden="1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hidden="1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hidden="1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hidden="1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hidden="1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hidden="1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hidden="1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hidden="1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hidden="1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hidden="1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hidden="1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hidden="1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hidden="1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hidden="1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hidden="1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hidden="1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hidden="1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hidden="1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hidden="1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hidden="1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hidden="1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hidden="1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hidden="1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hidden="1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hidden="1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hidden="1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hidden="1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hidden="1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hidden="1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hidden="1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hidden="1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hidden="1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hidden="1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hidden="1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hidden="1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hidden="1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hidden="1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hidden="1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hidden="1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hidden="1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hidden="1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hidden="1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hidden="1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hidden="1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hidden="1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hidden="1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hidden="1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hidden="1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hidden="1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hidden="1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hidden="1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hidden="1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hidden="1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hidden="1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hidden="1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hidden="1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hidden="1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hidden="1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hidden="1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hidden="1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hidden="1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hidden="1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hidden="1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hidden="1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hidden="1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hidden="1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hidden="1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hidden="1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hidden="1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hidden="1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hidden="1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hidden="1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hidden="1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hidden="1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hidden="1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hidden="1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hidden="1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hidden="1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hidden="1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hidden="1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hidden="1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hidden="1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hidden="1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hidden="1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hidden="1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hidden="1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hidden="1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hidden="1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hidden="1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hidden="1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hidden="1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hidden="1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hidden="1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hidden="1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hidden="1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hidden="1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hidden="1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hidden="1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hidden="1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hidden="1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hidden="1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hidden="1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hidden="1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hidden="1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hidden="1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hidden="1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hidden="1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hidden="1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hidden="1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hidden="1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hidden="1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hidden="1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hidden="1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hidden="1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hidden="1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hidden="1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hidden="1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hidden="1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hidden="1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hidden="1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hidden="1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hidden="1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hidden="1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hidden="1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hidden="1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hidden="1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hidden="1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hidden="1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hidden="1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hidden="1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hidden="1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hidden="1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hidden="1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hidden="1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hidden="1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hidden="1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hidden="1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hidden="1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hidden="1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hidden="1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hidden="1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hidden="1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hidden="1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hidden="1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hidden="1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hidden="1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hidden="1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hidden="1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hidden="1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hidden="1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hidden="1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hidden="1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hidden="1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hidden="1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hidden="1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hidden="1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hidden="1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hidden="1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hidden="1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hidden="1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hidden="1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hidden="1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hidden="1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hidden="1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hidden="1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hidden="1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hidden="1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hidden="1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hidden="1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hidden="1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hidden="1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hidden="1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hidden="1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hidden="1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hidden="1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hidden="1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hidden="1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hidden="1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hidden="1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hidden="1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hidden="1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hidden="1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hidden="1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hidden="1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hidden="1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hidden="1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hidden="1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hidden="1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hidden="1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hidden="1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hidden="1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hidden="1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hidden="1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hidden="1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hidden="1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hidden="1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hidden="1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hidden="1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hidden="1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hidden="1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hidden="1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hidden="1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hidden="1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hidden="1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hidden="1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hidden="1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hidden="1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hidden="1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hidden="1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hidden="1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hidden="1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hidden="1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hidden="1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hidden="1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hidden="1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hidden="1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hidden="1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hidden="1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hidden="1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hidden="1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hidden="1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hidden="1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hidden="1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hidden="1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hidden="1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hidden="1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hidden="1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hidden="1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hidden="1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hidden="1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hidden="1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hidden="1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hidden="1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hidden="1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hidden="1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hidden="1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hidden="1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hidden="1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hidden="1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hidden="1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hidden="1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hidden="1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hidden="1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hidden="1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hidden="1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hidden="1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hidden="1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hidden="1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hidden="1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hidden="1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hidden="1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hidden="1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hidden="1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hidden="1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hidden="1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hidden="1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hidden="1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hidden="1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hidden="1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hidden="1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hidden="1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hidden="1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hidden="1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hidden="1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hidden="1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hidden="1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hidden="1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hidden="1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hidden="1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hidden="1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hidden="1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hidden="1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hidden="1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hidden="1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hidden="1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hidden="1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hidden="1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hidden="1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hidden="1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hidden="1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hidden="1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hidden="1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hidden="1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hidden="1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hidden="1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hidden="1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hidden="1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hidden="1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hidden="1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hidden="1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hidden="1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hidden="1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hidden="1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hidden="1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hidden="1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hidden="1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hidden="1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hidden="1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hidden="1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hidden="1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hidden="1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hidden="1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hidden="1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hidden="1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hidden="1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hidden="1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hidden="1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hidden="1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hidden="1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hidden="1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hidden="1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hidden="1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hidden="1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hidden="1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hidden="1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hidden="1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hidden="1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hidden="1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hidden="1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hidden="1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hidden="1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hidden="1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hidden="1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hidden="1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hidden="1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hidden="1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hidden="1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hidden="1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hidden="1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hidden="1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hidden="1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hidden="1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hidden="1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hidden="1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hidden="1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hidden="1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hidden="1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hidden="1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hidden="1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hidden="1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hidden="1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hidden="1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hidden="1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hidden="1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hidden="1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hidden="1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hidden="1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hidden="1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hidden="1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hidden="1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hidden="1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hidden="1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hidden="1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hidden="1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hidden="1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hidden="1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hidden="1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hidden="1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hidden="1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hidden="1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hidden="1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hidden="1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hidden="1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hidden="1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hidden="1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hidden="1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hidden="1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hidden="1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hidden="1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hidden="1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hidden="1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hidden="1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hidden="1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hidden="1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hidden="1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hidden="1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hidden="1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hidden="1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hidden="1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hidden="1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hidden="1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hidden="1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hidden="1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hidden="1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hidden="1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hidden="1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hidden="1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hidden="1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hidden="1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hidden="1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hidden="1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hidden="1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hidden="1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hidden="1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hidden="1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hidden="1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hidden="1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hidden="1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hidden="1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hidden="1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hidden="1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hidden="1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hidden="1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hidden="1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hidden="1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hidden="1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hidden="1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hidden="1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hidden="1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hidden="1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hidden="1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hidden="1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hidden="1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hidden="1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hidden="1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hidden="1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hidden="1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hidden="1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hidden="1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hidden="1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hidden="1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hidden="1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hidden="1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hidden="1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hidden="1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hidden="1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hidden="1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hidden="1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hidden="1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hidden="1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hidden="1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hidden="1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hidden="1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hidden="1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hidden="1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hidden="1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hidden="1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hidden="1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hidden="1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hidden="1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hidden="1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hidden="1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hidden="1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hidden="1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hidden="1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hidden="1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hidden="1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hidden="1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hidden="1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hidden="1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hidden="1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hidden="1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hidden="1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hidden="1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hidden="1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hidden="1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hidden="1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hidden="1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hidden="1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hidden="1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hidden="1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hidden="1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hidden="1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hidden="1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hidden="1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hidden="1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hidden="1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hidden="1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hidden="1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hidden="1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hidden="1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hidden="1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hidden="1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hidden="1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hidden="1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hidden="1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hidden="1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hidden="1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hidden="1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hidden="1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hidden="1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hidden="1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hidden="1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hidden="1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hidden="1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hidden="1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hidden="1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hidden="1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hidden="1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hidden="1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hidden="1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hidden="1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hidden="1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hidden="1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hidden="1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hidden="1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hidden="1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hidden="1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hidden="1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hidden="1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hidden="1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hidden="1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hidden="1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hidden="1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hidden="1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hidden="1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hidden="1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hidden="1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hidden="1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hidden="1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hidden="1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hidden="1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hidden="1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hidden="1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hidden="1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hidden="1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hidden="1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hidden="1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hidden="1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hidden="1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hidden="1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hidden="1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hidden="1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hidden="1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hidden="1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hidden="1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hidden="1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hidden="1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hidden="1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hidden="1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hidden="1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hidden="1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hidden="1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hidden="1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hidden="1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hidden="1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hidden="1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hidden="1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hidden="1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hidden="1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hidden="1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hidden="1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hidden="1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hidden="1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hidden="1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hidden="1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hidden="1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hidden="1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hidden="1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hidden="1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hidden="1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hidden="1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hidden="1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hidden="1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hidden="1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hidden="1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hidden="1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hidden="1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hidden="1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hidden="1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hidden="1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hidden="1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hidden="1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hidden="1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hidden="1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hidden="1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hidden="1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hidden="1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hidden="1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hidden="1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hidden="1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hidden="1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hidden="1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hidden="1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hidden="1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hidden="1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hidden="1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hidden="1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hidden="1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hidden="1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hidden="1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hidden="1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hidden="1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hidden="1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hidden="1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hidden="1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hidden="1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hidden="1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hidden="1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hidden="1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hidden="1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hidden="1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hidden="1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hidden="1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hidden="1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hidden="1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hidden="1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hidden="1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hidden="1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hidden="1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hidden="1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hidden="1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hidden="1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hidden="1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hidden="1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hidden="1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hidden="1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hidden="1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hidden="1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hidden="1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hidden="1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hidden="1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hidden="1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hidden="1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hidden="1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hidden="1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hidden="1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hidden="1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hidden="1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hidden="1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hidden="1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hidden="1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hidden="1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hidden="1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hidden="1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hidden="1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hidden="1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hidden="1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hidden="1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hidden="1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hidden="1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hidden="1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hidden="1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hidden="1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hidden="1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hidden="1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hidden="1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hidden="1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hidden="1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hidden="1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hidden="1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hidden="1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hidden="1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hidden="1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hidden="1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hidden="1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hidden="1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hidden="1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hidden="1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hidden="1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hidden="1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hidden="1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hidden="1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hidden="1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hidden="1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hidden="1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hidden="1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hidden="1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hidden="1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hidden="1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hidden="1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hidden="1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hidden="1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hidden="1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hidden="1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hidden="1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hidden="1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hidden="1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hidden="1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hidden="1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hidden="1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hidden="1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hidden="1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hidden="1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hidden="1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hidden="1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hidden="1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hidden="1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hidden="1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hidden="1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hidden="1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hidden="1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hidden="1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hidden="1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hidden="1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hidden="1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hidden="1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hidden="1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hidden="1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hidden="1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hidden="1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hidden="1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hidden="1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hidden="1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hidden="1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hidden="1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hidden="1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hidden="1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hidden="1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hidden="1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hidden="1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hidden="1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hidden="1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hidden="1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hidden="1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hidden="1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hidden="1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hidden="1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hidden="1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hidden="1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hidden="1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hidden="1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hidden="1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hidden="1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hidden="1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hidden="1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hidden="1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hidden="1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hidden="1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hidden="1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hidden="1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hidden="1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hidden="1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hidden="1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hidden="1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hidden="1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hidden="1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hidden="1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hidden="1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hidden="1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hidden="1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hidden="1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hidden="1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hidden="1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hidden="1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hidden="1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hidden="1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hidden="1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hidden="1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hidden="1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hidden="1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hidden="1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hidden="1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hidden="1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hidden="1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hidden="1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hidden="1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hidden="1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hidden="1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hidden="1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hidden="1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hidden="1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hidden="1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hidden="1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hidden="1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hidden="1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hidden="1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hidden="1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hidden="1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hidden="1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hidden="1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hidden="1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hidden="1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hidden="1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hidden="1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hidden="1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hidden="1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hidden="1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hidden="1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hidden="1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hidden="1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hidden="1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hidden="1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hidden="1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hidden="1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hidden="1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hidden="1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hidden="1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hidden="1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hidden="1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hidden="1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hidden="1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hidden="1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hidden="1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hidden="1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hidden="1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hidden="1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hidden="1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hidden="1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hidden="1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hidden="1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hidden="1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hidden="1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hidden="1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hidden="1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hidden="1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hidden="1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hidden="1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hidden="1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hidden="1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hidden="1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hidden="1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hidden="1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hidden="1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hidden="1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hidden="1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hidden="1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hidden="1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hidden="1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hidden="1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hidden="1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hidden="1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hidden="1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hidden="1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hidden="1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hidden="1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hidden="1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hidden="1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hidden="1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hidden="1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hidden="1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hidden="1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hidden="1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hidden="1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hidden="1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hidden="1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hidden="1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hidden="1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hidden="1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hidden="1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hidden="1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hidden="1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hidden="1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hidden="1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hidden="1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hidden="1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hidden="1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hidden="1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hidden="1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hidden="1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hidden="1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hidden="1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hidden="1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hidden="1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hidden="1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hidden="1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hidden="1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hidden="1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hidden="1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hidden="1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hidden="1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hidden="1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hidden="1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hidden="1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hidden="1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hidden="1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hidden="1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hidden="1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hidden="1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hidden="1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hidden="1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hidden="1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hidden="1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hidden="1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hidden="1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hidden="1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hidden="1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hidden="1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hidden="1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hidden="1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hidden="1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hidden="1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hidden="1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hidden="1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hidden="1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hidden="1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hidden="1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hidden="1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hidden="1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hidden="1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hidden="1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hidden="1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hidden="1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hidden="1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hidden="1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hidden="1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hidden="1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hidden="1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hidden="1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hidden="1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hidden="1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hidden="1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hidden="1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hidden="1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hidden="1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hidden="1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hidden="1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hidden="1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hidden="1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hidden="1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hidden="1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hidden="1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hidden="1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hidden="1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hidden="1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hidden="1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hidden="1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hidden="1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hidden="1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hidden="1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hidden="1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hidden="1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hidden="1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hidden="1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hidden="1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hidden="1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hidden="1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hidden="1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hidden="1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hidden="1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hidden="1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hidden="1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hidden="1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hidden="1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hidden="1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hidden="1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hidden="1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hidden="1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hidden="1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hidden="1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hidden="1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hidden="1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hidden="1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hidden="1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hidden="1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hidden="1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hidden="1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hidden="1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hidden="1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hidden="1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hidden="1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hidden="1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hidden="1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hidden="1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hidden="1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hidden="1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hidden="1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hidden="1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hidden="1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hidden="1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hidden="1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hidden="1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hidden="1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hidden="1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hidden="1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hidden="1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hidden="1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hidden="1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hidden="1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hidden="1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hidden="1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hidden="1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hidden="1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hidden="1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hidden="1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hidden="1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hidden="1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hidden="1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hidden="1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hidden="1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hidden="1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hidden="1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hidden="1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hidden="1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hidden="1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hidden="1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hidden="1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hidden="1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hidden="1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hidden="1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hidden="1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hidden="1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hidden="1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hidden="1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hidden="1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hidden="1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hidden="1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hidden="1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hidden="1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hidden="1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hidden="1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hidden="1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hidden="1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hidden="1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hidden="1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hidden="1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hidden="1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hidden="1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hidden="1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hidden="1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hidden="1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hidden="1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hidden="1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hidden="1" x14ac:dyDescent="0.25">
      <c r="A1475" s="46">
        <f t="shared" ref="A1475:A1538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hidden="1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hidden="1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hidden="1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hidden="1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hidden="1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hidden="1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hidden="1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hidden="1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hidden="1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hidden="1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hidden="1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hidden="1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hidden="1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hidden="1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hidden="1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hidden="1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hidden="1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hidden="1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hidden="1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hidden="1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hidden="1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hidden="1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hidden="1" x14ac:dyDescent="0.25">
      <c r="A1498" s="46">
        <f t="shared" si="23"/>
        <v>1497</v>
      </c>
      <c r="B1498" s="36" t="s">
        <v>4</v>
      </c>
      <c r="C1498" s="9" t="s">
        <v>7583</v>
      </c>
      <c r="D1498" s="36" t="s">
        <v>7582</v>
      </c>
      <c r="E1498" s="65" t="s">
        <v>7584</v>
      </c>
      <c r="F1498" s="36" t="s">
        <v>7585</v>
      </c>
      <c r="G1498" s="36" t="s">
        <v>14</v>
      </c>
      <c r="H1498" s="36" t="str">
        <f>IFERROR(VLOOKUP(Table2[[#This Row], [Ticket]],Okey!A:B,2,0),"")</f>
        <v>ok</v>
      </c>
      <c r="I1498" s="9" t="s">
        <v>5290</v>
      </c>
      <c r="J1498" s="36" t="str">
        <f>VLOOKUP(Table2[[#This Row], [Author]],People!A:B,2,0)</f>
        <v>HC</v>
      </c>
      <c r="M1498" s="36" t="s">
        <v>1613</v>
      </c>
    </row>
    <row r="1499" spans="1:13" hidden="1" x14ac:dyDescent="0.25">
      <c r="A1499" s="46">
        <f t="shared" si="23"/>
        <v>1498</v>
      </c>
      <c r="B1499" s="36" t="s">
        <v>4</v>
      </c>
      <c r="C1499" s="36" t="s">
        <v>7583</v>
      </c>
      <c r="D1499" s="9" t="s">
        <v>7586</v>
      </c>
      <c r="F1499" s="36" t="s">
        <v>7582</v>
      </c>
      <c r="G1499" s="9" t="s">
        <v>13</v>
      </c>
      <c r="H1499" s="36" t="str">
        <f>IFERROR(VLOOKUP(Table2[[#This Row], [Ticket]],Okey!A:B,2,0),"")</f>
        <v>ok</v>
      </c>
      <c r="I1499" s="36" t="s">
        <v>5290</v>
      </c>
      <c r="J1499" s="36" t="str">
        <f>VLOOKUP(Table2[[#This Row], [Author]],People!A:B,2,0)</f>
        <v>HC</v>
      </c>
      <c r="M1499" s="36" t="s">
        <v>1613</v>
      </c>
    </row>
    <row r="1500" spans="1:13" hidden="1" x14ac:dyDescent="0.25">
      <c r="A1500" s="46">
        <f t="shared" si="23"/>
        <v>1499</v>
      </c>
      <c r="B1500" s="36" t="s">
        <v>4</v>
      </c>
      <c r="C1500" s="36" t="s">
        <v>7583</v>
      </c>
      <c r="D1500" s="9" t="s">
        <v>7587</v>
      </c>
      <c r="F1500" s="36" t="s">
        <v>7582</v>
      </c>
      <c r="G1500" s="36" t="s">
        <v>13</v>
      </c>
      <c r="H1500" s="36" t="str">
        <f>IFERROR(VLOOKUP(Table2[[#This Row], [Ticket]],Okey!A:B,2,0),"")</f>
        <v>ok</v>
      </c>
      <c r="I1500" s="36" t="s">
        <v>5290</v>
      </c>
      <c r="J1500" s="36" t="str">
        <f>VLOOKUP(Table2[[#This Row], [Author]],People!A:B,2,0)</f>
        <v>HC</v>
      </c>
      <c r="M1500" s="36" t="s">
        <v>1613</v>
      </c>
    </row>
    <row r="1501" spans="1:13" hidden="1" x14ac:dyDescent="0.25">
      <c r="A1501" s="46">
        <f t="shared" si="23"/>
        <v>1500</v>
      </c>
      <c r="B1501" s="36" t="s">
        <v>4</v>
      </c>
      <c r="C1501" s="9" t="s">
        <v>7588</v>
      </c>
      <c r="D1501" s="36" t="s">
        <v>7599</v>
      </c>
      <c r="E1501" s="9" t="s">
        <v>7589</v>
      </c>
      <c r="F1501" s="9" t="s">
        <v>7609</v>
      </c>
      <c r="G1501" s="9" t="s">
        <v>14</v>
      </c>
      <c r="H1501" s="36" t="str">
        <f>IFERROR(VLOOKUP(Table2[[#This Row], [Ticket]],Okey!A:B,2,0),"")</f>
        <v>ok</v>
      </c>
      <c r="I1501" s="36" t="s">
        <v>5290</v>
      </c>
      <c r="J1501" s="36" t="str">
        <f>VLOOKUP(Table2[[#This Row], [Author]],People!A:B,2,0)</f>
        <v>HC</v>
      </c>
      <c r="M1501" s="9" t="s">
        <v>4787</v>
      </c>
    </row>
    <row r="1502" spans="1:13" hidden="1" x14ac:dyDescent="0.25">
      <c r="A1502" s="46">
        <f t="shared" si="23"/>
        <v>1501</v>
      </c>
      <c r="B1502" s="36" t="s">
        <v>4</v>
      </c>
      <c r="C1502" s="36" t="s">
        <v>7588</v>
      </c>
      <c r="D1502" s="9" t="s">
        <v>7600</v>
      </c>
      <c r="E1502" s="9" t="s">
        <v>7590</v>
      </c>
      <c r="F1502" s="9" t="s">
        <v>7610</v>
      </c>
      <c r="G1502" s="36" t="s">
        <v>14</v>
      </c>
      <c r="H1502" s="36" t="str">
        <f>IFERROR(VLOOKUP(Table2[[#This Row], [Ticket]],Okey!A:B,2,0),"")</f>
        <v>ok</v>
      </c>
      <c r="I1502" s="36" t="s">
        <v>5290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hidden="1" x14ac:dyDescent="0.25">
      <c r="A1503" s="46">
        <f t="shared" si="23"/>
        <v>1502</v>
      </c>
      <c r="B1503" s="36" t="s">
        <v>4</v>
      </c>
      <c r="C1503" s="36" t="s">
        <v>7588</v>
      </c>
      <c r="D1503" s="9" t="s">
        <v>7601</v>
      </c>
      <c r="E1503" s="9" t="s">
        <v>7591</v>
      </c>
      <c r="F1503" s="9" t="s">
        <v>7611</v>
      </c>
      <c r="G1503" s="36" t="s">
        <v>14</v>
      </c>
      <c r="H1503" s="36" t="str">
        <f>IFERROR(VLOOKUP(Table2[[#This Row], [Ticket]],Okey!A:B,2,0),"")</f>
        <v>ok</v>
      </c>
      <c r="I1503" s="36" t="s">
        <v>5290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hidden="1" x14ac:dyDescent="0.25">
      <c r="A1504" s="46">
        <f t="shared" si="23"/>
        <v>1503</v>
      </c>
      <c r="B1504" s="36" t="s">
        <v>4</v>
      </c>
      <c r="C1504" s="36" t="s">
        <v>7588</v>
      </c>
      <c r="D1504" s="9" t="s">
        <v>7602</v>
      </c>
      <c r="E1504" s="9" t="s">
        <v>7592</v>
      </c>
      <c r="F1504" s="9" t="s">
        <v>7611</v>
      </c>
      <c r="G1504" s="36" t="s">
        <v>14</v>
      </c>
      <c r="H1504" s="36" t="str">
        <f>IFERROR(VLOOKUP(Table2[[#This Row], [Ticket]],Okey!A:B,2,0),"")</f>
        <v>ok</v>
      </c>
      <c r="I1504" s="36" t="s">
        <v>5290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hidden="1" x14ac:dyDescent="0.25">
      <c r="A1505" s="46">
        <f t="shared" si="23"/>
        <v>1504</v>
      </c>
      <c r="B1505" s="36" t="s">
        <v>4</v>
      </c>
      <c r="C1505" s="36" t="s">
        <v>7588</v>
      </c>
      <c r="D1505" s="9" t="s">
        <v>7603</v>
      </c>
      <c r="E1505" s="9" t="s">
        <v>7593</v>
      </c>
      <c r="F1505" s="9" t="s">
        <v>7612</v>
      </c>
      <c r="G1505" s="36" t="s">
        <v>14</v>
      </c>
      <c r="H1505" s="36" t="str">
        <f>IFERROR(VLOOKUP(Table2[[#This Row], [Ticket]],Okey!A:B,2,0),"")</f>
        <v>ok</v>
      </c>
      <c r="I1505" s="36" t="s">
        <v>5290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hidden="1" x14ac:dyDescent="0.25">
      <c r="A1506" s="46">
        <f t="shared" si="23"/>
        <v>1505</v>
      </c>
      <c r="B1506" s="36" t="s">
        <v>4</v>
      </c>
      <c r="C1506" s="36" t="s">
        <v>7588</v>
      </c>
      <c r="D1506" s="9" t="s">
        <v>7604</v>
      </c>
      <c r="E1506" s="9" t="s">
        <v>7594</v>
      </c>
      <c r="F1506" s="9" t="s">
        <v>7612</v>
      </c>
      <c r="G1506" s="36" t="s">
        <v>14</v>
      </c>
      <c r="H1506" s="36" t="str">
        <f>IFERROR(VLOOKUP(Table2[[#This Row], [Ticket]],Okey!A:B,2,0),"")</f>
        <v>ok</v>
      </c>
      <c r="I1506" s="36" t="s">
        <v>5290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hidden="1" x14ac:dyDescent="0.25">
      <c r="A1507" s="46">
        <f t="shared" si="23"/>
        <v>1506</v>
      </c>
      <c r="B1507" s="36" t="s">
        <v>4</v>
      </c>
      <c r="C1507" s="36" t="s">
        <v>7588</v>
      </c>
      <c r="D1507" s="9" t="s">
        <v>7605</v>
      </c>
      <c r="E1507" s="9" t="s">
        <v>7595</v>
      </c>
      <c r="F1507" t="s">
        <v>7601</v>
      </c>
      <c r="G1507" s="36" t="s">
        <v>14</v>
      </c>
      <c r="H1507" s="36" t="str">
        <f>IFERROR(VLOOKUP(Table2[[#This Row], [Ticket]],Okey!A:B,2,0),"")</f>
        <v>ok</v>
      </c>
      <c r="I1507" s="36" t="s">
        <v>5290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hidden="1" x14ac:dyDescent="0.25">
      <c r="A1508" s="46">
        <f t="shared" si="23"/>
        <v>1507</v>
      </c>
      <c r="B1508" s="36" t="s">
        <v>4</v>
      </c>
      <c r="C1508" s="36" t="s">
        <v>7588</v>
      </c>
      <c r="D1508" s="9" t="s">
        <v>7606</v>
      </c>
      <c r="E1508" s="9" t="s">
        <v>7596</v>
      </c>
      <c r="F1508" t="s">
        <v>7602</v>
      </c>
      <c r="G1508" s="36" t="s">
        <v>14</v>
      </c>
      <c r="H1508" s="36" t="str">
        <f>IFERROR(VLOOKUP(Table2[[#This Row], [Ticket]],Okey!A:B,2,0),"")</f>
        <v>ok</v>
      </c>
      <c r="I1508" s="36" t="s">
        <v>5290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hidden="1" x14ac:dyDescent="0.25">
      <c r="A1509" s="46">
        <f t="shared" si="23"/>
        <v>1508</v>
      </c>
      <c r="B1509" s="36" t="s">
        <v>4</v>
      </c>
      <c r="C1509" s="36" t="s">
        <v>7588</v>
      </c>
      <c r="D1509" s="9" t="s">
        <v>7607</v>
      </c>
      <c r="E1509" s="9" t="s">
        <v>7597</v>
      </c>
      <c r="F1509" t="s">
        <v>7603</v>
      </c>
      <c r="G1509" s="36" t="s">
        <v>14</v>
      </c>
      <c r="H1509" s="36" t="str">
        <f>IFERROR(VLOOKUP(Table2[[#This Row], [Ticket]],Okey!A:B,2,0),"")</f>
        <v>ok</v>
      </c>
      <c r="I1509" s="36" t="s">
        <v>5290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hidden="1" x14ac:dyDescent="0.25">
      <c r="A1510" s="46">
        <f t="shared" si="23"/>
        <v>1509</v>
      </c>
      <c r="B1510" s="36" t="s">
        <v>4</v>
      </c>
      <c r="C1510" s="36" t="s">
        <v>7588</v>
      </c>
      <c r="D1510" s="9" t="s">
        <v>7608</v>
      </c>
      <c r="E1510" s="9" t="s">
        <v>7598</v>
      </c>
      <c r="F1510" t="s">
        <v>7604</v>
      </c>
      <c r="G1510" s="36" t="s">
        <v>14</v>
      </c>
      <c r="H1510" s="36" t="str">
        <f>IFERROR(VLOOKUP(Table2[[#This Row], [Ticket]],Okey!A:B,2,0),"")</f>
        <v>ok</v>
      </c>
      <c r="I1510" s="36" t="s">
        <v>5290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hidden="1" x14ac:dyDescent="0.25">
      <c r="A1511" s="46">
        <f t="shared" si="23"/>
        <v>1510</v>
      </c>
      <c r="B1511" s="36" t="s">
        <v>4</v>
      </c>
      <c r="C1511" s="36" t="s">
        <v>7588</v>
      </c>
      <c r="D1511" s="9" t="s">
        <v>7613</v>
      </c>
      <c r="E1511" s="9" t="s">
        <v>7620</v>
      </c>
      <c r="G1511" s="9" t="s">
        <v>15</v>
      </c>
      <c r="H1511" s="36" t="str">
        <f>IFERROR(VLOOKUP(Table2[[#This Row], [Ticket]],Okey!A:B,2,0),"")</f>
        <v>ok</v>
      </c>
      <c r="I1511" s="36" t="s">
        <v>5290</v>
      </c>
      <c r="J1511" s="36" t="str">
        <f>VLOOKUP(Table2[[#This Row], [Author]],People!A:B,2,0)</f>
        <v>HC</v>
      </c>
      <c r="M1511" s="36" t="s">
        <v>4787</v>
      </c>
    </row>
    <row r="1512" spans="1:13" hidden="1" x14ac:dyDescent="0.25">
      <c r="A1512" s="46">
        <f t="shared" si="23"/>
        <v>1511</v>
      </c>
      <c r="B1512" s="36" t="s">
        <v>4</v>
      </c>
      <c r="C1512" s="36" t="s">
        <v>7588</v>
      </c>
      <c r="D1512" s="9" t="s">
        <v>7614</v>
      </c>
      <c r="E1512" s="9" t="s">
        <v>7621</v>
      </c>
      <c r="G1512" s="36" t="s">
        <v>15</v>
      </c>
      <c r="H1512" s="36" t="str">
        <f>IFERROR(VLOOKUP(Table2[[#This Row], [Ticket]],Okey!A:B,2,0),"")</f>
        <v>ok</v>
      </c>
      <c r="I1512" s="36" t="s">
        <v>5290</v>
      </c>
      <c r="J1512" s="36" t="str">
        <f>VLOOKUP(Table2[[#This Row], [Author]],People!A:B,2,0)</f>
        <v>HC</v>
      </c>
      <c r="M1512" s="36" t="s">
        <v>4787</v>
      </c>
    </row>
    <row r="1513" spans="1:13" hidden="1" x14ac:dyDescent="0.25">
      <c r="A1513" s="46">
        <f t="shared" si="23"/>
        <v>1512</v>
      </c>
      <c r="B1513" s="36" t="s">
        <v>4</v>
      </c>
      <c r="C1513" s="36" t="s">
        <v>7588</v>
      </c>
      <c r="D1513" s="9" t="s">
        <v>7615</v>
      </c>
      <c r="E1513" s="9" t="s">
        <v>7622</v>
      </c>
      <c r="G1513" s="36" t="s">
        <v>15</v>
      </c>
      <c r="H1513" s="36" t="str">
        <f>IFERROR(VLOOKUP(Table2[[#This Row], [Ticket]],Okey!A:B,2,0),"")</f>
        <v>ok</v>
      </c>
      <c r="I1513" s="36" t="s">
        <v>5290</v>
      </c>
      <c r="J1513" s="36" t="str">
        <f>VLOOKUP(Table2[[#This Row], [Author]],People!A:B,2,0)</f>
        <v>HC</v>
      </c>
      <c r="M1513" s="36" t="s">
        <v>4787</v>
      </c>
    </row>
    <row r="1514" spans="1:13" hidden="1" x14ac:dyDescent="0.25">
      <c r="A1514" s="46">
        <f t="shared" si="23"/>
        <v>1513</v>
      </c>
      <c r="B1514" s="36" t="s">
        <v>4</v>
      </c>
      <c r="C1514" s="36" t="s">
        <v>7588</v>
      </c>
      <c r="D1514" s="9" t="s">
        <v>7616</v>
      </c>
      <c r="E1514" s="9" t="s">
        <v>7623</v>
      </c>
      <c r="G1514" s="36" t="s">
        <v>15</v>
      </c>
      <c r="H1514" s="36" t="str">
        <f>IFERROR(VLOOKUP(Table2[[#This Row], [Ticket]],Okey!A:B,2,0),"")</f>
        <v>ok</v>
      </c>
      <c r="I1514" s="36" t="s">
        <v>5290</v>
      </c>
      <c r="J1514" s="36" t="str">
        <f>VLOOKUP(Table2[[#This Row], [Author]],People!A:B,2,0)</f>
        <v>HC</v>
      </c>
      <c r="M1514" s="36" t="s">
        <v>4787</v>
      </c>
    </row>
    <row r="1515" spans="1:13" hidden="1" x14ac:dyDescent="0.25">
      <c r="A1515" s="46">
        <f t="shared" si="23"/>
        <v>1514</v>
      </c>
      <c r="B1515" s="36" t="s">
        <v>4</v>
      </c>
      <c r="C1515" s="36" t="s">
        <v>7588</v>
      </c>
      <c r="D1515" s="9" t="s">
        <v>7617</v>
      </c>
      <c r="E1515" s="9" t="s">
        <v>7624</v>
      </c>
      <c r="G1515" s="36" t="s">
        <v>15</v>
      </c>
      <c r="H1515" s="36" t="str">
        <f>IFERROR(VLOOKUP(Table2[[#This Row], [Ticket]],Okey!A:B,2,0),"")</f>
        <v>ok</v>
      </c>
      <c r="I1515" s="36" t="s">
        <v>5290</v>
      </c>
      <c r="J1515" s="36" t="str">
        <f>VLOOKUP(Table2[[#This Row], [Author]],People!A:B,2,0)</f>
        <v>HC</v>
      </c>
      <c r="M1515" s="36" t="s">
        <v>4787</v>
      </c>
    </row>
    <row r="1516" spans="1:13" hidden="1" x14ac:dyDescent="0.25">
      <c r="A1516" s="46">
        <f t="shared" si="23"/>
        <v>1515</v>
      </c>
      <c r="B1516" s="36" t="s">
        <v>4</v>
      </c>
      <c r="C1516" s="36" t="s">
        <v>7588</v>
      </c>
      <c r="D1516" s="9" t="s">
        <v>7618</v>
      </c>
      <c r="E1516" s="9" t="s">
        <v>7625</v>
      </c>
      <c r="G1516" s="36" t="s">
        <v>15</v>
      </c>
      <c r="H1516" s="36" t="str">
        <f>IFERROR(VLOOKUP(Table2[[#This Row], [Ticket]],Okey!A:B,2,0),"")</f>
        <v>ok</v>
      </c>
      <c r="I1516" s="36" t="s">
        <v>5290</v>
      </c>
      <c r="J1516" s="36" t="str">
        <f>VLOOKUP(Table2[[#This Row], [Author]],People!A:B,2,0)</f>
        <v>HC</v>
      </c>
      <c r="M1516" s="36" t="s">
        <v>4787</v>
      </c>
    </row>
    <row r="1517" spans="1:13" hidden="1" x14ac:dyDescent="0.25">
      <c r="A1517" s="46">
        <f t="shared" si="23"/>
        <v>1516</v>
      </c>
      <c r="B1517" s="36" t="s">
        <v>4</v>
      </c>
      <c r="C1517" s="36" t="s">
        <v>7588</v>
      </c>
      <c r="D1517" s="9" t="s">
        <v>7619</v>
      </c>
      <c r="E1517" s="9" t="s">
        <v>7626</v>
      </c>
      <c r="G1517" s="36" t="s">
        <v>15</v>
      </c>
      <c r="H1517" s="36" t="str">
        <f>IFERROR(VLOOKUP(Table2[[#This Row], [Ticket]],Okey!A:B,2,0),"")</f>
        <v>ok</v>
      </c>
      <c r="I1517" s="36" t="s">
        <v>5290</v>
      </c>
      <c r="J1517" s="36" t="str">
        <f>VLOOKUP(Table2[[#This Row], [Author]],People!A:B,2,0)</f>
        <v>HC</v>
      </c>
      <c r="M1517" s="36" t="s">
        <v>4787</v>
      </c>
    </row>
    <row r="1518" spans="1:13" x14ac:dyDescent="0.25">
      <c r="A1518" s="46">
        <f t="shared" si="23"/>
        <v>1517</v>
      </c>
      <c r="B1518" s="36" t="s">
        <v>4</v>
      </c>
      <c r="C1518" s="9" t="s">
        <v>7627</v>
      </c>
      <c r="D1518" s="36" t="s">
        <v>7635</v>
      </c>
      <c r="E1518" s="9" t="s">
        <v>7628</v>
      </c>
      <c r="F1518" s="9" t="s">
        <v>4840</v>
      </c>
      <c r="G1518" s="36" t="s">
        <v>14</v>
      </c>
      <c r="H1518" s="36" t="str">
        <f>IFERROR(VLOOKUP(Table2[[#This Row], [Ticket]],Okey!A:B,2,0),"")</f>
        <v/>
      </c>
      <c r="I1518" s="9" t="s">
        <v>6455</v>
      </c>
      <c r="J1518" s="36" t="str">
        <f>VLOOKUP(Table2[[#This Row], [Author]],People!A:B,2,0)</f>
        <v>MGF</v>
      </c>
      <c r="K1518" s="9" t="s">
        <v>7860</v>
      </c>
      <c r="M1518" s="9" t="s">
        <v>4778</v>
      </c>
    </row>
    <row r="1519" spans="1:13" x14ac:dyDescent="0.25">
      <c r="A1519" s="46">
        <f t="shared" si="23"/>
        <v>1518</v>
      </c>
      <c r="B1519" s="36" t="s">
        <v>4</v>
      </c>
      <c r="C1519" s="36" t="s">
        <v>7627</v>
      </c>
      <c r="D1519" s="36" t="s">
        <v>7636</v>
      </c>
      <c r="E1519" s="9" t="s">
        <v>7629</v>
      </c>
      <c r="F1519" s="9" t="s">
        <v>6422</v>
      </c>
      <c r="G1519" s="36" t="s">
        <v>14</v>
      </c>
      <c r="H1519" s="36" t="str">
        <f>IFERROR(VLOOKUP(Table2[[#This Row], [Ticket]],Okey!A:B,2,0),"")</f>
        <v/>
      </c>
      <c r="I1519" s="36" t="s">
        <v>6455</v>
      </c>
      <c r="J1519" s="36" t="str">
        <f>VLOOKUP(Table2[[#This Row], [Author]],People!A:B,2,0)</f>
        <v>MGF</v>
      </c>
      <c r="K1519" s="36" t="s">
        <v>7860</v>
      </c>
      <c r="M1519" s="36" t="s">
        <v>4778</v>
      </c>
    </row>
    <row r="1520" spans="1:13" x14ac:dyDescent="0.25">
      <c r="A1520" s="46">
        <f t="shared" si="23"/>
        <v>1519</v>
      </c>
      <c r="B1520" s="36" t="s">
        <v>4</v>
      </c>
      <c r="C1520" s="36" t="s">
        <v>7627</v>
      </c>
      <c r="D1520" s="36" t="s">
        <v>7637</v>
      </c>
      <c r="E1520" s="9" t="s">
        <v>7630</v>
      </c>
      <c r="F1520" s="9" t="s">
        <v>7642</v>
      </c>
      <c r="G1520" s="36" t="s">
        <v>14</v>
      </c>
      <c r="H1520" s="36" t="str">
        <f>IFERROR(VLOOKUP(Table2[[#This Row], [Ticket]],Okey!A:B,2,0),"")</f>
        <v/>
      </c>
      <c r="I1520" s="36" t="s">
        <v>6455</v>
      </c>
      <c r="J1520" s="36" t="str">
        <f>VLOOKUP(Table2[[#This Row], [Author]],People!A:B,2,0)</f>
        <v>MGF</v>
      </c>
      <c r="K1520" s="36" t="s">
        <v>7860</v>
      </c>
      <c r="M1520" s="36" t="s">
        <v>4778</v>
      </c>
    </row>
    <row r="1521" spans="1:13" x14ac:dyDescent="0.25">
      <c r="A1521" s="46">
        <f t="shared" si="23"/>
        <v>1520</v>
      </c>
      <c r="B1521" s="36" t="s">
        <v>4</v>
      </c>
      <c r="C1521" s="36" t="s">
        <v>7627</v>
      </c>
      <c r="D1521" s="36" t="s">
        <v>7638</v>
      </c>
      <c r="E1521" s="9" t="s">
        <v>7631</v>
      </c>
      <c r="F1521" s="9" t="s">
        <v>3660</v>
      </c>
      <c r="G1521" s="36" t="s">
        <v>14</v>
      </c>
      <c r="H1521" s="36" t="str">
        <f>IFERROR(VLOOKUP(Table2[[#This Row], [Ticket]],Okey!A:B,2,0),"")</f>
        <v/>
      </c>
      <c r="I1521" s="36" t="s">
        <v>6455</v>
      </c>
      <c r="J1521" s="36" t="str">
        <f>VLOOKUP(Table2[[#This Row], [Author]],People!A:B,2,0)</f>
        <v>MGF</v>
      </c>
      <c r="K1521" s="36" t="s">
        <v>7860</v>
      </c>
      <c r="M1521" s="36" t="s">
        <v>4778</v>
      </c>
    </row>
    <row r="1522" spans="1:13" x14ac:dyDescent="0.25">
      <c r="A1522" s="46">
        <f t="shared" si="23"/>
        <v>1521</v>
      </c>
      <c r="B1522" s="36" t="s">
        <v>4</v>
      </c>
      <c r="C1522" s="36" t="s">
        <v>7627</v>
      </c>
      <c r="D1522" s="36" t="s">
        <v>7639</v>
      </c>
      <c r="E1522" s="9" t="s">
        <v>7632</v>
      </c>
      <c r="F1522" s="36" t="s">
        <v>7638</v>
      </c>
      <c r="G1522" s="36" t="s">
        <v>14</v>
      </c>
      <c r="H1522" s="36" t="str">
        <f>IFERROR(VLOOKUP(Table2[[#This Row], [Ticket]],Okey!A:B,2,0),"")</f>
        <v/>
      </c>
      <c r="I1522" s="36" t="s">
        <v>6455</v>
      </c>
      <c r="J1522" s="36" t="str">
        <f>VLOOKUP(Table2[[#This Row], [Author]],People!A:B,2,0)</f>
        <v>MGF</v>
      </c>
      <c r="K1522" s="36" t="s">
        <v>7860</v>
      </c>
      <c r="M1522" s="36" t="s">
        <v>4778</v>
      </c>
    </row>
    <row r="1523" spans="1:13" x14ac:dyDescent="0.25">
      <c r="A1523" s="46">
        <f t="shared" si="23"/>
        <v>1522</v>
      </c>
      <c r="B1523" s="36" t="s">
        <v>4</v>
      </c>
      <c r="C1523" s="36" t="s">
        <v>7627</v>
      </c>
      <c r="D1523" s="36" t="s">
        <v>7640</v>
      </c>
      <c r="E1523" s="9" t="s">
        <v>7633</v>
      </c>
      <c r="F1523" s="36" t="s">
        <v>7638</v>
      </c>
      <c r="G1523" s="36" t="s">
        <v>14</v>
      </c>
      <c r="H1523" s="36" t="str">
        <f>IFERROR(VLOOKUP(Table2[[#This Row], [Ticket]],Okey!A:B,2,0),"")</f>
        <v/>
      </c>
      <c r="I1523" s="36" t="s">
        <v>6455</v>
      </c>
      <c r="J1523" s="36" t="str">
        <f>VLOOKUP(Table2[[#This Row], [Author]],People!A:B,2,0)</f>
        <v>MGF</v>
      </c>
      <c r="K1523" s="36" t="s">
        <v>7860</v>
      </c>
      <c r="M1523" s="36" t="s">
        <v>4778</v>
      </c>
    </row>
    <row r="1524" spans="1:13" x14ac:dyDescent="0.25">
      <c r="A1524" s="46">
        <f t="shared" si="23"/>
        <v>1523</v>
      </c>
      <c r="B1524" s="36" t="s">
        <v>4</v>
      </c>
      <c r="C1524" s="36" t="s">
        <v>7627</v>
      </c>
      <c r="D1524" s="36" t="s">
        <v>7641</v>
      </c>
      <c r="E1524" s="9" t="s">
        <v>7634</v>
      </c>
      <c r="F1524" s="36" t="s">
        <v>7638</v>
      </c>
      <c r="G1524" s="36" t="s">
        <v>14</v>
      </c>
      <c r="H1524" s="36" t="str">
        <f>IFERROR(VLOOKUP(Table2[[#This Row], [Ticket]],Okey!A:B,2,0),"")</f>
        <v/>
      </c>
      <c r="I1524" s="36" t="s">
        <v>6455</v>
      </c>
      <c r="J1524" s="36" t="str">
        <f>VLOOKUP(Table2[[#This Row], [Author]],People!A:B,2,0)</f>
        <v>MGF</v>
      </c>
      <c r="K1524" s="36" t="s">
        <v>7860</v>
      </c>
      <c r="M1524" s="36" t="s">
        <v>4778</v>
      </c>
    </row>
    <row r="1525" spans="1:13" x14ac:dyDescent="0.25">
      <c r="A1525" s="46">
        <f t="shared" si="23"/>
        <v>1524</v>
      </c>
      <c r="B1525" s="36" t="s">
        <v>4</v>
      </c>
      <c r="C1525" s="36" t="s">
        <v>7627</v>
      </c>
      <c r="D1525" s="9" t="s">
        <v>7643</v>
      </c>
      <c r="E1525" s="9" t="s">
        <v>7644</v>
      </c>
      <c r="G1525" s="9" t="s">
        <v>15</v>
      </c>
      <c r="H1525" s="36" t="str">
        <f>IFERROR(VLOOKUP(Table2[[#This Row], [Ticket]],Okey!A:B,2,0),"")</f>
        <v/>
      </c>
      <c r="I1525" s="9" t="s">
        <v>6455</v>
      </c>
      <c r="J1525" s="36" t="str">
        <f>VLOOKUP(Table2[[#This Row], [Author]],People!A:B,2,0)</f>
        <v>MGF</v>
      </c>
      <c r="K1525" s="36" t="s">
        <v>7859</v>
      </c>
      <c r="L1525" s="36"/>
      <c r="M1525" s="36" t="s">
        <v>4778</v>
      </c>
    </row>
    <row r="1526" spans="1:13" x14ac:dyDescent="0.25">
      <c r="A1526" s="46">
        <f t="shared" si="23"/>
        <v>1525</v>
      </c>
      <c r="B1526" s="36" t="s">
        <v>4</v>
      </c>
      <c r="C1526" s="36" t="s">
        <v>7627</v>
      </c>
      <c r="D1526" s="9" t="s">
        <v>7645</v>
      </c>
      <c r="E1526" s="9" t="s">
        <v>7646</v>
      </c>
      <c r="G1526" s="36" t="s">
        <v>15</v>
      </c>
      <c r="H1526" s="36" t="str">
        <f>IFERROR(VLOOKUP(Table2[[#This Row], [Ticket]],Okey!A:B,2,0),"")</f>
        <v/>
      </c>
      <c r="I1526" s="36" t="s">
        <v>6455</v>
      </c>
      <c r="J1526" s="36" t="str">
        <f>VLOOKUP(Table2[[#This Row], [Author]],People!A:B,2,0)</f>
        <v>MGF</v>
      </c>
      <c r="K1526" s="36" t="s">
        <v>7859</v>
      </c>
      <c r="L1526" s="36"/>
      <c r="M1526" s="36" t="s">
        <v>4778</v>
      </c>
    </row>
    <row r="1527" spans="1:13" x14ac:dyDescent="0.25">
      <c r="A1527" s="46">
        <f t="shared" si="23"/>
        <v>1526</v>
      </c>
      <c r="B1527" s="36" t="s">
        <v>4</v>
      </c>
      <c r="C1527" s="36" t="s">
        <v>7627</v>
      </c>
      <c r="D1527" s="9" t="s">
        <v>7647</v>
      </c>
      <c r="E1527" s="9" t="s">
        <v>7648</v>
      </c>
      <c r="G1527" s="36" t="s">
        <v>15</v>
      </c>
      <c r="H1527" s="36" t="str">
        <f>IFERROR(VLOOKUP(Table2[[#This Row], [Ticket]],Okey!A:B,2,0),"")</f>
        <v/>
      </c>
      <c r="I1527" s="36" t="s">
        <v>6455</v>
      </c>
      <c r="J1527" s="36" t="str">
        <f>VLOOKUP(Table2[[#This Row], [Author]],People!A:B,2,0)</f>
        <v>MGF</v>
      </c>
      <c r="K1527" s="36" t="s">
        <v>7859</v>
      </c>
      <c r="L1527" s="36"/>
      <c r="M1527" s="36" t="s">
        <v>4778</v>
      </c>
    </row>
    <row r="1528" spans="1:13" x14ac:dyDescent="0.25">
      <c r="A1528" s="46">
        <f t="shared" si="23"/>
        <v>1527</v>
      </c>
      <c r="B1528" s="36" t="s">
        <v>4</v>
      </c>
      <c r="C1528" s="36" t="s">
        <v>7627</v>
      </c>
      <c r="D1528" s="9" t="s">
        <v>7649</v>
      </c>
      <c r="E1528" s="9" t="s">
        <v>7650</v>
      </c>
      <c r="G1528" s="36" t="s">
        <v>15</v>
      </c>
      <c r="H1528" s="36" t="str">
        <f>IFERROR(VLOOKUP(Table2[[#This Row], [Ticket]],Okey!A:B,2,0),"")</f>
        <v/>
      </c>
      <c r="I1528" s="36" t="s">
        <v>6455</v>
      </c>
      <c r="J1528" s="36" t="str">
        <f>VLOOKUP(Table2[[#This Row], [Author]],People!A:B,2,0)</f>
        <v>MGF</v>
      </c>
      <c r="K1528" s="36" t="s">
        <v>7859</v>
      </c>
      <c r="L1528" s="36"/>
      <c r="M1528" s="36" t="s">
        <v>4778</v>
      </c>
    </row>
    <row r="1529" spans="1:13" x14ac:dyDescent="0.25">
      <c r="A1529" s="46">
        <f t="shared" si="23"/>
        <v>1528</v>
      </c>
      <c r="B1529" s="36" t="s">
        <v>4</v>
      </c>
      <c r="C1529" s="36" t="s">
        <v>7627</v>
      </c>
      <c r="D1529" s="9" t="s">
        <v>7651</v>
      </c>
      <c r="E1529" s="9" t="s">
        <v>7652</v>
      </c>
      <c r="G1529" s="36" t="s">
        <v>15</v>
      </c>
      <c r="H1529" s="36" t="str">
        <f>IFERROR(VLOOKUP(Table2[[#This Row], [Ticket]],Okey!A:B,2,0),"")</f>
        <v/>
      </c>
      <c r="I1529" s="36" t="s">
        <v>6455</v>
      </c>
      <c r="J1529" s="36" t="str">
        <f>VLOOKUP(Table2[[#This Row], [Author]],People!A:B,2,0)</f>
        <v>MGF</v>
      </c>
      <c r="K1529" s="36" t="s">
        <v>7859</v>
      </c>
      <c r="L1529" s="36"/>
      <c r="M1529" s="36" t="s">
        <v>4778</v>
      </c>
    </row>
    <row r="1530" spans="1:13" x14ac:dyDescent="0.25">
      <c r="A1530" s="46">
        <f t="shared" si="23"/>
        <v>1529</v>
      </c>
      <c r="B1530" s="36" t="s">
        <v>4</v>
      </c>
      <c r="C1530" s="36" t="s">
        <v>7627</v>
      </c>
      <c r="D1530" s="9" t="s">
        <v>7653</v>
      </c>
      <c r="E1530" s="9" t="s">
        <v>7654</v>
      </c>
      <c r="G1530" s="36" t="s">
        <v>15</v>
      </c>
      <c r="H1530" s="36" t="str">
        <f>IFERROR(VLOOKUP(Table2[[#This Row], [Ticket]],Okey!A:B,2,0),"")</f>
        <v/>
      </c>
      <c r="I1530" s="36" t="s">
        <v>6455</v>
      </c>
      <c r="J1530" s="36" t="str">
        <f>VLOOKUP(Table2[[#This Row], [Author]],People!A:B,2,0)</f>
        <v>MGF</v>
      </c>
      <c r="K1530" s="36" t="s">
        <v>7859</v>
      </c>
      <c r="L1530" s="36"/>
      <c r="M1530" s="36" t="s">
        <v>4778</v>
      </c>
    </row>
    <row r="1531" spans="1:13" x14ac:dyDescent="0.25">
      <c r="A1531" s="46">
        <f t="shared" si="23"/>
        <v>1530</v>
      </c>
      <c r="B1531" s="36" t="s">
        <v>4</v>
      </c>
      <c r="C1531" s="36" t="s">
        <v>7627</v>
      </c>
      <c r="D1531" s="9" t="s">
        <v>7655</v>
      </c>
      <c r="E1531" s="9" t="s">
        <v>7656</v>
      </c>
      <c r="G1531" s="36" t="s">
        <v>15</v>
      </c>
      <c r="H1531" s="36" t="str">
        <f>IFERROR(VLOOKUP(Table2[[#This Row], [Ticket]],Okey!A:B,2,0),"")</f>
        <v/>
      </c>
      <c r="I1531" s="36" t="s">
        <v>6455</v>
      </c>
      <c r="J1531" s="36" t="str">
        <f>VLOOKUP(Table2[[#This Row], [Author]],People!A:B,2,0)</f>
        <v>MGF</v>
      </c>
      <c r="K1531" s="36" t="s">
        <v>7859</v>
      </c>
      <c r="L1531" s="36"/>
      <c r="M1531" s="36" t="s">
        <v>4778</v>
      </c>
    </row>
    <row r="1532" spans="1:13" x14ac:dyDescent="0.25">
      <c r="A1532" s="46">
        <f t="shared" si="23"/>
        <v>1531</v>
      </c>
      <c r="B1532" s="36" t="s">
        <v>4</v>
      </c>
      <c r="C1532" s="36" t="s">
        <v>7627</v>
      </c>
      <c r="D1532" s="9" t="s">
        <v>7657</v>
      </c>
      <c r="E1532" s="9" t="s">
        <v>7658</v>
      </c>
      <c r="G1532" s="36" t="s">
        <v>15</v>
      </c>
      <c r="H1532" s="36" t="str">
        <f>IFERROR(VLOOKUP(Table2[[#This Row], [Ticket]],Okey!A:B,2,0),"")</f>
        <v/>
      </c>
      <c r="I1532" s="36" t="s">
        <v>6455</v>
      </c>
      <c r="J1532" s="36" t="str">
        <f>VLOOKUP(Table2[[#This Row], [Author]],People!A:B,2,0)</f>
        <v>MGF</v>
      </c>
      <c r="K1532" s="36" t="s">
        <v>7859</v>
      </c>
      <c r="L1532" s="36"/>
      <c r="M1532" s="36" t="s">
        <v>4778</v>
      </c>
    </row>
    <row r="1533" spans="1:13" x14ac:dyDescent="0.25">
      <c r="A1533" s="46">
        <f t="shared" si="23"/>
        <v>1532</v>
      </c>
      <c r="B1533" s="36" t="s">
        <v>4</v>
      </c>
      <c r="C1533" s="36" t="s">
        <v>7627</v>
      </c>
      <c r="D1533" s="9" t="s">
        <v>5602</v>
      </c>
      <c r="E1533" s="9" t="s">
        <v>7659</v>
      </c>
      <c r="G1533" s="36" t="s">
        <v>15</v>
      </c>
      <c r="H1533" s="36" t="str">
        <f>IFERROR(VLOOKUP(Table2[[#This Row], [Ticket]],Okey!A:B,2,0),"")</f>
        <v/>
      </c>
      <c r="I1533" s="36" t="s">
        <v>6455</v>
      </c>
      <c r="J1533" s="36" t="str">
        <f>VLOOKUP(Table2[[#This Row], [Author]],People!A:B,2,0)</f>
        <v>MGF</v>
      </c>
      <c r="K1533" s="36" t="s">
        <v>7859</v>
      </c>
      <c r="L1533" s="36"/>
      <c r="M1533" s="36" t="s">
        <v>4778</v>
      </c>
    </row>
    <row r="1534" spans="1:13" x14ac:dyDescent="0.25">
      <c r="A1534" s="46">
        <f t="shared" si="23"/>
        <v>1533</v>
      </c>
      <c r="B1534" s="36" t="s">
        <v>4</v>
      </c>
      <c r="C1534" s="36" t="s">
        <v>7627</v>
      </c>
      <c r="D1534" s="9" t="s">
        <v>5616</v>
      </c>
      <c r="E1534" s="9" t="s">
        <v>7660</v>
      </c>
      <c r="G1534" s="36" t="s">
        <v>15</v>
      </c>
      <c r="H1534" s="36" t="str">
        <f>IFERROR(VLOOKUP(Table2[[#This Row], [Ticket]],Okey!A:B,2,0),"")</f>
        <v/>
      </c>
      <c r="I1534" s="36" t="s">
        <v>6455</v>
      </c>
      <c r="J1534" s="36" t="str">
        <f>VLOOKUP(Table2[[#This Row], [Author]],People!A:B,2,0)</f>
        <v>MGF</v>
      </c>
      <c r="K1534" s="36" t="s">
        <v>7859</v>
      </c>
      <c r="L1534" s="36"/>
      <c r="M1534" s="36" t="s">
        <v>4778</v>
      </c>
    </row>
    <row r="1535" spans="1:13" x14ac:dyDescent="0.25">
      <c r="A1535" s="46">
        <f t="shared" si="23"/>
        <v>1534</v>
      </c>
      <c r="B1535" s="36" t="s">
        <v>4</v>
      </c>
      <c r="C1535" s="36" t="s">
        <v>7627</v>
      </c>
      <c r="D1535" s="9" t="s">
        <v>5621</v>
      </c>
      <c r="E1535" s="9" t="s">
        <v>7661</v>
      </c>
      <c r="G1535" s="36" t="s">
        <v>15</v>
      </c>
      <c r="H1535" s="36" t="str">
        <f>IFERROR(VLOOKUP(Table2[[#This Row], [Ticket]],Okey!A:B,2,0),"")</f>
        <v/>
      </c>
      <c r="I1535" s="36" t="s">
        <v>6455</v>
      </c>
      <c r="J1535" s="36" t="str">
        <f>VLOOKUP(Table2[[#This Row], [Author]],People!A:B,2,0)</f>
        <v>MGF</v>
      </c>
      <c r="K1535" s="36" t="s">
        <v>7859</v>
      </c>
      <c r="L1535" s="36"/>
      <c r="M1535" s="36" t="s">
        <v>4778</v>
      </c>
    </row>
    <row r="1536" spans="1:13" x14ac:dyDescent="0.25">
      <c r="A1536" s="46">
        <f t="shared" si="23"/>
        <v>1535</v>
      </c>
      <c r="B1536" s="36" t="s">
        <v>4</v>
      </c>
      <c r="C1536" s="36" t="s">
        <v>7627</v>
      </c>
      <c r="D1536" s="9" t="s">
        <v>5627</v>
      </c>
      <c r="E1536" s="9" t="s">
        <v>7662</v>
      </c>
      <c r="G1536" s="36" t="s">
        <v>15</v>
      </c>
      <c r="H1536" s="36" t="str">
        <f>IFERROR(VLOOKUP(Table2[[#This Row], [Ticket]],Okey!A:B,2,0),"")</f>
        <v/>
      </c>
      <c r="I1536" s="36" t="s">
        <v>6455</v>
      </c>
      <c r="J1536" s="36" t="str">
        <f>VLOOKUP(Table2[[#This Row], [Author]],People!A:B,2,0)</f>
        <v>MGF</v>
      </c>
      <c r="K1536" s="36" t="s">
        <v>7859</v>
      </c>
      <c r="L1536" s="36"/>
      <c r="M1536" s="36" t="s">
        <v>4778</v>
      </c>
    </row>
    <row r="1537" spans="1:13" x14ac:dyDescent="0.25">
      <c r="A1537" s="46">
        <f t="shared" si="23"/>
        <v>1536</v>
      </c>
      <c r="B1537" s="36" t="s">
        <v>4</v>
      </c>
      <c r="C1537" s="36" t="s">
        <v>7627</v>
      </c>
      <c r="D1537" s="9" t="s">
        <v>5637</v>
      </c>
      <c r="E1537" s="9" t="s">
        <v>7663</v>
      </c>
      <c r="G1537" s="36" t="s">
        <v>15</v>
      </c>
      <c r="H1537" s="36" t="str">
        <f>IFERROR(VLOOKUP(Table2[[#This Row], [Ticket]],Okey!A:B,2,0),"")</f>
        <v/>
      </c>
      <c r="I1537" s="36" t="s">
        <v>6455</v>
      </c>
      <c r="J1537" s="36" t="str">
        <f>VLOOKUP(Table2[[#This Row], [Author]],People!A:B,2,0)</f>
        <v>MGF</v>
      </c>
      <c r="K1537" s="36" t="s">
        <v>7859</v>
      </c>
      <c r="L1537" s="36"/>
      <c r="M1537" s="36" t="s">
        <v>4778</v>
      </c>
    </row>
    <row r="1538" spans="1:13" x14ac:dyDescent="0.25">
      <c r="A1538" s="46">
        <f t="shared" si="23"/>
        <v>1537</v>
      </c>
      <c r="B1538" s="36" t="s">
        <v>4</v>
      </c>
      <c r="C1538" s="36" t="s">
        <v>7627</v>
      </c>
      <c r="D1538" s="9" t="s">
        <v>7664</v>
      </c>
      <c r="E1538" s="9" t="s">
        <v>7665</v>
      </c>
      <c r="G1538" s="36" t="s">
        <v>15</v>
      </c>
      <c r="H1538" s="36" t="str">
        <f>IFERROR(VLOOKUP(Table2[[#This Row], [Ticket]],Okey!A:B,2,0),"")</f>
        <v/>
      </c>
      <c r="I1538" s="36" t="s">
        <v>6455</v>
      </c>
      <c r="J1538" s="36" t="str">
        <f>VLOOKUP(Table2[[#This Row], [Author]],People!A:B,2,0)</f>
        <v>MGF</v>
      </c>
      <c r="K1538" s="36" t="s">
        <v>7859</v>
      </c>
      <c r="L1538" s="36"/>
      <c r="M1538" s="36" t="s">
        <v>4778</v>
      </c>
    </row>
    <row r="1539" spans="1:13" x14ac:dyDescent="0.25">
      <c r="A1539" s="46">
        <f t="shared" ref="A1539:A1602" si="24">1+A1538</f>
        <v>1538</v>
      </c>
      <c r="B1539" s="36" t="s">
        <v>4</v>
      </c>
      <c r="C1539" s="36" t="s">
        <v>7627</v>
      </c>
      <c r="D1539" s="9" t="s">
        <v>7666</v>
      </c>
      <c r="E1539" s="9" t="s">
        <v>7667</v>
      </c>
      <c r="G1539" s="36" t="s">
        <v>15</v>
      </c>
      <c r="H1539" s="36" t="str">
        <f>IFERROR(VLOOKUP(Table2[[#This Row], [Ticket]],Okey!A:B,2,0),"")</f>
        <v/>
      </c>
      <c r="I1539" s="36" t="s">
        <v>6455</v>
      </c>
      <c r="J1539" s="36" t="str">
        <f>VLOOKUP(Table2[[#This Row], [Author]],People!A:B,2,0)</f>
        <v>MGF</v>
      </c>
      <c r="K1539" s="36" t="s">
        <v>7859</v>
      </c>
      <c r="L1539" s="36"/>
      <c r="M1539" s="36" t="s">
        <v>4778</v>
      </c>
    </row>
    <row r="1540" spans="1:13" x14ac:dyDescent="0.25">
      <c r="A1540" s="46">
        <f t="shared" si="24"/>
        <v>1539</v>
      </c>
      <c r="B1540" s="36" t="s">
        <v>4</v>
      </c>
      <c r="C1540" s="36" t="s">
        <v>7627</v>
      </c>
      <c r="D1540" s="9" t="s">
        <v>7668</v>
      </c>
      <c r="E1540" s="9" t="s">
        <v>7669</v>
      </c>
      <c r="G1540" s="36" t="s">
        <v>15</v>
      </c>
      <c r="H1540" s="36" t="str">
        <f>IFERROR(VLOOKUP(Table2[[#This Row], [Ticket]],Okey!A:B,2,0),"")</f>
        <v/>
      </c>
      <c r="I1540" s="36" t="s">
        <v>6455</v>
      </c>
      <c r="J1540" s="36" t="str">
        <f>VLOOKUP(Table2[[#This Row], [Author]],People!A:B,2,0)</f>
        <v>MGF</v>
      </c>
      <c r="K1540" s="36" t="s">
        <v>7859</v>
      </c>
      <c r="L1540" s="36"/>
      <c r="M1540" s="36" t="s">
        <v>4778</v>
      </c>
    </row>
    <row r="1541" spans="1:13" x14ac:dyDescent="0.25">
      <c r="A1541" s="46">
        <f t="shared" si="24"/>
        <v>1540</v>
      </c>
      <c r="B1541" s="36" t="s">
        <v>4</v>
      </c>
      <c r="C1541" s="36" t="s">
        <v>7627</v>
      </c>
      <c r="D1541" s="9" t="s">
        <v>7670</v>
      </c>
      <c r="E1541" s="9" t="s">
        <v>7671</v>
      </c>
      <c r="F1541" s="9" t="s">
        <v>7647</v>
      </c>
      <c r="G1541" s="9" t="s">
        <v>16</v>
      </c>
      <c r="H1541" s="36" t="str">
        <f>IFERROR(VLOOKUP(Table2[[#This Row], [Ticket]],Okey!A:B,2,0),"")</f>
        <v/>
      </c>
      <c r="I1541" s="9" t="s">
        <v>6455</v>
      </c>
      <c r="J1541" s="36" t="str">
        <f>VLOOKUP(Table2[[#This Row], [Author]],People!A:B,2,0)</f>
        <v>MGF</v>
      </c>
      <c r="K1541" s="36" t="s">
        <v>7861</v>
      </c>
      <c r="M1541" s="36" t="s">
        <v>4778</v>
      </c>
    </row>
    <row r="1542" spans="1:13" x14ac:dyDescent="0.25">
      <c r="A1542" s="46">
        <f t="shared" si="24"/>
        <v>1541</v>
      </c>
      <c r="B1542" s="36" t="s">
        <v>4</v>
      </c>
      <c r="C1542" s="36" t="s">
        <v>7627</v>
      </c>
      <c r="D1542" s="9" t="s">
        <v>7672</v>
      </c>
      <c r="F1542" s="9" t="s">
        <v>275</v>
      </c>
      <c r="G1542" s="9" t="s">
        <v>12</v>
      </c>
      <c r="H1542" s="36" t="str">
        <f>IFERROR(VLOOKUP(Table2[[#This Row], [Ticket]],Okey!A:B,2,0),"")</f>
        <v/>
      </c>
      <c r="I1542" s="36" t="s">
        <v>6455</v>
      </c>
      <c r="J1542" s="36" t="str">
        <f>VLOOKUP(Table2[[#This Row], [Author]],People!A:B,2,0)</f>
        <v>MGF</v>
      </c>
      <c r="K1542" s="9" t="s">
        <v>7862</v>
      </c>
      <c r="M1542" s="36" t="s">
        <v>4778</v>
      </c>
    </row>
    <row r="1543" spans="1:13" x14ac:dyDescent="0.25">
      <c r="A1543" s="46">
        <f t="shared" si="24"/>
        <v>1542</v>
      </c>
      <c r="B1543" s="36" t="s">
        <v>4</v>
      </c>
      <c r="C1543" s="36" t="s">
        <v>7627</v>
      </c>
      <c r="D1543" s="9" t="s">
        <v>7673</v>
      </c>
      <c r="F1543" s="36" t="s">
        <v>275</v>
      </c>
      <c r="G1543" s="36" t="s">
        <v>12</v>
      </c>
      <c r="H1543" s="36" t="str">
        <f>IFERROR(VLOOKUP(Table2[[#This Row], [Ticket]],Okey!A:B,2,0),"")</f>
        <v/>
      </c>
      <c r="I1543" s="36" t="s">
        <v>6455</v>
      </c>
      <c r="J1543" s="36" t="str">
        <f>VLOOKUP(Table2[[#This Row], [Author]],People!A:B,2,0)</f>
        <v>MGF</v>
      </c>
      <c r="K1543" s="36" t="s">
        <v>7862</v>
      </c>
      <c r="M1543" s="36" t="s">
        <v>4778</v>
      </c>
    </row>
    <row r="1544" spans="1:13" x14ac:dyDescent="0.25">
      <c r="A1544" s="46">
        <f t="shared" si="24"/>
        <v>1543</v>
      </c>
      <c r="B1544" s="36" t="s">
        <v>4</v>
      </c>
      <c r="C1544" s="36" t="s">
        <v>7627</v>
      </c>
      <c r="D1544" s="9" t="s">
        <v>7674</v>
      </c>
      <c r="F1544" s="36" t="s">
        <v>275</v>
      </c>
      <c r="G1544" s="36" t="s">
        <v>12</v>
      </c>
      <c r="H1544" s="36" t="str">
        <f>IFERROR(VLOOKUP(Table2[[#This Row], [Ticket]],Okey!A:B,2,0),"")</f>
        <v/>
      </c>
      <c r="I1544" s="36" t="s">
        <v>6455</v>
      </c>
      <c r="J1544" s="36" t="str">
        <f>VLOOKUP(Table2[[#This Row], [Author]],People!A:B,2,0)</f>
        <v>MGF</v>
      </c>
      <c r="K1544" s="36" t="s">
        <v>7862</v>
      </c>
      <c r="M1544" s="36" t="s">
        <v>4778</v>
      </c>
    </row>
    <row r="1545" spans="1:13" x14ac:dyDescent="0.25">
      <c r="A1545" s="46">
        <f t="shared" si="24"/>
        <v>1544</v>
      </c>
      <c r="B1545" s="36" t="s">
        <v>4</v>
      </c>
      <c r="C1545" s="36" t="s">
        <v>7627</v>
      </c>
      <c r="D1545" s="9" t="s">
        <v>7675</v>
      </c>
      <c r="F1545" s="36" t="s">
        <v>275</v>
      </c>
      <c r="G1545" s="36" t="s">
        <v>12</v>
      </c>
      <c r="H1545" s="36" t="str">
        <f>IFERROR(VLOOKUP(Table2[[#This Row], [Ticket]],Okey!A:B,2,0),"")</f>
        <v/>
      </c>
      <c r="I1545" s="36" t="s">
        <v>6455</v>
      </c>
      <c r="J1545" s="36" t="str">
        <f>VLOOKUP(Table2[[#This Row], [Author]],People!A:B,2,0)</f>
        <v>MGF</v>
      </c>
      <c r="K1545" s="36" t="s">
        <v>7862</v>
      </c>
      <c r="M1545" s="36" t="s">
        <v>4778</v>
      </c>
    </row>
    <row r="1546" spans="1:13" x14ac:dyDescent="0.25">
      <c r="A1546" s="46">
        <f t="shared" si="24"/>
        <v>1545</v>
      </c>
      <c r="B1546" s="36" t="s">
        <v>4</v>
      </c>
      <c r="C1546" s="36" t="s">
        <v>7627</v>
      </c>
      <c r="D1546" s="9" t="s">
        <v>7676</v>
      </c>
      <c r="F1546" s="36" t="s">
        <v>275</v>
      </c>
      <c r="G1546" s="36" t="s">
        <v>12</v>
      </c>
      <c r="H1546" s="36" t="str">
        <f>IFERROR(VLOOKUP(Table2[[#This Row], [Ticket]],Okey!A:B,2,0),"")</f>
        <v/>
      </c>
      <c r="I1546" s="36" t="s">
        <v>6455</v>
      </c>
      <c r="J1546" s="36" t="str">
        <f>VLOOKUP(Table2[[#This Row], [Author]],People!A:B,2,0)</f>
        <v>MGF</v>
      </c>
      <c r="K1546" s="36" t="s">
        <v>7862</v>
      </c>
      <c r="M1546" s="36" t="s">
        <v>4778</v>
      </c>
    </row>
    <row r="1547" spans="1:13" x14ac:dyDescent="0.25">
      <c r="A1547" s="46">
        <f t="shared" si="24"/>
        <v>1546</v>
      </c>
      <c r="B1547" s="36" t="s">
        <v>4</v>
      </c>
      <c r="C1547" s="36" t="s">
        <v>7627</v>
      </c>
      <c r="D1547" s="9" t="s">
        <v>7677</v>
      </c>
      <c r="F1547" s="36" t="s">
        <v>275</v>
      </c>
      <c r="G1547" s="36" t="s">
        <v>12</v>
      </c>
      <c r="H1547" s="36" t="str">
        <f>IFERROR(VLOOKUP(Table2[[#This Row], [Ticket]],Okey!A:B,2,0),"")</f>
        <v/>
      </c>
      <c r="I1547" s="36" t="s">
        <v>6455</v>
      </c>
      <c r="J1547" s="36" t="str">
        <f>VLOOKUP(Table2[[#This Row], [Author]],People!A:B,2,0)</f>
        <v>MGF</v>
      </c>
      <c r="K1547" s="36" t="s">
        <v>7862</v>
      </c>
      <c r="M1547" s="36" t="s">
        <v>4778</v>
      </c>
    </row>
    <row r="1548" spans="1:13" x14ac:dyDescent="0.25">
      <c r="A1548" s="46">
        <f t="shared" si="24"/>
        <v>1547</v>
      </c>
      <c r="B1548" s="36" t="s">
        <v>4</v>
      </c>
      <c r="C1548" s="36" t="s">
        <v>7627</v>
      </c>
      <c r="D1548" s="9" t="s">
        <v>7678</v>
      </c>
      <c r="F1548" s="36" t="s">
        <v>275</v>
      </c>
      <c r="G1548" s="36" t="s">
        <v>12</v>
      </c>
      <c r="H1548" s="36" t="str">
        <f>IFERROR(VLOOKUP(Table2[[#This Row], [Ticket]],Okey!A:B,2,0),"")</f>
        <v/>
      </c>
      <c r="I1548" s="36" t="s">
        <v>6455</v>
      </c>
      <c r="J1548" s="36" t="str">
        <f>VLOOKUP(Table2[[#This Row], [Author]],People!A:B,2,0)</f>
        <v>MGF</v>
      </c>
      <c r="K1548" s="36" t="s">
        <v>7862</v>
      </c>
      <c r="M1548" s="36" t="s">
        <v>4778</v>
      </c>
    </row>
    <row r="1549" spans="1:13" x14ac:dyDescent="0.25">
      <c r="A1549" s="46">
        <f t="shared" si="24"/>
        <v>1548</v>
      </c>
      <c r="B1549" s="36" t="s">
        <v>4</v>
      </c>
      <c r="C1549" s="36" t="s">
        <v>7627</v>
      </c>
      <c r="D1549" s="9" t="s">
        <v>3677</v>
      </c>
      <c r="F1549" s="36" t="s">
        <v>275</v>
      </c>
      <c r="G1549" s="36" t="s">
        <v>12</v>
      </c>
      <c r="H1549" s="36" t="str">
        <f>IFERROR(VLOOKUP(Table2[[#This Row], [Ticket]],Okey!A:B,2,0),"")</f>
        <v/>
      </c>
      <c r="I1549" s="36" t="s">
        <v>6455</v>
      </c>
      <c r="J1549" s="36" t="str">
        <f>VLOOKUP(Table2[[#This Row], [Author]],People!A:B,2,0)</f>
        <v>MGF</v>
      </c>
      <c r="K1549" s="36" t="s">
        <v>7862</v>
      </c>
      <c r="M1549" s="36" t="s">
        <v>4778</v>
      </c>
    </row>
    <row r="1550" spans="1:13" x14ac:dyDescent="0.25">
      <c r="A1550" s="46">
        <f t="shared" si="24"/>
        <v>1549</v>
      </c>
      <c r="B1550" s="36" t="s">
        <v>4</v>
      </c>
      <c r="C1550" s="9" t="s">
        <v>7679</v>
      </c>
      <c r="D1550" s="36" t="s">
        <v>7739</v>
      </c>
      <c r="E1550" s="9" t="s">
        <v>7680</v>
      </c>
      <c r="F1550" s="9" t="s">
        <v>5746</v>
      </c>
      <c r="G1550" s="36" t="s">
        <v>14</v>
      </c>
      <c r="H1550" s="36" t="str">
        <f>IFERROR(VLOOKUP(Table2[[#This Row], [Ticket]],Okey!A:B,2,0),"")</f>
        <v/>
      </c>
      <c r="I1550" s="36" t="s">
        <v>6455</v>
      </c>
      <c r="J1550" s="36" t="str">
        <f>VLOOKUP(Table2[[#This Row], [Author]],People!A:B,2,0)</f>
        <v>LS</v>
      </c>
      <c r="K1550" s="36" t="s">
        <v>7860</v>
      </c>
      <c r="M1550" s="9" t="s">
        <v>4799</v>
      </c>
    </row>
    <row r="1551" spans="1:13" x14ac:dyDescent="0.25">
      <c r="A1551" s="46">
        <f t="shared" si="24"/>
        <v>1550</v>
      </c>
      <c r="B1551" s="36" t="s">
        <v>4</v>
      </c>
      <c r="C1551" s="36" t="s">
        <v>7679</v>
      </c>
      <c r="D1551" s="36" t="s">
        <v>7740</v>
      </c>
      <c r="E1551" s="9" t="s">
        <v>7681</v>
      </c>
      <c r="F1551" s="9" t="s">
        <v>5494</v>
      </c>
      <c r="G1551" s="36" t="s">
        <v>14</v>
      </c>
      <c r="H1551" s="36" t="str">
        <f>IFERROR(VLOOKUP(Table2[[#This Row], [Ticket]],Okey!A:B,2,0),"")</f>
        <v/>
      </c>
      <c r="I1551" s="36" t="s">
        <v>6455</v>
      </c>
      <c r="J1551" s="36" t="str">
        <f>VLOOKUP(Table2[[#This Row], [Author]],People!A:B,2,0)</f>
        <v>LS</v>
      </c>
      <c r="K1551" s="36" t="s">
        <v>7860</v>
      </c>
      <c r="M1551" s="36" t="s">
        <v>4799</v>
      </c>
    </row>
    <row r="1552" spans="1:13" x14ac:dyDescent="0.25">
      <c r="A1552" s="46">
        <f t="shared" si="24"/>
        <v>1551</v>
      </c>
      <c r="B1552" s="36" t="s">
        <v>4</v>
      </c>
      <c r="C1552" s="36" t="s">
        <v>7679</v>
      </c>
      <c r="D1552" s="36" t="s">
        <v>7741</v>
      </c>
      <c r="E1552" s="9" t="s">
        <v>7682</v>
      </c>
      <c r="F1552" s="9" t="s">
        <v>5494</v>
      </c>
      <c r="G1552" s="36" t="s">
        <v>14</v>
      </c>
      <c r="H1552" s="36" t="str">
        <f>IFERROR(VLOOKUP(Table2[[#This Row], [Ticket]],Okey!A:B,2,0),"")</f>
        <v/>
      </c>
      <c r="I1552" s="36" t="s">
        <v>6455</v>
      </c>
      <c r="J1552" s="36" t="str">
        <f>VLOOKUP(Table2[[#This Row], [Author]],People!A:B,2,0)</f>
        <v>LS</v>
      </c>
      <c r="K1552" s="36" t="s">
        <v>7860</v>
      </c>
      <c r="M1552" s="36" t="s">
        <v>4799</v>
      </c>
    </row>
    <row r="1553" spans="1:13" x14ac:dyDescent="0.25">
      <c r="A1553" s="46">
        <f t="shared" si="24"/>
        <v>1552</v>
      </c>
      <c r="B1553" s="36" t="s">
        <v>4</v>
      </c>
      <c r="C1553" s="36" t="s">
        <v>7679</v>
      </c>
      <c r="D1553" s="36" t="s">
        <v>7742</v>
      </c>
      <c r="E1553" s="9" t="s">
        <v>7683</v>
      </c>
      <c r="F1553" s="9" t="s">
        <v>5494</v>
      </c>
      <c r="G1553" s="36" t="s">
        <v>14</v>
      </c>
      <c r="H1553" s="36" t="str">
        <f>IFERROR(VLOOKUP(Table2[[#This Row], [Ticket]],Okey!A:B,2,0),"")</f>
        <v/>
      </c>
      <c r="I1553" s="36" t="s">
        <v>6455</v>
      </c>
      <c r="J1553" s="36" t="str">
        <f>VLOOKUP(Table2[[#This Row], [Author]],People!A:B,2,0)</f>
        <v>LS</v>
      </c>
      <c r="K1553" s="36" t="s">
        <v>7860</v>
      </c>
      <c r="M1553" s="36" t="s">
        <v>4799</v>
      </c>
    </row>
    <row r="1554" spans="1:13" x14ac:dyDescent="0.25">
      <c r="A1554" s="46">
        <f t="shared" si="24"/>
        <v>1553</v>
      </c>
      <c r="B1554" s="36" t="s">
        <v>4</v>
      </c>
      <c r="C1554" s="36" t="s">
        <v>7679</v>
      </c>
      <c r="D1554" s="36" t="s">
        <v>7743</v>
      </c>
      <c r="E1554" s="9" t="s">
        <v>7684</v>
      </c>
      <c r="F1554" s="9" t="s">
        <v>3341</v>
      </c>
      <c r="G1554" s="36" t="s">
        <v>14</v>
      </c>
      <c r="H1554" s="36" t="str">
        <f>IFERROR(VLOOKUP(Table2[[#This Row], [Ticket]],Okey!A:B,2,0),"")</f>
        <v/>
      </c>
      <c r="I1554" s="36" t="s">
        <v>6455</v>
      </c>
      <c r="J1554" s="36" t="str">
        <f>VLOOKUP(Table2[[#This Row], [Author]],People!A:B,2,0)</f>
        <v>LS</v>
      </c>
      <c r="K1554" s="36" t="s">
        <v>7860</v>
      </c>
      <c r="M1554" s="36" t="s">
        <v>4799</v>
      </c>
    </row>
    <row r="1555" spans="1:13" x14ac:dyDescent="0.25">
      <c r="A1555" s="46">
        <f t="shared" si="24"/>
        <v>1554</v>
      </c>
      <c r="B1555" s="36" t="s">
        <v>4</v>
      </c>
      <c r="C1555" s="36" t="s">
        <v>7679</v>
      </c>
      <c r="D1555" s="36" t="s">
        <v>7744</v>
      </c>
      <c r="E1555" s="9" t="s">
        <v>7685</v>
      </c>
      <c r="F1555" s="9" t="s">
        <v>956</v>
      </c>
      <c r="G1555" s="36" t="s">
        <v>14</v>
      </c>
      <c r="H1555" s="36" t="str">
        <f>IFERROR(VLOOKUP(Table2[[#This Row], [Ticket]],Okey!A:B,2,0),"")</f>
        <v/>
      </c>
      <c r="I1555" s="36" t="s">
        <v>6455</v>
      </c>
      <c r="J1555" s="36" t="str">
        <f>VLOOKUP(Table2[[#This Row], [Author]],People!A:B,2,0)</f>
        <v>LS</v>
      </c>
      <c r="K1555" s="36" t="s">
        <v>7860</v>
      </c>
      <c r="M1555" s="36" t="s">
        <v>4799</v>
      </c>
    </row>
    <row r="1556" spans="1:13" x14ac:dyDescent="0.25">
      <c r="A1556" s="46">
        <f t="shared" si="24"/>
        <v>1555</v>
      </c>
      <c r="B1556" s="36" t="s">
        <v>4</v>
      </c>
      <c r="C1556" s="36" t="s">
        <v>7679</v>
      </c>
      <c r="D1556" s="36" t="s">
        <v>7745</v>
      </c>
      <c r="E1556" s="9" t="s">
        <v>7686</v>
      </c>
      <c r="F1556" s="9" t="s">
        <v>956</v>
      </c>
      <c r="G1556" s="36" t="s">
        <v>14</v>
      </c>
      <c r="H1556" s="36" t="str">
        <f>IFERROR(VLOOKUP(Table2[[#This Row], [Ticket]],Okey!A:B,2,0),"")</f>
        <v/>
      </c>
      <c r="I1556" s="36" t="s">
        <v>6455</v>
      </c>
      <c r="J1556" s="36" t="str">
        <f>VLOOKUP(Table2[[#This Row], [Author]],People!A:B,2,0)</f>
        <v>LS</v>
      </c>
      <c r="K1556" s="36" t="s">
        <v>7860</v>
      </c>
      <c r="M1556" s="36" t="s">
        <v>4799</v>
      </c>
    </row>
    <row r="1557" spans="1:13" x14ac:dyDescent="0.25">
      <c r="A1557" s="46">
        <f t="shared" si="24"/>
        <v>1556</v>
      </c>
      <c r="B1557" s="36" t="s">
        <v>4</v>
      </c>
      <c r="C1557" s="36" t="s">
        <v>7679</v>
      </c>
      <c r="D1557" s="36" t="s">
        <v>7746</v>
      </c>
      <c r="E1557" s="9" t="s">
        <v>7687</v>
      </c>
      <c r="F1557" s="9" t="s">
        <v>3971</v>
      </c>
      <c r="G1557" s="36" t="s">
        <v>14</v>
      </c>
      <c r="H1557" s="36" t="str">
        <f>IFERROR(VLOOKUP(Table2[[#This Row], [Ticket]],Okey!A:B,2,0),"")</f>
        <v/>
      </c>
      <c r="I1557" s="36" t="s">
        <v>6455</v>
      </c>
      <c r="J1557" s="36" t="str">
        <f>VLOOKUP(Table2[[#This Row], [Author]],People!A:B,2,0)</f>
        <v>LS</v>
      </c>
      <c r="K1557" s="36" t="s">
        <v>7860</v>
      </c>
      <c r="M1557" s="36" t="s">
        <v>4799</v>
      </c>
    </row>
    <row r="1558" spans="1:13" x14ac:dyDescent="0.25">
      <c r="A1558" s="46">
        <f t="shared" si="24"/>
        <v>1557</v>
      </c>
      <c r="B1558" s="36" t="s">
        <v>4</v>
      </c>
      <c r="C1558" s="36" t="s">
        <v>7679</v>
      </c>
      <c r="D1558" s="36" t="s">
        <v>7747</v>
      </c>
      <c r="E1558" s="9" t="s">
        <v>7688</v>
      </c>
      <c r="F1558" s="9" t="s">
        <v>3971</v>
      </c>
      <c r="G1558" s="36" t="s">
        <v>14</v>
      </c>
      <c r="H1558" s="36" t="str">
        <f>IFERROR(VLOOKUP(Table2[[#This Row], [Ticket]],Okey!A:B,2,0),"")</f>
        <v/>
      </c>
      <c r="I1558" s="36" t="s">
        <v>6455</v>
      </c>
      <c r="J1558" s="36" t="str">
        <f>VLOOKUP(Table2[[#This Row], [Author]],People!A:B,2,0)</f>
        <v>LS</v>
      </c>
      <c r="K1558" s="36" t="s">
        <v>7860</v>
      </c>
      <c r="M1558" s="36" t="s">
        <v>4799</v>
      </c>
    </row>
    <row r="1559" spans="1:13" x14ac:dyDescent="0.25">
      <c r="A1559" s="46">
        <f t="shared" si="24"/>
        <v>1558</v>
      </c>
      <c r="B1559" s="36" t="s">
        <v>4</v>
      </c>
      <c r="C1559" s="36" t="s">
        <v>7679</v>
      </c>
      <c r="D1559" s="36" t="s">
        <v>7748</v>
      </c>
      <c r="E1559" s="9" t="s">
        <v>7689</v>
      </c>
      <c r="F1559" s="9" t="s">
        <v>4831</v>
      </c>
      <c r="G1559" s="36" t="s">
        <v>14</v>
      </c>
      <c r="H1559" s="36" t="str">
        <f>IFERROR(VLOOKUP(Table2[[#This Row], [Ticket]],Okey!A:B,2,0),"")</f>
        <v/>
      </c>
      <c r="I1559" s="36" t="s">
        <v>6455</v>
      </c>
      <c r="J1559" s="36" t="str">
        <f>VLOOKUP(Table2[[#This Row], [Author]],People!A:B,2,0)</f>
        <v>LS</v>
      </c>
      <c r="K1559" s="36" t="s">
        <v>7860</v>
      </c>
      <c r="M1559" s="36" t="s">
        <v>4799</v>
      </c>
    </row>
    <row r="1560" spans="1:13" x14ac:dyDescent="0.25">
      <c r="A1560" s="46">
        <f t="shared" si="24"/>
        <v>1559</v>
      </c>
      <c r="B1560" s="36" t="s">
        <v>4</v>
      </c>
      <c r="C1560" s="36" t="s">
        <v>7679</v>
      </c>
      <c r="D1560" s="36" t="s">
        <v>7749</v>
      </c>
      <c r="E1560" s="9" t="s">
        <v>7690</v>
      </c>
      <c r="F1560" s="9" t="s">
        <v>4831</v>
      </c>
      <c r="G1560" s="36" t="s">
        <v>14</v>
      </c>
      <c r="H1560" s="36" t="str">
        <f>IFERROR(VLOOKUP(Table2[[#This Row], [Ticket]],Okey!A:B,2,0),"")</f>
        <v/>
      </c>
      <c r="I1560" s="36" t="s">
        <v>6455</v>
      </c>
      <c r="J1560" s="36" t="str">
        <f>VLOOKUP(Table2[[#This Row], [Author]],People!A:B,2,0)</f>
        <v>LS</v>
      </c>
      <c r="K1560" s="36" t="s">
        <v>7860</v>
      </c>
      <c r="M1560" s="36" t="s">
        <v>4799</v>
      </c>
    </row>
    <row r="1561" spans="1:13" x14ac:dyDescent="0.25">
      <c r="A1561" s="46">
        <f t="shared" si="24"/>
        <v>1560</v>
      </c>
      <c r="B1561" s="36" t="s">
        <v>4</v>
      </c>
      <c r="C1561" s="36" t="s">
        <v>7679</v>
      </c>
      <c r="D1561" s="36" t="s">
        <v>7750</v>
      </c>
      <c r="E1561" s="9" t="s">
        <v>7691</v>
      </c>
      <c r="F1561" s="9" t="s">
        <v>4831</v>
      </c>
      <c r="G1561" s="36" t="s">
        <v>14</v>
      </c>
      <c r="H1561" s="36" t="str">
        <f>IFERROR(VLOOKUP(Table2[[#This Row], [Ticket]],Okey!A:B,2,0),"")</f>
        <v/>
      </c>
      <c r="I1561" s="36" t="s">
        <v>6455</v>
      </c>
      <c r="J1561" s="36" t="str">
        <f>VLOOKUP(Table2[[#This Row], [Author]],People!A:B,2,0)</f>
        <v>LS</v>
      </c>
      <c r="K1561" s="36" t="s">
        <v>7860</v>
      </c>
      <c r="M1561" s="36" t="s">
        <v>4799</v>
      </c>
    </row>
    <row r="1562" spans="1:13" x14ac:dyDescent="0.25">
      <c r="A1562" s="46">
        <f t="shared" si="24"/>
        <v>1561</v>
      </c>
      <c r="B1562" s="36" t="s">
        <v>4</v>
      </c>
      <c r="C1562" s="36" t="s">
        <v>7679</v>
      </c>
      <c r="D1562" s="36" t="s">
        <v>7751</v>
      </c>
      <c r="E1562" s="9" t="s">
        <v>7692</v>
      </c>
      <c r="F1562" s="9" t="s">
        <v>4831</v>
      </c>
      <c r="G1562" s="36" t="s">
        <v>14</v>
      </c>
      <c r="H1562" s="36" t="str">
        <f>IFERROR(VLOOKUP(Table2[[#This Row], [Ticket]],Okey!A:B,2,0),"")</f>
        <v/>
      </c>
      <c r="I1562" s="36" t="s">
        <v>6455</v>
      </c>
      <c r="J1562" s="36" t="str">
        <f>VLOOKUP(Table2[[#This Row], [Author]],People!A:B,2,0)</f>
        <v>LS</v>
      </c>
      <c r="K1562" s="36" t="s">
        <v>7860</v>
      </c>
      <c r="M1562" s="36" t="s">
        <v>4799</v>
      </c>
    </row>
    <row r="1563" spans="1:13" x14ac:dyDescent="0.25">
      <c r="A1563" s="46">
        <f t="shared" si="24"/>
        <v>1562</v>
      </c>
      <c r="B1563" s="36" t="s">
        <v>4</v>
      </c>
      <c r="C1563" s="36" t="s">
        <v>7679</v>
      </c>
      <c r="D1563" s="36" t="s">
        <v>7752</v>
      </c>
      <c r="E1563" s="9" t="s">
        <v>7693</v>
      </c>
      <c r="F1563" s="9" t="s">
        <v>4831</v>
      </c>
      <c r="G1563" s="36" t="s">
        <v>14</v>
      </c>
      <c r="H1563" s="36" t="str">
        <f>IFERROR(VLOOKUP(Table2[[#This Row], [Ticket]],Okey!A:B,2,0),"")</f>
        <v/>
      </c>
      <c r="I1563" s="36" t="s">
        <v>6455</v>
      </c>
      <c r="J1563" s="36" t="str">
        <f>VLOOKUP(Table2[[#This Row], [Author]],People!A:B,2,0)</f>
        <v>LS</v>
      </c>
      <c r="K1563" s="36" t="s">
        <v>7860</v>
      </c>
      <c r="M1563" s="36" t="s">
        <v>4799</v>
      </c>
    </row>
    <row r="1564" spans="1:13" x14ac:dyDescent="0.25">
      <c r="A1564" s="46">
        <f t="shared" si="24"/>
        <v>1563</v>
      </c>
      <c r="B1564" s="36" t="s">
        <v>4</v>
      </c>
      <c r="C1564" s="36" t="s">
        <v>7679</v>
      </c>
      <c r="D1564" s="36" t="s">
        <v>7753</v>
      </c>
      <c r="E1564" s="9" t="s">
        <v>7694</v>
      </c>
      <c r="F1564" s="9" t="s">
        <v>3514</v>
      </c>
      <c r="G1564" s="9" t="s">
        <v>14</v>
      </c>
      <c r="H1564" s="36" t="str">
        <f>IFERROR(VLOOKUP(Table2[[#This Row], [Ticket]],Okey!A:B,2,0),"")</f>
        <v/>
      </c>
      <c r="I1564" s="36" t="s">
        <v>6455</v>
      </c>
      <c r="J1564" s="36" t="str">
        <f>VLOOKUP(Table2[[#This Row], [Author]],People!A:B,2,0)</f>
        <v>LS</v>
      </c>
      <c r="K1564" s="36" t="s">
        <v>7860</v>
      </c>
      <c r="M1564" s="36" t="s">
        <v>4799</v>
      </c>
    </row>
    <row r="1565" spans="1:13" x14ac:dyDescent="0.25">
      <c r="A1565" s="46">
        <f t="shared" si="24"/>
        <v>1564</v>
      </c>
      <c r="B1565" s="36" t="s">
        <v>4</v>
      </c>
      <c r="C1565" s="36" t="s">
        <v>7679</v>
      </c>
      <c r="D1565" s="9" t="s">
        <v>6329</v>
      </c>
      <c r="E1565" s="9" t="s">
        <v>6519</v>
      </c>
      <c r="G1565" s="9" t="s">
        <v>15</v>
      </c>
      <c r="H1565" s="36" t="str">
        <f>IFERROR(VLOOKUP(Table2[[#This Row], [Ticket]],Okey!A:B,2,0),"")</f>
        <v/>
      </c>
      <c r="I1565" s="36" t="s">
        <v>6455</v>
      </c>
      <c r="J1565" s="36" t="str">
        <f>VLOOKUP(Table2[[#This Row], [Author]],People!A:B,2,0)</f>
        <v>LS</v>
      </c>
      <c r="K1565" s="36" t="s">
        <v>7859</v>
      </c>
      <c r="M1565" s="36" t="s">
        <v>4799</v>
      </c>
    </row>
    <row r="1566" spans="1:13" x14ac:dyDescent="0.25">
      <c r="A1566" s="46">
        <f t="shared" si="24"/>
        <v>1565</v>
      </c>
      <c r="B1566" s="36" t="s">
        <v>4</v>
      </c>
      <c r="C1566" s="36" t="s">
        <v>7679</v>
      </c>
      <c r="D1566" s="9" t="s">
        <v>3341</v>
      </c>
      <c r="E1566" s="9" t="s">
        <v>7695</v>
      </c>
      <c r="G1566" s="36" t="s">
        <v>15</v>
      </c>
      <c r="H1566" s="36" t="str">
        <f>IFERROR(VLOOKUP(Table2[[#This Row], [Ticket]],Okey!A:B,2,0),"")</f>
        <v/>
      </c>
      <c r="I1566" s="36" t="s">
        <v>6455</v>
      </c>
      <c r="J1566" s="36" t="str">
        <f>VLOOKUP(Table2[[#This Row], [Author]],People!A:B,2,0)</f>
        <v>LS</v>
      </c>
      <c r="K1566" s="36" t="s">
        <v>7859</v>
      </c>
      <c r="M1566" s="36" t="s">
        <v>4799</v>
      </c>
    </row>
    <row r="1567" spans="1:13" x14ac:dyDescent="0.25">
      <c r="A1567" s="46">
        <f t="shared" si="24"/>
        <v>1566</v>
      </c>
      <c r="B1567" s="36" t="s">
        <v>4</v>
      </c>
      <c r="C1567" s="36" t="s">
        <v>7679</v>
      </c>
      <c r="D1567" s="9" t="s">
        <v>7696</v>
      </c>
      <c r="E1567" s="9" t="s">
        <v>7697</v>
      </c>
      <c r="G1567" s="36" t="s">
        <v>15</v>
      </c>
      <c r="H1567" s="36" t="str">
        <f>IFERROR(VLOOKUP(Table2[[#This Row], [Ticket]],Okey!A:B,2,0),"")</f>
        <v/>
      </c>
      <c r="I1567" s="36" t="s">
        <v>6455</v>
      </c>
      <c r="J1567" s="36" t="str">
        <f>VLOOKUP(Table2[[#This Row], [Author]],People!A:B,2,0)</f>
        <v>LS</v>
      </c>
      <c r="K1567" s="36" t="s">
        <v>7859</v>
      </c>
      <c r="M1567" s="36" t="s">
        <v>4799</v>
      </c>
    </row>
    <row r="1568" spans="1:13" x14ac:dyDescent="0.25">
      <c r="A1568" s="46">
        <f t="shared" si="24"/>
        <v>1567</v>
      </c>
      <c r="B1568" s="36" t="s">
        <v>4</v>
      </c>
      <c r="C1568" s="36" t="s">
        <v>7679</v>
      </c>
      <c r="D1568" s="9" t="s">
        <v>7698</v>
      </c>
      <c r="E1568" s="9" t="s">
        <v>5503</v>
      </c>
      <c r="G1568" s="36" t="s">
        <v>15</v>
      </c>
      <c r="H1568" s="36" t="str">
        <f>IFERROR(VLOOKUP(Table2[[#This Row], [Ticket]],Okey!A:B,2,0),"")</f>
        <v/>
      </c>
      <c r="I1568" s="36" t="s">
        <v>6455</v>
      </c>
      <c r="J1568" s="36" t="str">
        <f>VLOOKUP(Table2[[#This Row], [Author]],People!A:B,2,0)</f>
        <v>LS</v>
      </c>
      <c r="K1568" s="36" t="s">
        <v>7859</v>
      </c>
      <c r="M1568" s="36" t="s">
        <v>4799</v>
      </c>
    </row>
    <row r="1569" spans="1:13" x14ac:dyDescent="0.25">
      <c r="A1569" s="46">
        <f t="shared" si="24"/>
        <v>1568</v>
      </c>
      <c r="B1569" s="36" t="s">
        <v>4</v>
      </c>
      <c r="C1569" s="36" t="s">
        <v>7679</v>
      </c>
      <c r="D1569" s="9" t="s">
        <v>3557</v>
      </c>
      <c r="E1569" s="9" t="s">
        <v>7699</v>
      </c>
      <c r="G1569" s="36" t="s">
        <v>15</v>
      </c>
      <c r="H1569" s="36" t="str">
        <f>IFERROR(VLOOKUP(Table2[[#This Row], [Ticket]],Okey!A:B,2,0),"")</f>
        <v/>
      </c>
      <c r="I1569" s="36" t="s">
        <v>6455</v>
      </c>
      <c r="J1569" s="36" t="str">
        <f>VLOOKUP(Table2[[#This Row], [Author]],People!A:B,2,0)</f>
        <v>LS</v>
      </c>
      <c r="K1569" s="36" t="s">
        <v>7859</v>
      </c>
      <c r="M1569" s="36" t="s">
        <v>4799</v>
      </c>
    </row>
    <row r="1570" spans="1:13" x14ac:dyDescent="0.25">
      <c r="A1570" s="46">
        <f t="shared" si="24"/>
        <v>1569</v>
      </c>
      <c r="B1570" s="36" t="s">
        <v>4</v>
      </c>
      <c r="C1570" s="36" t="s">
        <v>7679</v>
      </c>
      <c r="D1570" s="9" t="s">
        <v>4133</v>
      </c>
      <c r="E1570" s="9" t="s">
        <v>7700</v>
      </c>
      <c r="G1570" s="36" t="s">
        <v>15</v>
      </c>
      <c r="H1570" s="36" t="str">
        <f>IFERROR(VLOOKUP(Table2[[#This Row], [Ticket]],Okey!A:B,2,0),"")</f>
        <v/>
      </c>
      <c r="I1570" s="36" t="s">
        <v>6455</v>
      </c>
      <c r="J1570" s="36" t="str">
        <f>VLOOKUP(Table2[[#This Row], [Author]],People!A:B,2,0)</f>
        <v>LS</v>
      </c>
      <c r="K1570" s="36" t="s">
        <v>7859</v>
      </c>
      <c r="M1570" s="36" t="s">
        <v>4799</v>
      </c>
    </row>
    <row r="1571" spans="1:13" x14ac:dyDescent="0.25">
      <c r="A1571" s="46">
        <f t="shared" si="24"/>
        <v>1570</v>
      </c>
      <c r="B1571" s="36" t="s">
        <v>4</v>
      </c>
      <c r="C1571" s="36" t="s">
        <v>7679</v>
      </c>
      <c r="D1571" s="9" t="s">
        <v>4135</v>
      </c>
      <c r="E1571" s="9" t="s">
        <v>7701</v>
      </c>
      <c r="G1571" s="36" t="s">
        <v>15</v>
      </c>
      <c r="H1571" s="36" t="str">
        <f>IFERROR(VLOOKUP(Table2[[#This Row], [Ticket]],Okey!A:B,2,0),"")</f>
        <v/>
      </c>
      <c r="I1571" s="36" t="s">
        <v>6455</v>
      </c>
      <c r="J1571" s="36" t="str">
        <f>VLOOKUP(Table2[[#This Row], [Author]],People!A:B,2,0)</f>
        <v>LS</v>
      </c>
      <c r="K1571" s="36" t="s">
        <v>7859</v>
      </c>
      <c r="M1571" s="36" t="s">
        <v>4799</v>
      </c>
    </row>
    <row r="1572" spans="1:13" x14ac:dyDescent="0.25">
      <c r="A1572" s="46">
        <f t="shared" si="24"/>
        <v>1571</v>
      </c>
      <c r="B1572" s="36" t="s">
        <v>4</v>
      </c>
      <c r="C1572" s="36" t="s">
        <v>7679</v>
      </c>
      <c r="D1572" s="9" t="s">
        <v>4137</v>
      </c>
      <c r="E1572" s="9" t="s">
        <v>7702</v>
      </c>
      <c r="G1572" s="36" t="s">
        <v>15</v>
      </c>
      <c r="H1572" s="36" t="str">
        <f>IFERROR(VLOOKUP(Table2[[#This Row], [Ticket]],Okey!A:B,2,0),"")</f>
        <v/>
      </c>
      <c r="I1572" s="36" t="s">
        <v>6455</v>
      </c>
      <c r="J1572" s="36" t="str">
        <f>VLOOKUP(Table2[[#This Row], [Author]],People!A:B,2,0)</f>
        <v>LS</v>
      </c>
      <c r="K1572" s="36" t="s">
        <v>7859</v>
      </c>
      <c r="M1572" s="36" t="s">
        <v>4799</v>
      </c>
    </row>
    <row r="1573" spans="1:13" x14ac:dyDescent="0.25">
      <c r="A1573" s="46">
        <f t="shared" si="24"/>
        <v>1572</v>
      </c>
      <c r="B1573" s="36" t="s">
        <v>4</v>
      </c>
      <c r="C1573" s="36" t="s">
        <v>7679</v>
      </c>
      <c r="D1573" s="9" t="s">
        <v>3952</v>
      </c>
      <c r="E1573" s="9" t="s">
        <v>7703</v>
      </c>
      <c r="G1573" s="36" t="s">
        <v>15</v>
      </c>
      <c r="H1573" s="36" t="str">
        <f>IFERROR(VLOOKUP(Table2[[#This Row], [Ticket]],Okey!A:B,2,0),"")</f>
        <v/>
      </c>
      <c r="I1573" s="36" t="s">
        <v>6455</v>
      </c>
      <c r="J1573" s="36" t="str">
        <f>VLOOKUP(Table2[[#This Row], [Author]],People!A:B,2,0)</f>
        <v>LS</v>
      </c>
      <c r="K1573" s="36" t="s">
        <v>7859</v>
      </c>
      <c r="M1573" s="36" t="s">
        <v>4799</v>
      </c>
    </row>
    <row r="1574" spans="1:13" x14ac:dyDescent="0.25">
      <c r="A1574" s="46">
        <f t="shared" si="24"/>
        <v>1573</v>
      </c>
      <c r="B1574" s="36" t="s">
        <v>4</v>
      </c>
      <c r="C1574" s="36" t="s">
        <v>7679</v>
      </c>
      <c r="D1574" s="9" t="s">
        <v>3972</v>
      </c>
      <c r="E1574" s="9" t="s">
        <v>7704</v>
      </c>
      <c r="G1574" s="36" t="s">
        <v>15</v>
      </c>
      <c r="H1574" s="36" t="str">
        <f>IFERROR(VLOOKUP(Table2[[#This Row], [Ticket]],Okey!A:B,2,0),"")</f>
        <v/>
      </c>
      <c r="I1574" s="36" t="s">
        <v>6455</v>
      </c>
      <c r="J1574" s="36" t="str">
        <f>VLOOKUP(Table2[[#This Row], [Author]],People!A:B,2,0)</f>
        <v>LS</v>
      </c>
      <c r="K1574" s="36" t="s">
        <v>7859</v>
      </c>
      <c r="M1574" s="36" t="s">
        <v>4799</v>
      </c>
    </row>
    <row r="1575" spans="1:13" x14ac:dyDescent="0.25">
      <c r="A1575" s="46">
        <f t="shared" si="24"/>
        <v>1574</v>
      </c>
      <c r="B1575" s="36" t="s">
        <v>4</v>
      </c>
      <c r="C1575" s="36" t="s">
        <v>7679</v>
      </c>
      <c r="D1575" s="9" t="s">
        <v>3491</v>
      </c>
      <c r="E1575" s="9" t="s">
        <v>7705</v>
      </c>
      <c r="G1575" s="36" t="s">
        <v>15</v>
      </c>
      <c r="H1575" s="36" t="str">
        <f>IFERROR(VLOOKUP(Table2[[#This Row], [Ticket]],Okey!A:B,2,0),"")</f>
        <v/>
      </c>
      <c r="I1575" s="36" t="s">
        <v>6455</v>
      </c>
      <c r="J1575" s="36" t="str">
        <f>VLOOKUP(Table2[[#This Row], [Author]],People!A:B,2,0)</f>
        <v>LS</v>
      </c>
      <c r="K1575" s="36" t="s">
        <v>7859</v>
      </c>
      <c r="M1575" s="36" t="s">
        <v>4799</v>
      </c>
    </row>
    <row r="1576" spans="1:13" x14ac:dyDescent="0.25">
      <c r="A1576" s="46">
        <f t="shared" si="24"/>
        <v>1575</v>
      </c>
      <c r="B1576" s="36" t="s">
        <v>4</v>
      </c>
      <c r="C1576" s="36" t="s">
        <v>7679</v>
      </c>
      <c r="D1576" s="9" t="s">
        <v>3611</v>
      </c>
      <c r="E1576" s="9" t="s">
        <v>7706</v>
      </c>
      <c r="G1576" s="36" t="s">
        <v>15</v>
      </c>
      <c r="H1576" s="36" t="str">
        <f>IFERROR(VLOOKUP(Table2[[#This Row], [Ticket]],Okey!A:B,2,0),"")</f>
        <v/>
      </c>
      <c r="I1576" s="36" t="s">
        <v>6455</v>
      </c>
      <c r="J1576" s="36" t="str">
        <f>VLOOKUP(Table2[[#This Row], [Author]],People!A:B,2,0)</f>
        <v>LS</v>
      </c>
      <c r="K1576" s="36" t="s">
        <v>7859</v>
      </c>
      <c r="M1576" s="36" t="s">
        <v>4799</v>
      </c>
    </row>
    <row r="1577" spans="1:13" x14ac:dyDescent="0.25">
      <c r="A1577" s="46">
        <f t="shared" si="24"/>
        <v>1576</v>
      </c>
      <c r="B1577" s="36" t="s">
        <v>4</v>
      </c>
      <c r="C1577" s="36" t="s">
        <v>7679</v>
      </c>
      <c r="D1577" s="9" t="s">
        <v>4201</v>
      </c>
      <c r="E1577" s="9" t="s">
        <v>7707</v>
      </c>
      <c r="F1577" s="9" t="s">
        <v>5756</v>
      </c>
      <c r="G1577" s="9" t="s">
        <v>16</v>
      </c>
      <c r="H1577" s="36" t="str">
        <f>IFERROR(VLOOKUP(Table2[[#This Row], [Ticket]],Okey!A:B,2,0),"")</f>
        <v/>
      </c>
      <c r="I1577" s="36" t="s">
        <v>6455</v>
      </c>
      <c r="J1577" s="36" t="str">
        <f>VLOOKUP(Table2[[#This Row], [Author]],People!A:B,2,0)</f>
        <v>LS</v>
      </c>
      <c r="K1577" s="36" t="s">
        <v>7861</v>
      </c>
      <c r="M1577" s="36" t="s">
        <v>4799</v>
      </c>
    </row>
    <row r="1578" spans="1:13" x14ac:dyDescent="0.25">
      <c r="A1578" s="46">
        <f t="shared" si="24"/>
        <v>1577</v>
      </c>
      <c r="B1578" s="36" t="s">
        <v>4</v>
      </c>
      <c r="C1578" s="36" t="s">
        <v>7679</v>
      </c>
      <c r="D1578" s="9" t="s">
        <v>4072</v>
      </c>
      <c r="E1578" s="9" t="s">
        <v>7708</v>
      </c>
      <c r="F1578" s="9" t="s">
        <v>4854</v>
      </c>
      <c r="G1578" s="36" t="s">
        <v>16</v>
      </c>
      <c r="H1578" s="36" t="str">
        <f>IFERROR(VLOOKUP(Table2[[#This Row], [Ticket]],Okey!A:B,2,0),"")</f>
        <v/>
      </c>
      <c r="I1578" s="36" t="s">
        <v>6455</v>
      </c>
      <c r="J1578" s="36" t="str">
        <f>VLOOKUP(Table2[[#This Row], [Author]],People!A:B,2,0)</f>
        <v>LS</v>
      </c>
      <c r="K1578" s="36" t="s">
        <v>7861</v>
      </c>
      <c r="M1578" s="36" t="s">
        <v>4799</v>
      </c>
    </row>
    <row r="1579" spans="1:13" x14ac:dyDescent="0.25">
      <c r="A1579" s="46">
        <f t="shared" si="24"/>
        <v>1578</v>
      </c>
      <c r="B1579" s="36" t="s">
        <v>4</v>
      </c>
      <c r="C1579" s="36" t="s">
        <v>7679</v>
      </c>
      <c r="D1579" s="9" t="s">
        <v>7709</v>
      </c>
      <c r="F1579" s="9" t="s">
        <v>5756</v>
      </c>
      <c r="G1579" s="9" t="s">
        <v>13</v>
      </c>
      <c r="H1579" s="36" t="str">
        <f>IFERROR(VLOOKUP(Table2[[#This Row], [Ticket]],Okey!A:B,2,0),"")</f>
        <v/>
      </c>
      <c r="I1579" s="36" t="s">
        <v>6455</v>
      </c>
      <c r="J1579" s="36" t="str">
        <f>VLOOKUP(Table2[[#This Row], [Author]],People!A:B,2,0)</f>
        <v>LS</v>
      </c>
      <c r="K1579" s="36" t="s">
        <v>7861</v>
      </c>
      <c r="M1579" s="36" t="s">
        <v>4799</v>
      </c>
    </row>
    <row r="1580" spans="1:13" x14ac:dyDescent="0.25">
      <c r="A1580" s="46">
        <f t="shared" si="24"/>
        <v>1579</v>
      </c>
      <c r="B1580" s="36" t="s">
        <v>4</v>
      </c>
      <c r="C1580" s="36" t="s">
        <v>7679</v>
      </c>
      <c r="D1580" s="9" t="s">
        <v>5746</v>
      </c>
      <c r="F1580" s="9" t="s">
        <v>5756</v>
      </c>
      <c r="G1580" s="36" t="s">
        <v>13</v>
      </c>
      <c r="H1580" s="36" t="str">
        <f>IFERROR(VLOOKUP(Table2[[#This Row], [Ticket]],Okey!A:B,2,0),"")</f>
        <v/>
      </c>
      <c r="I1580" s="36" t="s">
        <v>6455</v>
      </c>
      <c r="J1580" s="36" t="str">
        <f>VLOOKUP(Table2[[#This Row], [Author]],People!A:B,2,0)</f>
        <v>LS</v>
      </c>
      <c r="K1580" s="36" t="s">
        <v>7861</v>
      </c>
      <c r="M1580" s="36" t="s">
        <v>4799</v>
      </c>
    </row>
    <row r="1581" spans="1:13" x14ac:dyDescent="0.25">
      <c r="A1581" s="46">
        <f t="shared" si="24"/>
        <v>1580</v>
      </c>
      <c r="B1581" s="36" t="s">
        <v>4</v>
      </c>
      <c r="C1581" s="36" t="s">
        <v>7679</v>
      </c>
      <c r="D1581" s="9" t="s">
        <v>5748</v>
      </c>
      <c r="F1581" s="9" t="s">
        <v>5756</v>
      </c>
      <c r="G1581" s="36" t="s">
        <v>13</v>
      </c>
      <c r="H1581" s="36" t="str">
        <f>IFERROR(VLOOKUP(Table2[[#This Row], [Ticket]],Okey!A:B,2,0),"")</f>
        <v/>
      </c>
      <c r="I1581" s="36" t="s">
        <v>6455</v>
      </c>
      <c r="J1581" s="36" t="str">
        <f>VLOOKUP(Table2[[#This Row], [Author]],People!A:B,2,0)</f>
        <v>LS</v>
      </c>
      <c r="K1581" s="36" t="s">
        <v>7861</v>
      </c>
      <c r="M1581" s="36" t="s">
        <v>4799</v>
      </c>
    </row>
    <row r="1582" spans="1:13" x14ac:dyDescent="0.25">
      <c r="A1582" s="46">
        <f t="shared" si="24"/>
        <v>1581</v>
      </c>
      <c r="B1582" s="36" t="s">
        <v>4</v>
      </c>
      <c r="C1582" s="36" t="s">
        <v>7679</v>
      </c>
      <c r="D1582" s="9" t="s">
        <v>5765</v>
      </c>
      <c r="F1582" s="9" t="s">
        <v>5756</v>
      </c>
      <c r="G1582" s="36" t="s">
        <v>13</v>
      </c>
      <c r="H1582" s="36" t="str">
        <f>IFERROR(VLOOKUP(Table2[[#This Row], [Ticket]],Okey!A:B,2,0),"")</f>
        <v/>
      </c>
      <c r="I1582" s="36" t="s">
        <v>6455</v>
      </c>
      <c r="J1582" s="36" t="str">
        <f>VLOOKUP(Table2[[#This Row], [Author]],People!A:B,2,0)</f>
        <v>LS</v>
      </c>
      <c r="K1582" s="36" t="s">
        <v>7861</v>
      </c>
      <c r="M1582" s="36" t="s">
        <v>4799</v>
      </c>
    </row>
    <row r="1583" spans="1:13" x14ac:dyDescent="0.25">
      <c r="A1583" s="46">
        <f t="shared" si="24"/>
        <v>1582</v>
      </c>
      <c r="B1583" s="36" t="s">
        <v>4</v>
      </c>
      <c r="C1583" s="36" t="s">
        <v>7679</v>
      </c>
      <c r="D1583" s="9" t="s">
        <v>7710</v>
      </c>
      <c r="F1583" s="9" t="s">
        <v>7717</v>
      </c>
      <c r="G1583" s="36" t="s">
        <v>13</v>
      </c>
      <c r="H1583" s="36" t="str">
        <f>IFERROR(VLOOKUP(Table2[[#This Row], [Ticket]],Okey!A:B,2,0),"")</f>
        <v/>
      </c>
      <c r="I1583" s="36" t="s">
        <v>6455</v>
      </c>
      <c r="J1583" s="36" t="str">
        <f>VLOOKUP(Table2[[#This Row], [Author]],People!A:B,2,0)</f>
        <v>LS</v>
      </c>
      <c r="K1583" s="36" t="s">
        <v>7861</v>
      </c>
      <c r="M1583" s="36" t="s">
        <v>4799</v>
      </c>
    </row>
    <row r="1584" spans="1:13" x14ac:dyDescent="0.25">
      <c r="A1584" s="46">
        <f t="shared" si="24"/>
        <v>1583</v>
      </c>
      <c r="B1584" s="36" t="s">
        <v>4</v>
      </c>
      <c r="C1584" s="36" t="s">
        <v>7679</v>
      </c>
      <c r="D1584" s="9" t="s">
        <v>4035</v>
      </c>
      <c r="F1584" s="9" t="s">
        <v>4876</v>
      </c>
      <c r="G1584" s="36" t="s">
        <v>13</v>
      </c>
      <c r="H1584" s="36" t="str">
        <f>IFERROR(VLOOKUP(Table2[[#This Row], [Ticket]],Okey!A:B,2,0),"")</f>
        <v/>
      </c>
      <c r="I1584" s="36" t="s">
        <v>6455</v>
      </c>
      <c r="J1584" s="36" t="str">
        <f>VLOOKUP(Table2[[#This Row], [Author]],People!A:B,2,0)</f>
        <v>LS</v>
      </c>
      <c r="K1584" s="36" t="s">
        <v>7861</v>
      </c>
      <c r="M1584" s="36" t="s">
        <v>4799</v>
      </c>
    </row>
    <row r="1585" spans="1:13" x14ac:dyDescent="0.25">
      <c r="A1585" s="46">
        <f t="shared" si="24"/>
        <v>1584</v>
      </c>
      <c r="B1585" s="36" t="s">
        <v>4</v>
      </c>
      <c r="C1585" s="36" t="s">
        <v>7679</v>
      </c>
      <c r="D1585" s="9" t="s">
        <v>7711</v>
      </c>
      <c r="F1585" s="9" t="s">
        <v>3621</v>
      </c>
      <c r="G1585" s="36" t="s">
        <v>13</v>
      </c>
      <c r="H1585" s="36" t="str">
        <f>IFERROR(VLOOKUP(Table2[[#This Row], [Ticket]],Okey!A:B,2,0),"")</f>
        <v/>
      </c>
      <c r="I1585" s="36" t="s">
        <v>6455</v>
      </c>
      <c r="J1585" s="36" t="str">
        <f>VLOOKUP(Table2[[#This Row], [Author]],People!A:B,2,0)</f>
        <v>LS</v>
      </c>
      <c r="K1585" s="36" t="s">
        <v>7861</v>
      </c>
      <c r="M1585" s="36" t="s">
        <v>4799</v>
      </c>
    </row>
    <row r="1586" spans="1:13" x14ac:dyDescent="0.25">
      <c r="A1586" s="46">
        <f t="shared" si="24"/>
        <v>1585</v>
      </c>
      <c r="B1586" s="36" t="s">
        <v>4</v>
      </c>
      <c r="C1586" s="36" t="s">
        <v>7679</v>
      </c>
      <c r="D1586" s="9" t="s">
        <v>7712</v>
      </c>
      <c r="F1586" s="9" t="s">
        <v>4860</v>
      </c>
      <c r="G1586" s="36" t="s">
        <v>13</v>
      </c>
      <c r="H1586" s="36" t="str">
        <f>IFERROR(VLOOKUP(Table2[[#This Row], [Ticket]],Okey!A:B,2,0),"")</f>
        <v/>
      </c>
      <c r="I1586" s="36" t="s">
        <v>6455</v>
      </c>
      <c r="J1586" s="36" t="str">
        <f>VLOOKUP(Table2[[#This Row], [Author]],People!A:B,2,0)</f>
        <v>LS</v>
      </c>
      <c r="K1586" s="36" t="s">
        <v>7861</v>
      </c>
      <c r="M1586" s="36" t="s">
        <v>4799</v>
      </c>
    </row>
    <row r="1587" spans="1:13" x14ac:dyDescent="0.25">
      <c r="A1587" s="46">
        <f t="shared" si="24"/>
        <v>1586</v>
      </c>
      <c r="B1587" s="36" t="s">
        <v>4</v>
      </c>
      <c r="C1587" s="36" t="s">
        <v>7679</v>
      </c>
      <c r="D1587" s="9" t="s">
        <v>6004</v>
      </c>
      <c r="F1587" s="9" t="s">
        <v>4860</v>
      </c>
      <c r="G1587" s="36" t="s">
        <v>13</v>
      </c>
      <c r="H1587" s="36" t="str">
        <f>IFERROR(VLOOKUP(Table2[[#This Row], [Ticket]],Okey!A:B,2,0),"")</f>
        <v/>
      </c>
      <c r="I1587" s="36" t="s">
        <v>6455</v>
      </c>
      <c r="J1587" s="36" t="str">
        <f>VLOOKUP(Table2[[#This Row], [Author]],People!A:B,2,0)</f>
        <v>LS</v>
      </c>
      <c r="K1587" s="36" t="s">
        <v>7861</v>
      </c>
      <c r="M1587" s="36" t="s">
        <v>4799</v>
      </c>
    </row>
    <row r="1588" spans="1:13" x14ac:dyDescent="0.25">
      <c r="A1588" s="46">
        <f t="shared" si="24"/>
        <v>1587</v>
      </c>
      <c r="B1588" s="36" t="s">
        <v>4</v>
      </c>
      <c r="C1588" s="36" t="s">
        <v>7679</v>
      </c>
      <c r="D1588" s="9" t="s">
        <v>7713</v>
      </c>
      <c r="F1588" s="9" t="s">
        <v>4831</v>
      </c>
      <c r="G1588" s="36" t="s">
        <v>13</v>
      </c>
      <c r="H1588" s="36" t="str">
        <f>IFERROR(VLOOKUP(Table2[[#This Row], [Ticket]],Okey!A:B,2,0),"")</f>
        <v/>
      </c>
      <c r="I1588" s="36" t="s">
        <v>6455</v>
      </c>
      <c r="J1588" s="36" t="str">
        <f>VLOOKUP(Table2[[#This Row], [Author]],People!A:B,2,0)</f>
        <v>LS</v>
      </c>
      <c r="K1588" s="36" t="s">
        <v>7861</v>
      </c>
      <c r="M1588" s="36" t="s">
        <v>4799</v>
      </c>
    </row>
    <row r="1589" spans="1:13" x14ac:dyDescent="0.25">
      <c r="A1589" s="46">
        <f t="shared" si="24"/>
        <v>1588</v>
      </c>
      <c r="B1589" s="36" t="s">
        <v>4</v>
      </c>
      <c r="C1589" s="36" t="s">
        <v>7679</v>
      </c>
      <c r="D1589" s="9" t="s">
        <v>7714</v>
      </c>
      <c r="F1589" s="36" t="s">
        <v>7748</v>
      </c>
      <c r="G1589" s="36" t="s">
        <v>13</v>
      </c>
      <c r="H1589" s="36" t="str">
        <f>IFERROR(VLOOKUP(Table2[[#This Row], [Ticket]],Okey!A:B,2,0),"")</f>
        <v/>
      </c>
      <c r="I1589" s="36" t="s">
        <v>6455</v>
      </c>
      <c r="J1589" s="36" t="str">
        <f>VLOOKUP(Table2[[#This Row], [Author]],People!A:B,2,0)</f>
        <v>LS</v>
      </c>
      <c r="K1589" s="36" t="s">
        <v>7861</v>
      </c>
      <c r="M1589" s="36" t="s">
        <v>4799</v>
      </c>
    </row>
    <row r="1590" spans="1:13" x14ac:dyDescent="0.25">
      <c r="A1590" s="46">
        <f t="shared" si="24"/>
        <v>1589</v>
      </c>
      <c r="B1590" s="36" t="s">
        <v>4</v>
      </c>
      <c r="C1590" s="36" t="s">
        <v>7679</v>
      </c>
      <c r="D1590" s="9" t="s">
        <v>7715</v>
      </c>
      <c r="F1590" s="36" t="s">
        <v>7752</v>
      </c>
      <c r="G1590" s="36" t="s">
        <v>13</v>
      </c>
      <c r="H1590" s="36" t="str">
        <f>IFERROR(VLOOKUP(Table2[[#This Row], [Ticket]],Okey!A:B,2,0),"")</f>
        <v/>
      </c>
      <c r="I1590" s="36" t="s">
        <v>6455</v>
      </c>
      <c r="J1590" s="36" t="str">
        <f>VLOOKUP(Table2[[#This Row], [Author]],People!A:B,2,0)</f>
        <v>LS</v>
      </c>
      <c r="K1590" s="36" t="s">
        <v>7861</v>
      </c>
      <c r="M1590" s="36" t="s">
        <v>4799</v>
      </c>
    </row>
    <row r="1591" spans="1:13" x14ac:dyDescent="0.25">
      <c r="A1591" s="46">
        <f t="shared" si="24"/>
        <v>1590</v>
      </c>
      <c r="B1591" s="36" t="s">
        <v>4</v>
      </c>
      <c r="C1591" s="36" t="s">
        <v>7679</v>
      </c>
      <c r="D1591" s="9" t="s">
        <v>7716</v>
      </c>
      <c r="F1591" s="36" t="s">
        <v>7751</v>
      </c>
      <c r="G1591" s="36" t="s">
        <v>13</v>
      </c>
      <c r="H1591" s="36" t="str">
        <f>IFERROR(VLOOKUP(Table2[[#This Row], [Ticket]],Okey!A:B,2,0),"")</f>
        <v/>
      </c>
      <c r="I1591" s="36" t="s">
        <v>6455</v>
      </c>
      <c r="J1591" s="36" t="str">
        <f>VLOOKUP(Table2[[#This Row], [Author]],People!A:B,2,0)</f>
        <v>LS</v>
      </c>
      <c r="K1591" s="36" t="s">
        <v>7861</v>
      </c>
      <c r="M1591" s="36" t="s">
        <v>4799</v>
      </c>
    </row>
    <row r="1592" spans="1:13" x14ac:dyDescent="0.25">
      <c r="A1592" s="46">
        <f t="shared" si="24"/>
        <v>1591</v>
      </c>
      <c r="B1592" s="36" t="s">
        <v>4</v>
      </c>
      <c r="C1592" s="36" t="s">
        <v>7679</v>
      </c>
      <c r="D1592" s="9" t="s">
        <v>5997</v>
      </c>
      <c r="F1592" s="36" t="s">
        <v>7753</v>
      </c>
      <c r="G1592" s="36" t="s">
        <v>13</v>
      </c>
      <c r="H1592" s="36" t="str">
        <f>IFERROR(VLOOKUP(Table2[[#This Row], [Ticket]],Okey!A:B,2,0),"")</f>
        <v/>
      </c>
      <c r="I1592" s="36" t="s">
        <v>6455</v>
      </c>
      <c r="J1592" s="36" t="str">
        <f>VLOOKUP(Table2[[#This Row], [Author]],People!A:B,2,0)</f>
        <v>LS</v>
      </c>
      <c r="K1592" s="36" t="s">
        <v>7861</v>
      </c>
      <c r="M1592" s="36" t="s">
        <v>4799</v>
      </c>
    </row>
    <row r="1593" spans="1:13" x14ac:dyDescent="0.25">
      <c r="A1593" s="46">
        <f t="shared" si="24"/>
        <v>1592</v>
      </c>
      <c r="B1593" s="36" t="s">
        <v>4</v>
      </c>
      <c r="C1593" s="36" t="s">
        <v>7679</v>
      </c>
      <c r="D1593" s="9" t="s">
        <v>5999</v>
      </c>
      <c r="F1593" s="36" t="s">
        <v>7753</v>
      </c>
      <c r="G1593" s="36" t="s">
        <v>13</v>
      </c>
      <c r="H1593" s="36" t="str">
        <f>IFERROR(VLOOKUP(Table2[[#This Row], [Ticket]],Okey!A:B,2,0),"")</f>
        <v/>
      </c>
      <c r="I1593" s="36" t="s">
        <v>6455</v>
      </c>
      <c r="J1593" s="36" t="str">
        <f>VLOOKUP(Table2[[#This Row], [Author]],People!A:B,2,0)</f>
        <v>LS</v>
      </c>
      <c r="K1593" s="36" t="s">
        <v>7861</v>
      </c>
      <c r="M1593" s="36" t="s">
        <v>4799</v>
      </c>
    </row>
    <row r="1594" spans="1:13" x14ac:dyDescent="0.25">
      <c r="A1594" s="46">
        <f t="shared" si="24"/>
        <v>1593</v>
      </c>
      <c r="B1594" s="36" t="s">
        <v>4</v>
      </c>
      <c r="C1594" s="36" t="s">
        <v>7679</v>
      </c>
      <c r="D1594" s="9" t="s">
        <v>7718</v>
      </c>
      <c r="F1594" s="9" t="s">
        <v>5591</v>
      </c>
      <c r="G1594" s="9" t="s">
        <v>12</v>
      </c>
      <c r="H1594" s="36" t="str">
        <f>IFERROR(VLOOKUP(Table2[[#This Row], [Ticket]],Okey!A:B,2,0),"")</f>
        <v/>
      </c>
      <c r="I1594" s="36" t="s">
        <v>6455</v>
      </c>
      <c r="J1594" s="36" t="str">
        <f>VLOOKUP(Table2[[#This Row], [Author]],People!A:B,2,0)</f>
        <v>LS</v>
      </c>
      <c r="K1594" s="36" t="s">
        <v>7861</v>
      </c>
      <c r="M1594" s="36" t="s">
        <v>4799</v>
      </c>
    </row>
    <row r="1595" spans="1:13" x14ac:dyDescent="0.25">
      <c r="A1595" s="46">
        <f t="shared" si="24"/>
        <v>1594</v>
      </c>
      <c r="B1595" s="36" t="s">
        <v>4</v>
      </c>
      <c r="C1595" s="36" t="s">
        <v>7679</v>
      </c>
      <c r="D1595" s="9" t="s">
        <v>7719</v>
      </c>
      <c r="F1595" s="9" t="s">
        <v>5591</v>
      </c>
      <c r="G1595" s="36" t="s">
        <v>12</v>
      </c>
      <c r="H1595" s="36" t="str">
        <f>IFERROR(VLOOKUP(Table2[[#This Row], [Ticket]],Okey!A:B,2,0),"")</f>
        <v/>
      </c>
      <c r="I1595" s="36" t="s">
        <v>6455</v>
      </c>
      <c r="J1595" s="36" t="str">
        <f>VLOOKUP(Table2[[#This Row], [Author]],People!A:B,2,0)</f>
        <v>LS</v>
      </c>
      <c r="K1595" s="36" t="s">
        <v>7861</v>
      </c>
      <c r="M1595" s="36" t="s">
        <v>4799</v>
      </c>
    </row>
    <row r="1596" spans="1:13" x14ac:dyDescent="0.25">
      <c r="A1596" s="46">
        <f t="shared" si="24"/>
        <v>1595</v>
      </c>
      <c r="B1596" s="36" t="s">
        <v>4</v>
      </c>
      <c r="C1596" s="36" t="s">
        <v>7679</v>
      </c>
      <c r="D1596" s="9" t="s">
        <v>7720</v>
      </c>
      <c r="F1596" s="9" t="s">
        <v>5591</v>
      </c>
      <c r="G1596" s="36" t="s">
        <v>12</v>
      </c>
      <c r="H1596" s="36" t="str">
        <f>IFERROR(VLOOKUP(Table2[[#This Row], [Ticket]],Okey!A:B,2,0),"")</f>
        <v/>
      </c>
      <c r="I1596" s="36" t="s">
        <v>6455</v>
      </c>
      <c r="J1596" s="36" t="str">
        <f>VLOOKUP(Table2[[#This Row], [Author]],People!A:B,2,0)</f>
        <v>LS</v>
      </c>
      <c r="K1596" s="36" t="s">
        <v>7861</v>
      </c>
      <c r="M1596" s="36" t="s">
        <v>4799</v>
      </c>
    </row>
    <row r="1597" spans="1:13" x14ac:dyDescent="0.25">
      <c r="A1597" s="46">
        <f t="shared" si="24"/>
        <v>1596</v>
      </c>
      <c r="B1597" s="36" t="s">
        <v>4</v>
      </c>
      <c r="C1597" s="36" t="s">
        <v>7679</v>
      </c>
      <c r="D1597" s="9" t="s">
        <v>7721</v>
      </c>
      <c r="F1597" s="9" t="s">
        <v>5591</v>
      </c>
      <c r="G1597" s="36" t="s">
        <v>12</v>
      </c>
      <c r="H1597" s="36" t="str">
        <f>IFERROR(VLOOKUP(Table2[[#This Row], [Ticket]],Okey!A:B,2,0),"")</f>
        <v/>
      </c>
      <c r="I1597" s="36" t="s">
        <v>6455</v>
      </c>
      <c r="J1597" s="36" t="str">
        <f>VLOOKUP(Table2[[#This Row], [Author]],People!A:B,2,0)</f>
        <v>LS</v>
      </c>
      <c r="K1597" s="36" t="s">
        <v>7861</v>
      </c>
      <c r="M1597" s="36" t="s">
        <v>4799</v>
      </c>
    </row>
    <row r="1598" spans="1:13" x14ac:dyDescent="0.25">
      <c r="A1598" s="46">
        <f t="shared" si="24"/>
        <v>1597</v>
      </c>
      <c r="B1598" s="36" t="s">
        <v>4</v>
      </c>
      <c r="C1598" s="36" t="s">
        <v>7679</v>
      </c>
      <c r="D1598" s="9" t="s">
        <v>7722</v>
      </c>
      <c r="F1598" s="9" t="s">
        <v>5591</v>
      </c>
      <c r="G1598" s="36" t="s">
        <v>12</v>
      </c>
      <c r="H1598" s="36" t="str">
        <f>IFERROR(VLOOKUP(Table2[[#This Row], [Ticket]],Okey!A:B,2,0),"")</f>
        <v/>
      </c>
      <c r="I1598" s="36" t="s">
        <v>6455</v>
      </c>
      <c r="J1598" s="36" t="str">
        <f>VLOOKUP(Table2[[#This Row], [Author]],People!A:B,2,0)</f>
        <v>LS</v>
      </c>
      <c r="K1598" s="36" t="s">
        <v>7861</v>
      </c>
      <c r="M1598" s="36" t="s">
        <v>4799</v>
      </c>
    </row>
    <row r="1599" spans="1:13" x14ac:dyDescent="0.25">
      <c r="A1599" s="46">
        <f t="shared" si="24"/>
        <v>1598</v>
      </c>
      <c r="B1599" s="36" t="s">
        <v>4</v>
      </c>
      <c r="C1599" s="36" t="s">
        <v>7679</v>
      </c>
      <c r="D1599" s="9" t="s">
        <v>7723</v>
      </c>
      <c r="F1599" s="9" t="s">
        <v>5591</v>
      </c>
      <c r="G1599" s="36" t="s">
        <v>12</v>
      </c>
      <c r="H1599" s="36" t="str">
        <f>IFERROR(VLOOKUP(Table2[[#This Row], [Ticket]],Okey!A:B,2,0),"")</f>
        <v/>
      </c>
      <c r="I1599" s="36" t="s">
        <v>6455</v>
      </c>
      <c r="J1599" s="36" t="str">
        <f>VLOOKUP(Table2[[#This Row], [Author]],People!A:B,2,0)</f>
        <v>LS</v>
      </c>
      <c r="K1599" s="36" t="s">
        <v>7861</v>
      </c>
      <c r="M1599" s="36" t="s">
        <v>4799</v>
      </c>
    </row>
    <row r="1600" spans="1:13" x14ac:dyDescent="0.25">
      <c r="A1600" s="46">
        <f t="shared" si="24"/>
        <v>1599</v>
      </c>
      <c r="B1600" s="36" t="s">
        <v>4</v>
      </c>
      <c r="C1600" s="36" t="s">
        <v>7679</v>
      </c>
      <c r="D1600" s="9" t="s">
        <v>7724</v>
      </c>
      <c r="F1600" s="9" t="s">
        <v>5591</v>
      </c>
      <c r="G1600" s="36" t="s">
        <v>12</v>
      </c>
      <c r="H1600" s="36" t="str">
        <f>IFERROR(VLOOKUP(Table2[[#This Row], [Ticket]],Okey!A:B,2,0),"")</f>
        <v/>
      </c>
      <c r="I1600" s="36" t="s">
        <v>6455</v>
      </c>
      <c r="J1600" s="36" t="str">
        <f>VLOOKUP(Table2[[#This Row], [Author]],People!A:B,2,0)</f>
        <v>LS</v>
      </c>
      <c r="K1600" s="36" t="s">
        <v>7861</v>
      </c>
      <c r="M1600" s="36" t="s">
        <v>4799</v>
      </c>
    </row>
    <row r="1601" spans="1:13" x14ac:dyDescent="0.25">
      <c r="A1601" s="46">
        <f t="shared" si="24"/>
        <v>1600</v>
      </c>
      <c r="B1601" s="36" t="s">
        <v>4</v>
      </c>
      <c r="C1601" s="36" t="s">
        <v>7679</v>
      </c>
      <c r="D1601" s="9" t="s">
        <v>7725</v>
      </c>
      <c r="F1601" s="9" t="s">
        <v>5591</v>
      </c>
      <c r="G1601" s="36" t="s">
        <v>12</v>
      </c>
      <c r="H1601" s="36" t="str">
        <f>IFERROR(VLOOKUP(Table2[[#This Row], [Ticket]],Okey!A:B,2,0),"")</f>
        <v/>
      </c>
      <c r="I1601" s="36" t="s">
        <v>6455</v>
      </c>
      <c r="J1601" s="36" t="str">
        <f>VLOOKUP(Table2[[#This Row], [Author]],People!A:B,2,0)</f>
        <v>LS</v>
      </c>
      <c r="K1601" s="36" t="s">
        <v>7861</v>
      </c>
      <c r="M1601" s="36" t="s">
        <v>4799</v>
      </c>
    </row>
    <row r="1602" spans="1:13" x14ac:dyDescent="0.25">
      <c r="A1602" s="46">
        <f t="shared" si="24"/>
        <v>1601</v>
      </c>
      <c r="B1602" s="36" t="s">
        <v>4</v>
      </c>
      <c r="C1602" s="36" t="s">
        <v>7679</v>
      </c>
      <c r="D1602" s="9" t="s">
        <v>7726</v>
      </c>
      <c r="F1602" s="9" t="s">
        <v>5591</v>
      </c>
      <c r="G1602" s="36" t="s">
        <v>12</v>
      </c>
      <c r="H1602" s="36" t="str">
        <f>IFERROR(VLOOKUP(Table2[[#This Row], [Ticket]],Okey!A:B,2,0),"")</f>
        <v/>
      </c>
      <c r="I1602" s="36" t="s">
        <v>6455</v>
      </c>
      <c r="J1602" s="36" t="str">
        <f>VLOOKUP(Table2[[#This Row], [Author]],People!A:B,2,0)</f>
        <v>LS</v>
      </c>
      <c r="K1602" s="36" t="s">
        <v>7861</v>
      </c>
      <c r="M1602" s="36" t="s">
        <v>4799</v>
      </c>
    </row>
    <row r="1603" spans="1:13" x14ac:dyDescent="0.25">
      <c r="A1603" s="46">
        <f t="shared" ref="A1603:A1666" si="25">1+A1602</f>
        <v>1602</v>
      </c>
      <c r="B1603" s="36" t="s">
        <v>4</v>
      </c>
      <c r="C1603" s="36" t="s">
        <v>7679</v>
      </c>
      <c r="D1603" s="9" t="s">
        <v>3989</v>
      </c>
      <c r="F1603" s="9" t="s">
        <v>5595</v>
      </c>
      <c r="G1603" s="36" t="s">
        <v>12</v>
      </c>
      <c r="H1603" s="36" t="str">
        <f>IFERROR(VLOOKUP(Table2[[#This Row], [Ticket]],Okey!A:B,2,0),"")</f>
        <v/>
      </c>
      <c r="I1603" s="36" t="s">
        <v>6455</v>
      </c>
      <c r="J1603" s="36" t="str">
        <f>VLOOKUP(Table2[[#This Row], [Author]],People!A:B,2,0)</f>
        <v>LS</v>
      </c>
      <c r="K1603" s="36" t="s">
        <v>7861</v>
      </c>
      <c r="M1603" s="36" t="s">
        <v>4799</v>
      </c>
    </row>
    <row r="1604" spans="1:13" x14ac:dyDescent="0.25">
      <c r="A1604" s="46">
        <f t="shared" si="25"/>
        <v>1603</v>
      </c>
      <c r="B1604" s="36" t="s">
        <v>4</v>
      </c>
      <c r="C1604" s="36" t="s">
        <v>7679</v>
      </c>
      <c r="D1604" s="9" t="s">
        <v>3992</v>
      </c>
      <c r="F1604" s="9" t="s">
        <v>5595</v>
      </c>
      <c r="G1604" s="36" t="s">
        <v>12</v>
      </c>
      <c r="H1604" s="36" t="str">
        <f>IFERROR(VLOOKUP(Table2[[#This Row], [Ticket]],Okey!A:B,2,0),"")</f>
        <v/>
      </c>
      <c r="I1604" s="36" t="s">
        <v>6455</v>
      </c>
      <c r="J1604" s="36" t="str">
        <f>VLOOKUP(Table2[[#This Row], [Author]],People!A:B,2,0)</f>
        <v>LS</v>
      </c>
      <c r="K1604" s="36" t="s">
        <v>7861</v>
      </c>
      <c r="M1604" s="36" t="s">
        <v>4799</v>
      </c>
    </row>
    <row r="1605" spans="1:13" x14ac:dyDescent="0.25">
      <c r="A1605" s="46">
        <f t="shared" si="25"/>
        <v>1604</v>
      </c>
      <c r="B1605" s="36" t="s">
        <v>4</v>
      </c>
      <c r="C1605" s="36" t="s">
        <v>7679</v>
      </c>
      <c r="D1605" s="9" t="s">
        <v>3556</v>
      </c>
      <c r="F1605" s="9" t="s">
        <v>5595</v>
      </c>
      <c r="G1605" s="36" t="s">
        <v>12</v>
      </c>
      <c r="H1605" s="36" t="str">
        <f>IFERROR(VLOOKUP(Table2[[#This Row], [Ticket]],Okey!A:B,2,0),"")</f>
        <v/>
      </c>
      <c r="I1605" s="36" t="s">
        <v>6455</v>
      </c>
      <c r="J1605" s="36" t="str">
        <f>VLOOKUP(Table2[[#This Row], [Author]],People!A:B,2,0)</f>
        <v>LS</v>
      </c>
      <c r="K1605" s="36" t="s">
        <v>7861</v>
      </c>
      <c r="M1605" s="36" t="s">
        <v>4799</v>
      </c>
    </row>
    <row r="1606" spans="1:13" x14ac:dyDescent="0.25">
      <c r="A1606" s="46">
        <f t="shared" si="25"/>
        <v>1605</v>
      </c>
      <c r="B1606" s="36" t="s">
        <v>4</v>
      </c>
      <c r="C1606" s="36" t="s">
        <v>7679</v>
      </c>
      <c r="D1606" s="9" t="s">
        <v>7727</v>
      </c>
      <c r="F1606" s="9" t="s">
        <v>5595</v>
      </c>
      <c r="G1606" s="36" t="s">
        <v>12</v>
      </c>
      <c r="H1606" s="36" t="str">
        <f>IFERROR(VLOOKUP(Table2[[#This Row], [Ticket]],Okey!A:B,2,0),"")</f>
        <v/>
      </c>
      <c r="I1606" s="36" t="s">
        <v>6455</v>
      </c>
      <c r="J1606" s="36" t="str">
        <f>VLOOKUP(Table2[[#This Row], [Author]],People!A:B,2,0)</f>
        <v>LS</v>
      </c>
      <c r="K1606" s="36" t="s">
        <v>7861</v>
      </c>
      <c r="M1606" s="36" t="s">
        <v>4799</v>
      </c>
    </row>
    <row r="1607" spans="1:13" x14ac:dyDescent="0.25">
      <c r="A1607" s="46">
        <f t="shared" si="25"/>
        <v>1606</v>
      </c>
      <c r="B1607" s="36" t="s">
        <v>4</v>
      </c>
      <c r="C1607" s="36" t="s">
        <v>7679</v>
      </c>
      <c r="D1607" s="9" t="s">
        <v>7728</v>
      </c>
      <c r="F1607" s="9" t="s">
        <v>5595</v>
      </c>
      <c r="G1607" s="36" t="s">
        <v>12</v>
      </c>
      <c r="H1607" s="36" t="str">
        <f>IFERROR(VLOOKUP(Table2[[#This Row], [Ticket]],Okey!A:B,2,0),"")</f>
        <v/>
      </c>
      <c r="I1607" s="36" t="s">
        <v>6455</v>
      </c>
      <c r="J1607" s="36" t="str">
        <f>VLOOKUP(Table2[[#This Row], [Author]],People!A:B,2,0)</f>
        <v>LS</v>
      </c>
      <c r="K1607" s="36" t="s">
        <v>7861</v>
      </c>
      <c r="M1607" s="36" t="s">
        <v>4799</v>
      </c>
    </row>
    <row r="1608" spans="1:13" x14ac:dyDescent="0.25">
      <c r="A1608" s="46">
        <f t="shared" si="25"/>
        <v>1607</v>
      </c>
      <c r="B1608" s="36" t="s">
        <v>4</v>
      </c>
      <c r="C1608" s="36" t="s">
        <v>7679</v>
      </c>
      <c r="D1608" s="9" t="s">
        <v>7729</v>
      </c>
      <c r="F1608" s="9" t="s">
        <v>5595</v>
      </c>
      <c r="G1608" s="36" t="s">
        <v>12</v>
      </c>
      <c r="H1608" s="36" t="str">
        <f>IFERROR(VLOOKUP(Table2[[#This Row], [Ticket]],Okey!A:B,2,0),"")</f>
        <v/>
      </c>
      <c r="I1608" s="36" t="s">
        <v>6455</v>
      </c>
      <c r="J1608" s="36" t="str">
        <f>VLOOKUP(Table2[[#This Row], [Author]],People!A:B,2,0)</f>
        <v>LS</v>
      </c>
      <c r="K1608" s="36" t="s">
        <v>7861</v>
      </c>
      <c r="M1608" s="36" t="s">
        <v>4799</v>
      </c>
    </row>
    <row r="1609" spans="1:13" x14ac:dyDescent="0.25">
      <c r="A1609" s="46">
        <f t="shared" si="25"/>
        <v>1608</v>
      </c>
      <c r="B1609" s="36" t="s">
        <v>4</v>
      </c>
      <c r="C1609" s="36" t="s">
        <v>7679</v>
      </c>
      <c r="D1609" s="9" t="s">
        <v>7730</v>
      </c>
      <c r="F1609" s="9" t="s">
        <v>5595</v>
      </c>
      <c r="G1609" s="36" t="s">
        <v>12</v>
      </c>
      <c r="H1609" s="36" t="str">
        <f>IFERROR(VLOOKUP(Table2[[#This Row], [Ticket]],Okey!A:B,2,0),"")</f>
        <v/>
      </c>
      <c r="I1609" s="36" t="s">
        <v>6455</v>
      </c>
      <c r="J1609" s="36" t="str">
        <f>VLOOKUP(Table2[[#This Row], [Author]],People!A:B,2,0)</f>
        <v>LS</v>
      </c>
      <c r="K1609" s="36" t="s">
        <v>7861</v>
      </c>
      <c r="M1609" s="36" t="s">
        <v>4799</v>
      </c>
    </row>
    <row r="1610" spans="1:13" x14ac:dyDescent="0.25">
      <c r="A1610" s="46">
        <f t="shared" si="25"/>
        <v>1609</v>
      </c>
      <c r="B1610" s="36" t="s">
        <v>4</v>
      </c>
      <c r="C1610" s="36" t="s">
        <v>7679</v>
      </c>
      <c r="D1610" s="9" t="s">
        <v>7731</v>
      </c>
      <c r="F1610" s="9" t="s">
        <v>5595</v>
      </c>
      <c r="G1610" s="36" t="s">
        <v>12</v>
      </c>
      <c r="H1610" s="36" t="str">
        <f>IFERROR(VLOOKUP(Table2[[#This Row], [Ticket]],Okey!A:B,2,0),"")</f>
        <v/>
      </c>
      <c r="I1610" s="36" t="s">
        <v>6455</v>
      </c>
      <c r="J1610" s="36" t="str">
        <f>VLOOKUP(Table2[[#This Row], [Author]],People!A:B,2,0)</f>
        <v>LS</v>
      </c>
      <c r="K1610" s="36" t="s">
        <v>7861</v>
      </c>
      <c r="M1610" s="36" t="s">
        <v>4799</v>
      </c>
    </row>
    <row r="1611" spans="1:13" x14ac:dyDescent="0.25">
      <c r="A1611" s="46">
        <f t="shared" si="25"/>
        <v>1610</v>
      </c>
      <c r="B1611" s="36" t="s">
        <v>4</v>
      </c>
      <c r="C1611" s="36" t="s">
        <v>7679</v>
      </c>
      <c r="D1611" s="9" t="s">
        <v>7732</v>
      </c>
      <c r="F1611" s="9" t="s">
        <v>5595</v>
      </c>
      <c r="G1611" s="36" t="s">
        <v>12</v>
      </c>
      <c r="H1611" s="36" t="str">
        <f>IFERROR(VLOOKUP(Table2[[#This Row], [Ticket]],Okey!A:B,2,0),"")</f>
        <v/>
      </c>
      <c r="I1611" s="36" t="s">
        <v>6455</v>
      </c>
      <c r="J1611" s="36" t="str">
        <f>VLOOKUP(Table2[[#This Row], [Author]],People!A:B,2,0)</f>
        <v>LS</v>
      </c>
      <c r="K1611" s="36" t="s">
        <v>7861</v>
      </c>
      <c r="M1611" s="36" t="s">
        <v>4799</v>
      </c>
    </row>
    <row r="1612" spans="1:13" x14ac:dyDescent="0.25">
      <c r="A1612" s="46">
        <f t="shared" si="25"/>
        <v>1611</v>
      </c>
      <c r="B1612" s="36" t="s">
        <v>4</v>
      </c>
      <c r="C1612" s="36" t="s">
        <v>7679</v>
      </c>
      <c r="D1612" s="9" t="s">
        <v>7733</v>
      </c>
      <c r="F1612" s="9" t="s">
        <v>5595</v>
      </c>
      <c r="G1612" s="36" t="s">
        <v>12</v>
      </c>
      <c r="H1612" s="36" t="str">
        <f>IFERROR(VLOOKUP(Table2[[#This Row], [Ticket]],Okey!A:B,2,0),"")</f>
        <v/>
      </c>
      <c r="I1612" s="36" t="s">
        <v>6455</v>
      </c>
      <c r="J1612" s="36" t="str">
        <f>VLOOKUP(Table2[[#This Row], [Author]],People!A:B,2,0)</f>
        <v>LS</v>
      </c>
      <c r="K1612" s="36" t="s">
        <v>7861</v>
      </c>
      <c r="M1612" s="36" t="s">
        <v>4799</v>
      </c>
    </row>
    <row r="1613" spans="1:13" x14ac:dyDescent="0.25">
      <c r="A1613" s="46">
        <f t="shared" si="25"/>
        <v>1612</v>
      </c>
      <c r="B1613" s="36" t="s">
        <v>4</v>
      </c>
      <c r="C1613" s="36" t="s">
        <v>7679</v>
      </c>
      <c r="D1613" s="9" t="s">
        <v>7734</v>
      </c>
      <c r="F1613" s="9" t="s">
        <v>5595</v>
      </c>
      <c r="G1613" s="36" t="s">
        <v>12</v>
      </c>
      <c r="H1613" s="36" t="str">
        <f>IFERROR(VLOOKUP(Table2[[#This Row], [Ticket]],Okey!A:B,2,0),"")</f>
        <v/>
      </c>
      <c r="I1613" s="36" t="s">
        <v>6455</v>
      </c>
      <c r="J1613" s="36" t="str">
        <f>VLOOKUP(Table2[[#This Row], [Author]],People!A:B,2,0)</f>
        <v>LS</v>
      </c>
      <c r="K1613" s="36" t="s">
        <v>7861</v>
      </c>
      <c r="M1613" s="36" t="s">
        <v>4799</v>
      </c>
    </row>
    <row r="1614" spans="1:13" x14ac:dyDescent="0.25">
      <c r="A1614" s="46">
        <f t="shared" si="25"/>
        <v>1613</v>
      </c>
      <c r="B1614" s="36" t="s">
        <v>4</v>
      </c>
      <c r="C1614" s="36" t="s">
        <v>7679</v>
      </c>
      <c r="D1614" s="9" t="s">
        <v>7735</v>
      </c>
      <c r="F1614" s="9" t="s">
        <v>5595</v>
      </c>
      <c r="G1614" s="36" t="s">
        <v>12</v>
      </c>
      <c r="H1614" s="36" t="str">
        <f>IFERROR(VLOOKUP(Table2[[#This Row], [Ticket]],Okey!A:B,2,0),"")</f>
        <v/>
      </c>
      <c r="I1614" s="36" t="s">
        <v>6455</v>
      </c>
      <c r="J1614" s="36" t="str">
        <f>VLOOKUP(Table2[[#This Row], [Author]],People!A:B,2,0)</f>
        <v>LS</v>
      </c>
      <c r="K1614" s="36" t="s">
        <v>7861</v>
      </c>
      <c r="M1614" s="36" t="s">
        <v>4799</v>
      </c>
    </row>
    <row r="1615" spans="1:13" x14ac:dyDescent="0.25">
      <c r="A1615" s="46">
        <f t="shared" si="25"/>
        <v>1614</v>
      </c>
      <c r="B1615" s="36" t="s">
        <v>4</v>
      </c>
      <c r="C1615" s="36" t="s">
        <v>7679</v>
      </c>
      <c r="D1615" s="9" t="s">
        <v>7736</v>
      </c>
      <c r="F1615" s="9" t="s">
        <v>5595</v>
      </c>
      <c r="G1615" s="36" t="s">
        <v>12</v>
      </c>
      <c r="H1615" s="36" t="str">
        <f>IFERROR(VLOOKUP(Table2[[#This Row], [Ticket]],Okey!A:B,2,0),"")</f>
        <v/>
      </c>
      <c r="I1615" s="36" t="s">
        <v>6455</v>
      </c>
      <c r="J1615" s="36" t="str">
        <f>VLOOKUP(Table2[[#This Row], [Author]],People!A:B,2,0)</f>
        <v>LS</v>
      </c>
      <c r="K1615" s="36" t="s">
        <v>7861</v>
      </c>
      <c r="M1615" s="36" t="s">
        <v>4799</v>
      </c>
    </row>
    <row r="1616" spans="1:13" x14ac:dyDescent="0.25">
      <c r="A1616" s="46">
        <f t="shared" si="25"/>
        <v>1615</v>
      </c>
      <c r="B1616" s="36" t="s">
        <v>4</v>
      </c>
      <c r="C1616" s="36" t="s">
        <v>7679</v>
      </c>
      <c r="D1616" s="9" t="s">
        <v>7737</v>
      </c>
      <c r="F1616" s="9" t="s">
        <v>5595</v>
      </c>
      <c r="G1616" s="36" t="s">
        <v>12</v>
      </c>
      <c r="H1616" s="36" t="str">
        <f>IFERROR(VLOOKUP(Table2[[#This Row], [Ticket]],Okey!A:B,2,0),"")</f>
        <v/>
      </c>
      <c r="I1616" s="36" t="s">
        <v>6455</v>
      </c>
      <c r="J1616" s="36" t="str">
        <f>VLOOKUP(Table2[[#This Row], [Author]],People!A:B,2,0)</f>
        <v>LS</v>
      </c>
      <c r="K1616" s="36" t="s">
        <v>7861</v>
      </c>
      <c r="M1616" s="36" t="s">
        <v>4799</v>
      </c>
    </row>
    <row r="1617" spans="1:13" x14ac:dyDescent="0.25">
      <c r="A1617" s="46">
        <f t="shared" si="25"/>
        <v>1616</v>
      </c>
      <c r="B1617" s="36" t="s">
        <v>4</v>
      </c>
      <c r="C1617" s="36" t="s">
        <v>7679</v>
      </c>
      <c r="D1617" s="9" t="s">
        <v>7738</v>
      </c>
      <c r="F1617" s="9" t="s">
        <v>5595</v>
      </c>
      <c r="G1617" s="36" t="s">
        <v>12</v>
      </c>
      <c r="H1617" s="36" t="str">
        <f>IFERROR(VLOOKUP(Table2[[#This Row], [Ticket]],Okey!A:B,2,0),"")</f>
        <v/>
      </c>
      <c r="I1617" s="36" t="s">
        <v>6455</v>
      </c>
      <c r="J1617" s="36" t="str">
        <f>VLOOKUP(Table2[[#This Row], [Author]],People!A:B,2,0)</f>
        <v>LS</v>
      </c>
      <c r="K1617" s="36" t="s">
        <v>7861</v>
      </c>
      <c r="M1617" s="36" t="s">
        <v>4799</v>
      </c>
    </row>
    <row r="1618" spans="1:13" x14ac:dyDescent="0.25">
      <c r="A1618" s="46">
        <f t="shared" si="25"/>
        <v>1617</v>
      </c>
      <c r="B1618" s="36" t="s">
        <v>4</v>
      </c>
      <c r="C1618" s="36" t="s">
        <v>7679</v>
      </c>
      <c r="D1618" s="9" t="s">
        <v>3478</v>
      </c>
      <c r="F1618" s="9" t="s">
        <v>5595</v>
      </c>
      <c r="G1618" s="36" t="s">
        <v>12</v>
      </c>
      <c r="H1618" s="36" t="str">
        <f>IFERROR(VLOOKUP(Table2[[#This Row], [Ticket]],Okey!A:B,2,0),"")</f>
        <v/>
      </c>
      <c r="I1618" s="36" t="s">
        <v>6455</v>
      </c>
      <c r="J1618" s="36" t="str">
        <f>VLOOKUP(Table2[[#This Row], [Author]],People!A:B,2,0)</f>
        <v>LS</v>
      </c>
      <c r="K1618" s="36" t="s">
        <v>7861</v>
      </c>
      <c r="M1618" s="36" t="s">
        <v>4799</v>
      </c>
    </row>
    <row r="1619" spans="1:13" x14ac:dyDescent="0.25">
      <c r="A1619" s="46">
        <f t="shared" si="25"/>
        <v>1618</v>
      </c>
      <c r="B1619" s="36" t="s">
        <v>4</v>
      </c>
      <c r="C1619" s="36" t="s">
        <v>7679</v>
      </c>
      <c r="D1619" s="9" t="s">
        <v>3480</v>
      </c>
      <c r="F1619" s="9" t="s">
        <v>5595</v>
      </c>
      <c r="G1619" s="36" t="s">
        <v>12</v>
      </c>
      <c r="H1619" s="36" t="str">
        <f>IFERROR(VLOOKUP(Table2[[#This Row], [Ticket]],Okey!A:B,2,0),"")</f>
        <v/>
      </c>
      <c r="I1619" s="36" t="s">
        <v>6455</v>
      </c>
      <c r="J1619" s="36" t="str">
        <f>VLOOKUP(Table2[[#This Row], [Author]],People!A:B,2,0)</f>
        <v>LS</v>
      </c>
      <c r="K1619" s="36" t="s">
        <v>7861</v>
      </c>
      <c r="M1619" s="36" t="s">
        <v>4799</v>
      </c>
    </row>
    <row r="1620" spans="1:13" x14ac:dyDescent="0.25">
      <c r="A1620" s="46">
        <f t="shared" si="25"/>
        <v>1619</v>
      </c>
      <c r="B1620" s="36" t="s">
        <v>4</v>
      </c>
      <c r="C1620" s="36" t="s">
        <v>7679</v>
      </c>
      <c r="D1620" s="9" t="s">
        <v>3481</v>
      </c>
      <c r="F1620" s="9" t="s">
        <v>5595</v>
      </c>
      <c r="G1620" s="36" t="s">
        <v>12</v>
      </c>
      <c r="H1620" s="36" t="str">
        <f>IFERROR(VLOOKUP(Table2[[#This Row], [Ticket]],Okey!A:B,2,0),"")</f>
        <v/>
      </c>
      <c r="I1620" s="36" t="s">
        <v>6455</v>
      </c>
      <c r="J1620" s="36" t="str">
        <f>VLOOKUP(Table2[[#This Row], [Author]],People!A:B,2,0)</f>
        <v>LS</v>
      </c>
      <c r="K1620" s="36" t="s">
        <v>7861</v>
      </c>
      <c r="M1620" s="36" t="s">
        <v>4799</v>
      </c>
    </row>
    <row r="1621" spans="1:13" x14ac:dyDescent="0.25">
      <c r="A1621" s="46">
        <f t="shared" si="25"/>
        <v>1620</v>
      </c>
      <c r="B1621" s="36" t="s">
        <v>4</v>
      </c>
      <c r="C1621" s="9" t="s">
        <v>7754</v>
      </c>
      <c r="D1621" s="40" t="s">
        <v>7755</v>
      </c>
      <c r="E1621" s="9" t="s">
        <v>6345</v>
      </c>
      <c r="F1621" s="9" t="s">
        <v>6344</v>
      </c>
      <c r="G1621" s="9" t="s">
        <v>14</v>
      </c>
      <c r="H1621" s="36" t="str">
        <f>IFERROR(VLOOKUP(Table2[[#This Row], [Ticket]],Okey!A:B,2,0),"")</f>
        <v/>
      </c>
      <c r="I1621" s="36" t="s">
        <v>6455</v>
      </c>
      <c r="J1621" s="36" t="str">
        <f>VLOOKUP(Table2[[#This Row], [Author]],People!A:B,2,0)</f>
        <v>LS</v>
      </c>
      <c r="K1621" s="36" t="s">
        <v>7860</v>
      </c>
      <c r="M1621" s="9" t="s">
        <v>6354</v>
      </c>
    </row>
    <row r="1622" spans="1:13" x14ac:dyDescent="0.25">
      <c r="A1622" s="46">
        <f t="shared" si="25"/>
        <v>1621</v>
      </c>
      <c r="B1622" s="36" t="s">
        <v>4</v>
      </c>
      <c r="C1622" s="9" t="s">
        <v>7756</v>
      </c>
      <c r="D1622" s="9" t="s">
        <v>7813</v>
      </c>
      <c r="E1622" s="9" t="s">
        <v>7757</v>
      </c>
      <c r="F1622" s="9" t="s">
        <v>2433</v>
      </c>
      <c r="G1622" s="36" t="s">
        <v>14</v>
      </c>
      <c r="H1622" s="36" t="str">
        <f>IFERROR(VLOOKUP(Table2[[#This Row], [Ticket]],Okey!A:B,2,0),"")</f>
        <v/>
      </c>
      <c r="I1622" s="36" t="s">
        <v>6455</v>
      </c>
      <c r="J1622" s="36" t="str">
        <f>VLOOKUP(Table2[[#This Row], [Author]],People!A:B,2,0)</f>
        <v>EL</v>
      </c>
      <c r="K1622" s="36" t="s">
        <v>7860</v>
      </c>
      <c r="M1622" s="9" t="s">
        <v>6110</v>
      </c>
    </row>
    <row r="1623" spans="1:13" x14ac:dyDescent="0.25">
      <c r="A1623" s="46">
        <f t="shared" si="25"/>
        <v>1622</v>
      </c>
      <c r="B1623" s="36" t="s">
        <v>4</v>
      </c>
      <c r="C1623" s="36" t="s">
        <v>7756</v>
      </c>
      <c r="D1623" s="36" t="s">
        <v>7814</v>
      </c>
      <c r="E1623" s="9" t="s">
        <v>7758</v>
      </c>
      <c r="F1623" s="9" t="s">
        <v>2740</v>
      </c>
      <c r="G1623" s="36" t="s">
        <v>14</v>
      </c>
      <c r="H1623" s="36" t="str">
        <f>IFERROR(VLOOKUP(Table2[[#This Row], [Ticket]],Okey!A:B,2,0),"")</f>
        <v/>
      </c>
      <c r="I1623" s="36" t="s">
        <v>6455</v>
      </c>
      <c r="J1623" s="36" t="str">
        <f>VLOOKUP(Table2[[#This Row], [Author]],People!A:B,2,0)</f>
        <v>EL</v>
      </c>
      <c r="K1623" s="36" t="s">
        <v>7860</v>
      </c>
      <c r="M1623" s="36" t="s">
        <v>6110</v>
      </c>
    </row>
    <row r="1624" spans="1:13" x14ac:dyDescent="0.25">
      <c r="A1624" s="46">
        <f t="shared" si="25"/>
        <v>1623</v>
      </c>
      <c r="B1624" s="36" t="s">
        <v>4</v>
      </c>
      <c r="C1624" s="36" t="s">
        <v>7756</v>
      </c>
      <c r="D1624" s="36" t="s">
        <v>7815</v>
      </c>
      <c r="E1624" s="9" t="s">
        <v>7759</v>
      </c>
      <c r="F1624" s="9" t="s">
        <v>2684</v>
      </c>
      <c r="G1624" s="36" t="s">
        <v>14</v>
      </c>
      <c r="H1624" s="36" t="str">
        <f>IFERROR(VLOOKUP(Table2[[#This Row], [Ticket]],Okey!A:B,2,0),"")</f>
        <v/>
      </c>
      <c r="I1624" s="36" t="s">
        <v>6455</v>
      </c>
      <c r="J1624" s="36" t="str">
        <f>VLOOKUP(Table2[[#This Row], [Author]],People!A:B,2,0)</f>
        <v>EL</v>
      </c>
      <c r="K1624" s="36" t="s">
        <v>7860</v>
      </c>
      <c r="M1624" s="36" t="s">
        <v>6110</v>
      </c>
    </row>
    <row r="1625" spans="1:13" x14ac:dyDescent="0.25">
      <c r="A1625" s="46">
        <f t="shared" si="25"/>
        <v>1624</v>
      </c>
      <c r="B1625" s="36" t="s">
        <v>4</v>
      </c>
      <c r="C1625" s="36" t="s">
        <v>7756</v>
      </c>
      <c r="D1625" s="36" t="s">
        <v>7816</v>
      </c>
      <c r="E1625" s="9" t="s">
        <v>7760</v>
      </c>
      <c r="F1625" s="9" t="s">
        <v>2684</v>
      </c>
      <c r="G1625" s="36" t="s">
        <v>14</v>
      </c>
      <c r="H1625" s="36" t="str">
        <f>IFERROR(VLOOKUP(Table2[[#This Row], [Ticket]],Okey!A:B,2,0),"")</f>
        <v/>
      </c>
      <c r="I1625" s="36" t="s">
        <v>6455</v>
      </c>
      <c r="J1625" s="36" t="str">
        <f>VLOOKUP(Table2[[#This Row], [Author]],People!A:B,2,0)</f>
        <v>EL</v>
      </c>
      <c r="K1625" s="36" t="s">
        <v>7860</v>
      </c>
      <c r="M1625" s="36" t="s">
        <v>6110</v>
      </c>
    </row>
    <row r="1626" spans="1:13" x14ac:dyDescent="0.25">
      <c r="A1626" s="46">
        <f t="shared" si="25"/>
        <v>1625</v>
      </c>
      <c r="B1626" s="36" t="s">
        <v>4</v>
      </c>
      <c r="C1626" s="36" t="s">
        <v>7756</v>
      </c>
      <c r="D1626" s="36" t="s">
        <v>7817</v>
      </c>
      <c r="E1626" s="9" t="s">
        <v>7761</v>
      </c>
      <c r="F1626" s="9" t="s">
        <v>2742</v>
      </c>
      <c r="G1626" s="36" t="s">
        <v>14</v>
      </c>
      <c r="H1626" s="36" t="str">
        <f>IFERROR(VLOOKUP(Table2[[#This Row], [Ticket]],Okey!A:B,2,0),"")</f>
        <v/>
      </c>
      <c r="I1626" s="36" t="s">
        <v>6455</v>
      </c>
      <c r="J1626" s="36" t="str">
        <f>VLOOKUP(Table2[[#This Row], [Author]],People!A:B,2,0)</f>
        <v>EL</v>
      </c>
      <c r="K1626" s="36" t="s">
        <v>7860</v>
      </c>
      <c r="M1626" s="36" t="s">
        <v>6110</v>
      </c>
    </row>
    <row r="1627" spans="1:13" x14ac:dyDescent="0.25">
      <c r="A1627" s="46">
        <f t="shared" si="25"/>
        <v>1626</v>
      </c>
      <c r="B1627" s="36" t="s">
        <v>4</v>
      </c>
      <c r="C1627" s="36" t="s">
        <v>7756</v>
      </c>
      <c r="D1627" s="36" t="s">
        <v>7818</v>
      </c>
      <c r="E1627" s="9" t="s">
        <v>7762</v>
      </c>
      <c r="F1627" s="9" t="s">
        <v>7763</v>
      </c>
      <c r="G1627" s="36" t="s">
        <v>14</v>
      </c>
      <c r="H1627" s="36" t="str">
        <f>IFERROR(VLOOKUP(Table2[[#This Row], [Ticket]],Okey!A:B,2,0),"")</f>
        <v/>
      </c>
      <c r="I1627" s="36" t="s">
        <v>6455</v>
      </c>
      <c r="J1627" s="36" t="str">
        <f>VLOOKUP(Table2[[#This Row], [Author]],People!A:B,2,0)</f>
        <v>EL</v>
      </c>
      <c r="K1627" s="36" t="s">
        <v>7860</v>
      </c>
      <c r="M1627" s="36" t="s">
        <v>6110</v>
      </c>
    </row>
    <row r="1628" spans="1:13" x14ac:dyDescent="0.25">
      <c r="A1628" s="46">
        <f t="shared" si="25"/>
        <v>1627</v>
      </c>
      <c r="B1628" s="36" t="s">
        <v>4</v>
      </c>
      <c r="C1628" s="36" t="s">
        <v>7756</v>
      </c>
      <c r="D1628" s="36" t="s">
        <v>7819</v>
      </c>
      <c r="E1628" s="9" t="s">
        <v>7764</v>
      </c>
      <c r="F1628" s="9" t="s">
        <v>4618</v>
      </c>
      <c r="G1628" s="36" t="s">
        <v>14</v>
      </c>
      <c r="H1628" s="36" t="str">
        <f>IFERROR(VLOOKUP(Table2[[#This Row], [Ticket]],Okey!A:B,2,0),"")</f>
        <v/>
      </c>
      <c r="I1628" s="36" t="s">
        <v>6455</v>
      </c>
      <c r="J1628" s="36" t="str">
        <f>VLOOKUP(Table2[[#This Row], [Author]],People!A:B,2,0)</f>
        <v>EL</v>
      </c>
      <c r="K1628" s="36" t="s">
        <v>7860</v>
      </c>
      <c r="M1628" s="36" t="s">
        <v>6110</v>
      </c>
    </row>
    <row r="1629" spans="1:13" x14ac:dyDescent="0.25">
      <c r="A1629" s="46">
        <f t="shared" si="25"/>
        <v>1628</v>
      </c>
      <c r="B1629" s="36" t="s">
        <v>4</v>
      </c>
      <c r="C1629" s="36" t="s">
        <v>7756</v>
      </c>
      <c r="D1629" s="36" t="s">
        <v>7820</v>
      </c>
      <c r="E1629" s="9" t="s">
        <v>7765</v>
      </c>
      <c r="F1629" s="9" t="s">
        <v>2742</v>
      </c>
      <c r="G1629" s="36" t="s">
        <v>14</v>
      </c>
      <c r="H1629" s="36" t="str">
        <f>IFERROR(VLOOKUP(Table2[[#This Row], [Ticket]],Okey!A:B,2,0),"")</f>
        <v/>
      </c>
      <c r="I1629" s="36" t="s">
        <v>6455</v>
      </c>
      <c r="J1629" s="36" t="str">
        <f>VLOOKUP(Table2[[#This Row], [Author]],People!A:B,2,0)</f>
        <v>EL</v>
      </c>
      <c r="K1629" s="36" t="s">
        <v>7860</v>
      </c>
      <c r="M1629" s="36" t="s">
        <v>6110</v>
      </c>
    </row>
    <row r="1630" spans="1:13" x14ac:dyDescent="0.25">
      <c r="A1630" s="46">
        <f t="shared" si="25"/>
        <v>1629</v>
      </c>
      <c r="B1630" s="36" t="s">
        <v>4</v>
      </c>
      <c r="C1630" s="36" t="s">
        <v>7756</v>
      </c>
      <c r="D1630" s="36" t="s">
        <v>7821</v>
      </c>
      <c r="E1630" s="9" t="s">
        <v>7766</v>
      </c>
      <c r="F1630" s="9" t="s">
        <v>5308</v>
      </c>
      <c r="G1630" s="36" t="s">
        <v>14</v>
      </c>
      <c r="H1630" s="36" t="str">
        <f>IFERROR(VLOOKUP(Table2[[#This Row], [Ticket]],Okey!A:B,2,0),"")</f>
        <v/>
      </c>
      <c r="I1630" s="36" t="s">
        <v>6455</v>
      </c>
      <c r="J1630" s="36" t="str">
        <f>VLOOKUP(Table2[[#This Row], [Author]],People!A:B,2,0)</f>
        <v>EL</v>
      </c>
      <c r="K1630" s="36" t="s">
        <v>7860</v>
      </c>
      <c r="M1630" s="36" t="s">
        <v>6110</v>
      </c>
    </row>
    <row r="1631" spans="1:13" x14ac:dyDescent="0.25">
      <c r="A1631" s="46">
        <f t="shared" si="25"/>
        <v>1630</v>
      </c>
      <c r="B1631" s="36" t="s">
        <v>4</v>
      </c>
      <c r="C1631" s="36" t="s">
        <v>7756</v>
      </c>
      <c r="D1631" s="36" t="s">
        <v>7822</v>
      </c>
      <c r="E1631" s="9" t="s">
        <v>7767</v>
      </c>
      <c r="F1631" s="9" t="s">
        <v>4628</v>
      </c>
      <c r="G1631" s="36" t="s">
        <v>14</v>
      </c>
      <c r="H1631" s="36" t="str">
        <f>IFERROR(VLOOKUP(Table2[[#This Row], [Ticket]],Okey!A:B,2,0),"")</f>
        <v/>
      </c>
      <c r="I1631" s="36" t="s">
        <v>6455</v>
      </c>
      <c r="J1631" s="36" t="str">
        <f>VLOOKUP(Table2[[#This Row], [Author]],People!A:B,2,0)</f>
        <v>EL</v>
      </c>
      <c r="K1631" s="36" t="s">
        <v>7860</v>
      </c>
      <c r="M1631" s="36" t="s">
        <v>6110</v>
      </c>
    </row>
    <row r="1632" spans="1:13" x14ac:dyDescent="0.25">
      <c r="A1632" s="46">
        <f t="shared" si="25"/>
        <v>1631</v>
      </c>
      <c r="B1632" s="36" t="s">
        <v>4</v>
      </c>
      <c r="C1632" s="36" t="s">
        <v>7756</v>
      </c>
      <c r="D1632" s="36" t="s">
        <v>7823</v>
      </c>
      <c r="E1632" s="9" t="s">
        <v>7768</v>
      </c>
      <c r="F1632" s="36" t="s">
        <v>4628</v>
      </c>
      <c r="G1632" s="36" t="s">
        <v>14</v>
      </c>
      <c r="H1632" s="36" t="str">
        <f>IFERROR(VLOOKUP(Table2[[#This Row], [Ticket]],Okey!A:B,2,0),"")</f>
        <v/>
      </c>
      <c r="I1632" s="36" t="s">
        <v>6455</v>
      </c>
      <c r="J1632" s="36" t="str">
        <f>VLOOKUP(Table2[[#This Row], [Author]],People!A:B,2,0)</f>
        <v>EL</v>
      </c>
      <c r="K1632" s="36" t="s">
        <v>7860</v>
      </c>
      <c r="M1632" s="36" t="s">
        <v>6110</v>
      </c>
    </row>
    <row r="1633" spans="1:13" x14ac:dyDescent="0.25">
      <c r="A1633" s="46">
        <f t="shared" si="25"/>
        <v>1632</v>
      </c>
      <c r="B1633" s="36" t="s">
        <v>4</v>
      </c>
      <c r="C1633" s="36" t="s">
        <v>7756</v>
      </c>
      <c r="D1633" s="36" t="s">
        <v>7824</v>
      </c>
      <c r="E1633" s="9" t="s">
        <v>7769</v>
      </c>
      <c r="F1633" s="36" t="s">
        <v>7823</v>
      </c>
      <c r="G1633" s="36" t="s">
        <v>14</v>
      </c>
      <c r="H1633" s="36" t="str">
        <f>IFERROR(VLOOKUP(Table2[[#This Row], [Ticket]],Okey!A:B,2,0),"")</f>
        <v/>
      </c>
      <c r="I1633" s="36" t="s">
        <v>6455</v>
      </c>
      <c r="J1633" s="36" t="str">
        <f>VLOOKUP(Table2[[#This Row], [Author]],People!A:B,2,0)</f>
        <v>EL</v>
      </c>
      <c r="K1633" s="36" t="s">
        <v>7860</v>
      </c>
      <c r="M1633" s="36" t="s">
        <v>6110</v>
      </c>
    </row>
    <row r="1634" spans="1:13" x14ac:dyDescent="0.25">
      <c r="A1634" s="46">
        <f t="shared" si="25"/>
        <v>1633</v>
      </c>
      <c r="B1634" s="36" t="s">
        <v>4</v>
      </c>
      <c r="C1634" s="36" t="s">
        <v>7756</v>
      </c>
      <c r="D1634" s="36" t="s">
        <v>7825</v>
      </c>
      <c r="E1634" s="9" t="s">
        <v>7770</v>
      </c>
      <c r="F1634" s="36" t="s">
        <v>7823</v>
      </c>
      <c r="G1634" s="36" t="s">
        <v>14</v>
      </c>
      <c r="H1634" s="36" t="str">
        <f>IFERROR(VLOOKUP(Table2[[#This Row], [Ticket]],Okey!A:B,2,0),"")</f>
        <v/>
      </c>
      <c r="I1634" s="36" t="s">
        <v>6455</v>
      </c>
      <c r="J1634" s="36" t="str">
        <f>VLOOKUP(Table2[[#This Row], [Author]],People!A:B,2,0)</f>
        <v>EL</v>
      </c>
      <c r="K1634" s="36" t="s">
        <v>7860</v>
      </c>
      <c r="M1634" s="36" t="s">
        <v>6110</v>
      </c>
    </row>
    <row r="1635" spans="1:13" x14ac:dyDescent="0.25">
      <c r="A1635" s="46">
        <f t="shared" si="25"/>
        <v>1634</v>
      </c>
      <c r="B1635" s="36" t="s">
        <v>4</v>
      </c>
      <c r="C1635" s="36" t="s">
        <v>7756</v>
      </c>
      <c r="D1635" s="36" t="s">
        <v>7826</v>
      </c>
      <c r="E1635" s="9" t="s">
        <v>7771</v>
      </c>
      <c r="F1635" s="36" t="s">
        <v>4628</v>
      </c>
      <c r="G1635" s="36" t="s">
        <v>14</v>
      </c>
      <c r="H1635" s="36" t="str">
        <f>IFERROR(VLOOKUP(Table2[[#This Row], [Ticket]],Okey!A:B,2,0),"")</f>
        <v/>
      </c>
      <c r="I1635" s="36" t="s">
        <v>6455</v>
      </c>
      <c r="J1635" s="36" t="str">
        <f>VLOOKUP(Table2[[#This Row], [Author]],People!A:B,2,0)</f>
        <v>EL</v>
      </c>
      <c r="K1635" s="36" t="s">
        <v>7860</v>
      </c>
      <c r="M1635" s="36" t="s">
        <v>6110</v>
      </c>
    </row>
    <row r="1636" spans="1:13" x14ac:dyDescent="0.25">
      <c r="A1636" s="46">
        <f t="shared" si="25"/>
        <v>1635</v>
      </c>
      <c r="B1636" s="36" t="s">
        <v>4</v>
      </c>
      <c r="C1636" s="36" t="s">
        <v>7756</v>
      </c>
      <c r="D1636" s="36" t="s">
        <v>7827</v>
      </c>
      <c r="E1636" s="9" t="s">
        <v>7772</v>
      </c>
      <c r="F1636" s="36" t="s">
        <v>4628</v>
      </c>
      <c r="G1636" s="36" t="s">
        <v>14</v>
      </c>
      <c r="H1636" s="36" t="str">
        <f>IFERROR(VLOOKUP(Table2[[#This Row], [Ticket]],Okey!A:B,2,0),"")</f>
        <v/>
      </c>
      <c r="I1636" s="36" t="s">
        <v>6455</v>
      </c>
      <c r="J1636" s="36" t="str">
        <f>VLOOKUP(Table2[[#This Row], [Author]],People!A:B,2,0)</f>
        <v>EL</v>
      </c>
      <c r="K1636" s="36" t="s">
        <v>7860</v>
      </c>
      <c r="M1636" s="36" t="s">
        <v>6110</v>
      </c>
    </row>
    <row r="1637" spans="1:13" x14ac:dyDescent="0.25">
      <c r="A1637" s="46">
        <f t="shared" si="25"/>
        <v>1636</v>
      </c>
      <c r="B1637" s="36" t="s">
        <v>4</v>
      </c>
      <c r="C1637" s="36" t="s">
        <v>7756</v>
      </c>
      <c r="D1637" s="36" t="s">
        <v>7828</v>
      </c>
      <c r="E1637" s="9" t="s">
        <v>7773</v>
      </c>
      <c r="F1637" s="9" t="s">
        <v>4630</v>
      </c>
      <c r="G1637" s="36" t="s">
        <v>14</v>
      </c>
      <c r="H1637" s="36" t="str">
        <f>IFERROR(VLOOKUP(Table2[[#This Row], [Ticket]],Okey!A:B,2,0),"")</f>
        <v/>
      </c>
      <c r="I1637" s="36" t="s">
        <v>6455</v>
      </c>
      <c r="J1637" s="36" t="str">
        <f>VLOOKUP(Table2[[#This Row], [Author]],People!A:B,2,0)</f>
        <v>EL</v>
      </c>
      <c r="K1637" s="36" t="s">
        <v>7860</v>
      </c>
      <c r="M1637" s="36" t="s">
        <v>6110</v>
      </c>
    </row>
    <row r="1638" spans="1:13" x14ac:dyDescent="0.25">
      <c r="A1638" s="46">
        <f t="shared" si="25"/>
        <v>1637</v>
      </c>
      <c r="B1638" s="36" t="s">
        <v>4</v>
      </c>
      <c r="C1638" s="36" t="s">
        <v>7756</v>
      </c>
      <c r="D1638" s="36" t="s">
        <v>7829</v>
      </c>
      <c r="E1638" s="9" t="s">
        <v>7774</v>
      </c>
      <c r="F1638" s="36" t="s">
        <v>4630</v>
      </c>
      <c r="G1638" s="36" t="s">
        <v>14</v>
      </c>
      <c r="H1638" s="36" t="str">
        <f>IFERROR(VLOOKUP(Table2[[#This Row], [Ticket]],Okey!A:B,2,0),"")</f>
        <v/>
      </c>
      <c r="I1638" s="36" t="s">
        <v>6455</v>
      </c>
      <c r="J1638" s="36" t="str">
        <f>VLOOKUP(Table2[[#This Row], [Author]],People!A:B,2,0)</f>
        <v>EL</v>
      </c>
      <c r="K1638" s="36" t="s">
        <v>7860</v>
      </c>
      <c r="M1638" s="36" t="s">
        <v>6110</v>
      </c>
    </row>
    <row r="1639" spans="1:13" x14ac:dyDescent="0.25">
      <c r="A1639" s="46">
        <f t="shared" si="25"/>
        <v>1638</v>
      </c>
      <c r="B1639" s="36" t="s">
        <v>4</v>
      </c>
      <c r="C1639" s="36" t="s">
        <v>7756</v>
      </c>
      <c r="D1639" s="36" t="s">
        <v>7830</v>
      </c>
      <c r="E1639" s="9" t="s">
        <v>7775</v>
      </c>
      <c r="F1639" s="36" t="s">
        <v>7829</v>
      </c>
      <c r="G1639" s="36" t="s">
        <v>14</v>
      </c>
      <c r="H1639" s="36" t="str">
        <f>IFERROR(VLOOKUP(Table2[[#This Row], [Ticket]],Okey!A:B,2,0),"")</f>
        <v/>
      </c>
      <c r="I1639" s="36" t="s">
        <v>6455</v>
      </c>
      <c r="J1639" s="36" t="str">
        <f>VLOOKUP(Table2[[#This Row], [Author]],People!A:B,2,0)</f>
        <v>EL</v>
      </c>
      <c r="K1639" s="36" t="s">
        <v>7860</v>
      </c>
      <c r="M1639" s="36" t="s">
        <v>6110</v>
      </c>
    </row>
    <row r="1640" spans="1:13" x14ac:dyDescent="0.25">
      <c r="A1640" s="46">
        <f t="shared" si="25"/>
        <v>1639</v>
      </c>
      <c r="B1640" s="36" t="s">
        <v>4</v>
      </c>
      <c r="C1640" s="36" t="s">
        <v>7756</v>
      </c>
      <c r="D1640" s="36" t="s">
        <v>7831</v>
      </c>
      <c r="E1640" s="9" t="s">
        <v>7776</v>
      </c>
      <c r="F1640" s="36" t="s">
        <v>7829</v>
      </c>
      <c r="G1640" s="36" t="s">
        <v>14</v>
      </c>
      <c r="H1640" s="36" t="str">
        <f>IFERROR(VLOOKUP(Table2[[#This Row], [Ticket]],Okey!A:B,2,0),"")</f>
        <v/>
      </c>
      <c r="I1640" s="36" t="s">
        <v>6455</v>
      </c>
      <c r="J1640" s="36" t="str">
        <f>VLOOKUP(Table2[[#This Row], [Author]],People!A:B,2,0)</f>
        <v>EL</v>
      </c>
      <c r="K1640" s="36" t="s">
        <v>7860</v>
      </c>
      <c r="M1640" s="36" t="s">
        <v>6110</v>
      </c>
    </row>
    <row r="1641" spans="1:13" x14ac:dyDescent="0.25">
      <c r="A1641" s="46">
        <f t="shared" si="25"/>
        <v>1640</v>
      </c>
      <c r="B1641" s="36" t="s">
        <v>4</v>
      </c>
      <c r="C1641" s="36" t="s">
        <v>7756</v>
      </c>
      <c r="D1641" s="36" t="s">
        <v>7832</v>
      </c>
      <c r="E1641" s="9" t="s">
        <v>7777</v>
      </c>
      <c r="F1641" s="36" t="s">
        <v>4630</v>
      </c>
      <c r="G1641" s="36" t="s">
        <v>14</v>
      </c>
      <c r="H1641" s="36" t="str">
        <f>IFERROR(VLOOKUP(Table2[[#This Row], [Ticket]],Okey!A:B,2,0),"")</f>
        <v/>
      </c>
      <c r="I1641" s="36" t="s">
        <v>6455</v>
      </c>
      <c r="J1641" s="36" t="str">
        <f>VLOOKUP(Table2[[#This Row], [Author]],People!A:B,2,0)</f>
        <v>EL</v>
      </c>
      <c r="K1641" s="36" t="s">
        <v>7860</v>
      </c>
      <c r="M1641" s="36" t="s">
        <v>6110</v>
      </c>
    </row>
    <row r="1642" spans="1:13" x14ac:dyDescent="0.25">
      <c r="A1642" s="46">
        <f t="shared" si="25"/>
        <v>1641</v>
      </c>
      <c r="B1642" s="36" t="s">
        <v>4</v>
      </c>
      <c r="C1642" s="36" t="s">
        <v>7756</v>
      </c>
      <c r="D1642" s="36" t="s">
        <v>7833</v>
      </c>
      <c r="E1642" s="9" t="s">
        <v>7778</v>
      </c>
      <c r="F1642" s="36" t="s">
        <v>4630</v>
      </c>
      <c r="G1642" s="36" t="s">
        <v>14</v>
      </c>
      <c r="H1642" s="36" t="str">
        <f>IFERROR(VLOOKUP(Table2[[#This Row], [Ticket]],Okey!A:B,2,0),"")</f>
        <v/>
      </c>
      <c r="I1642" s="36" t="s">
        <v>6455</v>
      </c>
      <c r="J1642" s="36" t="str">
        <f>VLOOKUP(Table2[[#This Row], [Author]],People!A:B,2,0)</f>
        <v>EL</v>
      </c>
      <c r="K1642" s="36" t="s">
        <v>7860</v>
      </c>
      <c r="M1642" s="36" t="s">
        <v>6110</v>
      </c>
    </row>
    <row r="1643" spans="1:13" x14ac:dyDescent="0.25">
      <c r="A1643" s="46">
        <f t="shared" si="25"/>
        <v>1642</v>
      </c>
      <c r="B1643" s="36" t="s">
        <v>4</v>
      </c>
      <c r="C1643" s="36" t="s">
        <v>7756</v>
      </c>
      <c r="D1643" s="36" t="s">
        <v>7834</v>
      </c>
      <c r="E1643" s="9" t="s">
        <v>7779</v>
      </c>
      <c r="F1643" s="9" t="s">
        <v>4634</v>
      </c>
      <c r="G1643" s="36" t="s">
        <v>14</v>
      </c>
      <c r="H1643" s="36" t="str">
        <f>IFERROR(VLOOKUP(Table2[[#This Row], [Ticket]],Okey!A:B,2,0),"")</f>
        <v/>
      </c>
      <c r="I1643" s="36" t="s">
        <v>6455</v>
      </c>
      <c r="J1643" s="36" t="str">
        <f>VLOOKUP(Table2[[#This Row], [Author]],People!A:B,2,0)</f>
        <v>EL</v>
      </c>
      <c r="K1643" s="36" t="s">
        <v>7860</v>
      </c>
      <c r="M1643" s="36" t="s">
        <v>6110</v>
      </c>
    </row>
    <row r="1644" spans="1:13" x14ac:dyDescent="0.25">
      <c r="A1644" s="46">
        <f t="shared" si="25"/>
        <v>1643</v>
      </c>
      <c r="B1644" s="36" t="s">
        <v>4</v>
      </c>
      <c r="C1644" s="36" t="s">
        <v>7756</v>
      </c>
      <c r="D1644" s="36" t="s">
        <v>7835</v>
      </c>
      <c r="E1644" s="9" t="s">
        <v>7780</v>
      </c>
      <c r="F1644" s="36" t="s">
        <v>4634</v>
      </c>
      <c r="G1644" s="36" t="s">
        <v>14</v>
      </c>
      <c r="H1644" s="36" t="str">
        <f>IFERROR(VLOOKUP(Table2[[#This Row], [Ticket]],Okey!A:B,2,0),"")</f>
        <v/>
      </c>
      <c r="I1644" s="36" t="s">
        <v>6455</v>
      </c>
      <c r="J1644" s="36" t="str">
        <f>VLOOKUP(Table2[[#This Row], [Author]],People!A:B,2,0)</f>
        <v>EL</v>
      </c>
      <c r="K1644" s="36" t="s">
        <v>7860</v>
      </c>
      <c r="M1644" s="36" t="s">
        <v>6110</v>
      </c>
    </row>
    <row r="1645" spans="1:13" x14ac:dyDescent="0.25">
      <c r="A1645" s="46">
        <f t="shared" si="25"/>
        <v>1644</v>
      </c>
      <c r="B1645" s="36" t="s">
        <v>4</v>
      </c>
      <c r="C1645" s="36" t="s">
        <v>7756</v>
      </c>
      <c r="D1645" s="36" t="s">
        <v>7836</v>
      </c>
      <c r="E1645" s="9" t="s">
        <v>7781</v>
      </c>
      <c r="F1645" s="36" t="s">
        <v>7835</v>
      </c>
      <c r="G1645" s="36" t="s">
        <v>14</v>
      </c>
      <c r="H1645" s="36" t="str">
        <f>IFERROR(VLOOKUP(Table2[[#This Row], [Ticket]],Okey!A:B,2,0),"")</f>
        <v/>
      </c>
      <c r="I1645" s="36" t="s">
        <v>6455</v>
      </c>
      <c r="J1645" s="36" t="str">
        <f>VLOOKUP(Table2[[#This Row], [Author]],People!A:B,2,0)</f>
        <v>EL</v>
      </c>
      <c r="K1645" s="36" t="s">
        <v>7860</v>
      </c>
      <c r="M1645" s="36" t="s">
        <v>6110</v>
      </c>
    </row>
    <row r="1646" spans="1:13" x14ac:dyDescent="0.25">
      <c r="A1646" s="46">
        <f t="shared" si="25"/>
        <v>1645</v>
      </c>
      <c r="B1646" s="36" t="s">
        <v>4</v>
      </c>
      <c r="C1646" s="36" t="s">
        <v>7756</v>
      </c>
      <c r="D1646" s="36" t="s">
        <v>7837</v>
      </c>
      <c r="E1646" s="9" t="s">
        <v>7782</v>
      </c>
      <c r="F1646" s="36" t="s">
        <v>7835</v>
      </c>
      <c r="G1646" s="36" t="s">
        <v>14</v>
      </c>
      <c r="H1646" s="36" t="str">
        <f>IFERROR(VLOOKUP(Table2[[#This Row], [Ticket]],Okey!A:B,2,0),"")</f>
        <v/>
      </c>
      <c r="I1646" s="36" t="s">
        <v>6455</v>
      </c>
      <c r="J1646" s="36" t="str">
        <f>VLOOKUP(Table2[[#This Row], [Author]],People!A:B,2,0)</f>
        <v>EL</v>
      </c>
      <c r="K1646" s="36" t="s">
        <v>7860</v>
      </c>
      <c r="M1646" s="36" t="s">
        <v>6110</v>
      </c>
    </row>
    <row r="1647" spans="1:13" x14ac:dyDescent="0.25">
      <c r="A1647" s="46">
        <f t="shared" si="25"/>
        <v>1646</v>
      </c>
      <c r="B1647" s="36" t="s">
        <v>4</v>
      </c>
      <c r="C1647" s="36" t="s">
        <v>7756</v>
      </c>
      <c r="D1647" s="36" t="s">
        <v>7838</v>
      </c>
      <c r="E1647" s="9" t="s">
        <v>7783</v>
      </c>
      <c r="F1647" s="36" t="s">
        <v>4634</v>
      </c>
      <c r="G1647" s="36" t="s">
        <v>14</v>
      </c>
      <c r="H1647" s="36" t="str">
        <f>IFERROR(VLOOKUP(Table2[[#This Row], [Ticket]],Okey!A:B,2,0),"")</f>
        <v/>
      </c>
      <c r="I1647" s="36" t="s">
        <v>6455</v>
      </c>
      <c r="J1647" s="36" t="str">
        <f>VLOOKUP(Table2[[#This Row], [Author]],People!A:B,2,0)</f>
        <v>EL</v>
      </c>
      <c r="K1647" s="36" t="s">
        <v>7860</v>
      </c>
      <c r="M1647" s="36" t="s">
        <v>6110</v>
      </c>
    </row>
    <row r="1648" spans="1:13" x14ac:dyDescent="0.25">
      <c r="A1648" s="46">
        <f t="shared" si="25"/>
        <v>1647</v>
      </c>
      <c r="B1648" s="36" t="s">
        <v>4</v>
      </c>
      <c r="C1648" s="36" t="s">
        <v>7756</v>
      </c>
      <c r="D1648" s="36" t="s">
        <v>7839</v>
      </c>
      <c r="E1648" s="9" t="s">
        <v>7784</v>
      </c>
      <c r="F1648" s="36" t="s">
        <v>4634</v>
      </c>
      <c r="G1648" s="36" t="s">
        <v>14</v>
      </c>
      <c r="H1648" s="36" t="str">
        <f>IFERROR(VLOOKUP(Table2[[#This Row], [Ticket]],Okey!A:B,2,0),"")</f>
        <v/>
      </c>
      <c r="I1648" s="36" t="s">
        <v>6455</v>
      </c>
      <c r="J1648" s="36" t="str">
        <f>VLOOKUP(Table2[[#This Row], [Author]],People!A:B,2,0)</f>
        <v>EL</v>
      </c>
      <c r="K1648" s="36" t="s">
        <v>7860</v>
      </c>
      <c r="M1648" s="36" t="s">
        <v>6110</v>
      </c>
    </row>
    <row r="1649" spans="1:13" x14ac:dyDescent="0.25">
      <c r="A1649" s="46">
        <f t="shared" si="25"/>
        <v>1648</v>
      </c>
      <c r="B1649" s="36" t="s">
        <v>4</v>
      </c>
      <c r="C1649" s="36" t="s">
        <v>7756</v>
      </c>
      <c r="D1649" s="36" t="s">
        <v>7840</v>
      </c>
      <c r="E1649" s="9" t="s">
        <v>7785</v>
      </c>
      <c r="F1649" s="36" t="s">
        <v>4632</v>
      </c>
      <c r="G1649" s="36" t="s">
        <v>14</v>
      </c>
      <c r="H1649" s="36" t="str">
        <f>IFERROR(VLOOKUP(Table2[[#This Row], [Ticket]],Okey!A:B,2,0),"")</f>
        <v/>
      </c>
      <c r="I1649" s="36" t="s">
        <v>6455</v>
      </c>
      <c r="J1649" s="36" t="str">
        <f>VLOOKUP(Table2[[#This Row], [Author]],People!A:B,2,0)</f>
        <v>EL</v>
      </c>
      <c r="K1649" s="36" t="s">
        <v>7860</v>
      </c>
      <c r="M1649" s="36" t="s">
        <v>6110</v>
      </c>
    </row>
    <row r="1650" spans="1:13" x14ac:dyDescent="0.25">
      <c r="A1650" s="46">
        <f t="shared" si="25"/>
        <v>1649</v>
      </c>
      <c r="B1650" s="36" t="s">
        <v>4</v>
      </c>
      <c r="C1650" s="36" t="s">
        <v>7756</v>
      </c>
      <c r="D1650" s="36" t="s">
        <v>7841</v>
      </c>
      <c r="E1650" s="9" t="s">
        <v>7786</v>
      </c>
      <c r="F1650" s="36" t="s">
        <v>4628</v>
      </c>
      <c r="G1650" s="36" t="s">
        <v>14</v>
      </c>
      <c r="H1650" s="36" t="str">
        <f>IFERROR(VLOOKUP(Table2[[#This Row], [Ticket]],Okey!A:B,2,0),"")</f>
        <v/>
      </c>
      <c r="I1650" s="36" t="s">
        <v>6455</v>
      </c>
      <c r="J1650" s="36" t="str">
        <f>VLOOKUP(Table2[[#This Row], [Author]],People!A:B,2,0)</f>
        <v>EL</v>
      </c>
      <c r="K1650" s="36" t="s">
        <v>7860</v>
      </c>
      <c r="M1650" s="36" t="s">
        <v>6110</v>
      </c>
    </row>
    <row r="1651" spans="1:13" x14ac:dyDescent="0.25">
      <c r="A1651" s="46">
        <f t="shared" si="25"/>
        <v>1650</v>
      </c>
      <c r="B1651" s="36" t="s">
        <v>4</v>
      </c>
      <c r="C1651" s="36" t="s">
        <v>7756</v>
      </c>
      <c r="D1651" s="36" t="s">
        <v>7842</v>
      </c>
      <c r="E1651" s="9" t="s">
        <v>7787</v>
      </c>
      <c r="F1651" s="36" t="s">
        <v>4630</v>
      </c>
      <c r="G1651" s="36" t="s">
        <v>14</v>
      </c>
      <c r="H1651" s="36" t="str">
        <f>IFERROR(VLOOKUP(Table2[[#This Row], [Ticket]],Okey!A:B,2,0),"")</f>
        <v/>
      </c>
      <c r="I1651" s="36" t="s">
        <v>6455</v>
      </c>
      <c r="J1651" s="36" t="str">
        <f>VLOOKUP(Table2[[#This Row], [Author]],People!A:B,2,0)</f>
        <v>EL</v>
      </c>
      <c r="K1651" s="36" t="s">
        <v>7860</v>
      </c>
      <c r="M1651" s="36" t="s">
        <v>6110</v>
      </c>
    </row>
    <row r="1652" spans="1:13" x14ac:dyDescent="0.25">
      <c r="A1652" s="46">
        <f t="shared" si="25"/>
        <v>1651</v>
      </c>
      <c r="B1652" s="36" t="s">
        <v>4</v>
      </c>
      <c r="C1652" s="36" t="s">
        <v>7756</v>
      </c>
      <c r="D1652" s="36" t="s">
        <v>7843</v>
      </c>
      <c r="E1652" s="9" t="s">
        <v>7788</v>
      </c>
      <c r="F1652" s="36" t="s">
        <v>4634</v>
      </c>
      <c r="G1652" s="36" t="s">
        <v>14</v>
      </c>
      <c r="H1652" s="36" t="str">
        <f>IFERROR(VLOOKUP(Table2[[#This Row], [Ticket]],Okey!A:B,2,0),"")</f>
        <v/>
      </c>
      <c r="I1652" s="36" t="s">
        <v>6455</v>
      </c>
      <c r="J1652" s="36" t="str">
        <f>VLOOKUP(Table2[[#This Row], [Author]],People!A:B,2,0)</f>
        <v>EL</v>
      </c>
      <c r="K1652" s="36" t="s">
        <v>7860</v>
      </c>
      <c r="M1652" s="36" t="s">
        <v>6110</v>
      </c>
    </row>
    <row r="1653" spans="1:13" x14ac:dyDescent="0.25">
      <c r="A1653" s="46">
        <f t="shared" si="25"/>
        <v>1652</v>
      </c>
      <c r="B1653" s="36" t="s">
        <v>4</v>
      </c>
      <c r="C1653" s="36" t="s">
        <v>7756</v>
      </c>
      <c r="D1653" s="36" t="s">
        <v>7844</v>
      </c>
      <c r="E1653" s="9" t="s">
        <v>7789</v>
      </c>
      <c r="F1653" s="36" t="s">
        <v>2096</v>
      </c>
      <c r="G1653" s="36" t="s">
        <v>14</v>
      </c>
      <c r="H1653" s="36" t="str">
        <f>IFERROR(VLOOKUP(Table2[[#This Row], [Ticket]],Okey!A:B,2,0),"")</f>
        <v/>
      </c>
      <c r="I1653" s="36" t="s">
        <v>6455</v>
      </c>
      <c r="J1653" s="36" t="str">
        <f>VLOOKUP(Table2[[#This Row], [Author]],People!A:B,2,0)</f>
        <v>EL</v>
      </c>
      <c r="K1653" s="36" t="s">
        <v>7860</v>
      </c>
      <c r="M1653" s="36" t="s">
        <v>6110</v>
      </c>
    </row>
    <row r="1654" spans="1:13" x14ac:dyDescent="0.25">
      <c r="A1654" s="46">
        <f t="shared" si="25"/>
        <v>1653</v>
      </c>
      <c r="B1654" s="36" t="s">
        <v>4</v>
      </c>
      <c r="C1654" s="36" t="s">
        <v>7756</v>
      </c>
      <c r="D1654" s="36" t="s">
        <v>7845</v>
      </c>
      <c r="E1654" s="9" t="s">
        <v>7790</v>
      </c>
      <c r="F1654" s="36" t="s">
        <v>2096</v>
      </c>
      <c r="G1654" s="36" t="s">
        <v>14</v>
      </c>
      <c r="H1654" s="36" t="str">
        <f>IFERROR(VLOOKUP(Table2[[#This Row], [Ticket]],Okey!A:B,2,0),"")</f>
        <v/>
      </c>
      <c r="I1654" s="36" t="s">
        <v>6455</v>
      </c>
      <c r="J1654" s="36" t="str">
        <f>VLOOKUP(Table2[[#This Row], [Author]],People!A:B,2,0)</f>
        <v>EL</v>
      </c>
      <c r="K1654" s="36" t="s">
        <v>7860</v>
      </c>
      <c r="M1654" s="36" t="s">
        <v>6110</v>
      </c>
    </row>
    <row r="1655" spans="1:13" x14ac:dyDescent="0.25">
      <c r="A1655" s="46">
        <f t="shared" si="25"/>
        <v>1654</v>
      </c>
      <c r="B1655" s="36" t="s">
        <v>4</v>
      </c>
      <c r="C1655" s="36" t="s">
        <v>7756</v>
      </c>
      <c r="D1655" s="36" t="s">
        <v>7846</v>
      </c>
      <c r="E1655" s="9" t="s">
        <v>7791</v>
      </c>
      <c r="F1655" s="36" t="s">
        <v>2096</v>
      </c>
      <c r="G1655" s="36" t="s">
        <v>14</v>
      </c>
      <c r="H1655" s="36" t="str">
        <f>IFERROR(VLOOKUP(Table2[[#This Row], [Ticket]],Okey!A:B,2,0),"")</f>
        <v/>
      </c>
      <c r="I1655" s="36" t="s">
        <v>6455</v>
      </c>
      <c r="J1655" s="36" t="str">
        <f>VLOOKUP(Table2[[#This Row], [Author]],People!A:B,2,0)</f>
        <v>EL</v>
      </c>
      <c r="K1655" s="36" t="s">
        <v>7860</v>
      </c>
      <c r="M1655" s="36" t="s">
        <v>6110</v>
      </c>
    </row>
    <row r="1656" spans="1:13" x14ac:dyDescent="0.25">
      <c r="A1656" s="46">
        <f t="shared" si="25"/>
        <v>1655</v>
      </c>
      <c r="B1656" s="36" t="s">
        <v>4</v>
      </c>
      <c r="C1656" s="36" t="s">
        <v>7756</v>
      </c>
      <c r="D1656" s="36" t="s">
        <v>7847</v>
      </c>
      <c r="E1656" s="9" t="s">
        <v>7792</v>
      </c>
      <c r="F1656" s="36" t="s">
        <v>2096</v>
      </c>
      <c r="G1656" s="36" t="s">
        <v>14</v>
      </c>
      <c r="H1656" s="36" t="str">
        <f>IFERROR(VLOOKUP(Table2[[#This Row], [Ticket]],Okey!A:B,2,0),"")</f>
        <v/>
      </c>
      <c r="I1656" s="36" t="s">
        <v>6455</v>
      </c>
      <c r="J1656" s="36" t="str">
        <f>VLOOKUP(Table2[[#This Row], [Author]],People!A:B,2,0)</f>
        <v>EL</v>
      </c>
      <c r="K1656" s="36" t="s">
        <v>7860</v>
      </c>
      <c r="M1656" s="36" t="s">
        <v>6110</v>
      </c>
    </row>
    <row r="1657" spans="1:13" x14ac:dyDescent="0.25">
      <c r="A1657" s="46">
        <f t="shared" si="25"/>
        <v>1656</v>
      </c>
      <c r="B1657" s="36" t="s">
        <v>4</v>
      </c>
      <c r="C1657" s="36" t="s">
        <v>7756</v>
      </c>
      <c r="D1657" s="36" t="s">
        <v>7848</v>
      </c>
      <c r="E1657" s="9" t="s">
        <v>7793</v>
      </c>
      <c r="F1657" s="36" t="s">
        <v>2096</v>
      </c>
      <c r="G1657" s="36" t="s">
        <v>14</v>
      </c>
      <c r="H1657" s="36" t="str">
        <f>IFERROR(VLOOKUP(Table2[[#This Row], [Ticket]],Okey!A:B,2,0),"")</f>
        <v/>
      </c>
      <c r="I1657" s="36" t="s">
        <v>6455</v>
      </c>
      <c r="J1657" s="36" t="str">
        <f>VLOOKUP(Table2[[#This Row], [Author]],People!A:B,2,0)</f>
        <v>EL</v>
      </c>
      <c r="K1657" s="36" t="s">
        <v>7860</v>
      </c>
      <c r="M1657" s="36" t="s">
        <v>6110</v>
      </c>
    </row>
    <row r="1658" spans="1:13" x14ac:dyDescent="0.25">
      <c r="A1658" s="46">
        <f t="shared" si="25"/>
        <v>1657</v>
      </c>
      <c r="B1658" s="36" t="s">
        <v>4</v>
      </c>
      <c r="C1658" s="36" t="s">
        <v>7756</v>
      </c>
      <c r="D1658" s="36" t="s">
        <v>7849</v>
      </c>
      <c r="E1658" s="9" t="s">
        <v>7794</v>
      </c>
      <c r="F1658" s="36" t="s">
        <v>2096</v>
      </c>
      <c r="G1658" s="36" t="s">
        <v>14</v>
      </c>
      <c r="H1658" s="36" t="str">
        <f>IFERROR(VLOOKUP(Table2[[#This Row], [Ticket]],Okey!A:B,2,0),"")</f>
        <v/>
      </c>
      <c r="I1658" s="36" t="s">
        <v>6455</v>
      </c>
      <c r="J1658" s="36" t="str">
        <f>VLOOKUP(Table2[[#This Row], [Author]],People!A:B,2,0)</f>
        <v>EL</v>
      </c>
      <c r="K1658" s="36" t="s">
        <v>7860</v>
      </c>
      <c r="M1658" s="36" t="s">
        <v>6110</v>
      </c>
    </row>
    <row r="1659" spans="1:13" x14ac:dyDescent="0.25">
      <c r="A1659" s="46">
        <f t="shared" si="25"/>
        <v>1658</v>
      </c>
      <c r="B1659" s="36" t="s">
        <v>4</v>
      </c>
      <c r="C1659" s="36" t="s">
        <v>7756</v>
      </c>
      <c r="D1659" s="36" t="s">
        <v>7850</v>
      </c>
      <c r="E1659" s="9" t="s">
        <v>7795</v>
      </c>
      <c r="F1659" s="36" t="s">
        <v>2096</v>
      </c>
      <c r="G1659" s="36" t="s">
        <v>14</v>
      </c>
      <c r="H1659" s="36" t="str">
        <f>IFERROR(VLOOKUP(Table2[[#This Row], [Ticket]],Okey!A:B,2,0),"")</f>
        <v/>
      </c>
      <c r="I1659" s="36" t="s">
        <v>6455</v>
      </c>
      <c r="J1659" s="36" t="str">
        <f>VLOOKUP(Table2[[#This Row], [Author]],People!A:B,2,0)</f>
        <v>EL</v>
      </c>
      <c r="K1659" s="36" t="s">
        <v>7860</v>
      </c>
      <c r="M1659" s="36" t="s">
        <v>6110</v>
      </c>
    </row>
    <row r="1660" spans="1:13" x14ac:dyDescent="0.25">
      <c r="A1660" s="46">
        <f t="shared" si="25"/>
        <v>1659</v>
      </c>
      <c r="B1660" s="36" t="s">
        <v>4</v>
      </c>
      <c r="C1660" s="36" t="s">
        <v>7756</v>
      </c>
      <c r="D1660" s="36" t="s">
        <v>7851</v>
      </c>
      <c r="E1660" s="9" t="s">
        <v>7796</v>
      </c>
      <c r="F1660" s="36" t="s">
        <v>2096</v>
      </c>
      <c r="G1660" s="36" t="s">
        <v>14</v>
      </c>
      <c r="H1660" s="36" t="str">
        <f>IFERROR(VLOOKUP(Table2[[#This Row], [Ticket]],Okey!A:B,2,0),"")</f>
        <v/>
      </c>
      <c r="I1660" s="36" t="s">
        <v>6455</v>
      </c>
      <c r="J1660" s="36" t="str">
        <f>VLOOKUP(Table2[[#This Row], [Author]],People!A:B,2,0)</f>
        <v>EL</v>
      </c>
      <c r="K1660" s="36" t="s">
        <v>7860</v>
      </c>
      <c r="M1660" s="36" t="s">
        <v>6110</v>
      </c>
    </row>
    <row r="1661" spans="1:13" x14ac:dyDescent="0.25">
      <c r="A1661" s="46">
        <f t="shared" si="25"/>
        <v>1660</v>
      </c>
      <c r="B1661" s="36" t="s">
        <v>4</v>
      </c>
      <c r="C1661" s="36" t="s">
        <v>7756</v>
      </c>
      <c r="D1661" s="36" t="s">
        <v>7852</v>
      </c>
      <c r="E1661" s="9" t="s">
        <v>7797</v>
      </c>
      <c r="F1661" s="36" t="s">
        <v>2096</v>
      </c>
      <c r="G1661" s="36" t="s">
        <v>14</v>
      </c>
      <c r="H1661" s="36" t="str">
        <f>IFERROR(VLOOKUP(Table2[[#This Row], [Ticket]],Okey!A:B,2,0),"")</f>
        <v/>
      </c>
      <c r="I1661" s="36" t="s">
        <v>6455</v>
      </c>
      <c r="J1661" s="36" t="str">
        <f>VLOOKUP(Table2[[#This Row], [Author]],People!A:B,2,0)</f>
        <v>EL</v>
      </c>
      <c r="K1661" s="36" t="s">
        <v>7860</v>
      </c>
      <c r="M1661" s="36" t="s">
        <v>6110</v>
      </c>
    </row>
    <row r="1662" spans="1:13" x14ac:dyDescent="0.25">
      <c r="A1662" s="46">
        <f t="shared" si="25"/>
        <v>1661</v>
      </c>
      <c r="B1662" s="36" t="s">
        <v>4</v>
      </c>
      <c r="C1662" s="36" t="s">
        <v>7756</v>
      </c>
      <c r="D1662" s="36" t="s">
        <v>7853</v>
      </c>
      <c r="E1662" s="9" t="s">
        <v>7798</v>
      </c>
      <c r="F1662" s="36" t="s">
        <v>2096</v>
      </c>
      <c r="G1662" s="36" t="s">
        <v>14</v>
      </c>
      <c r="H1662" s="36" t="str">
        <f>IFERROR(VLOOKUP(Table2[[#This Row], [Ticket]],Okey!A:B,2,0),"")</f>
        <v/>
      </c>
      <c r="I1662" s="36" t="s">
        <v>6455</v>
      </c>
      <c r="J1662" s="36" t="str">
        <f>VLOOKUP(Table2[[#This Row], [Author]],People!A:B,2,0)</f>
        <v>EL</v>
      </c>
      <c r="K1662" s="36" t="s">
        <v>7860</v>
      </c>
      <c r="M1662" s="36" t="s">
        <v>6110</v>
      </c>
    </row>
    <row r="1663" spans="1:13" x14ac:dyDescent="0.25">
      <c r="A1663" s="46">
        <f t="shared" si="25"/>
        <v>1662</v>
      </c>
      <c r="B1663" s="36" t="s">
        <v>4</v>
      </c>
      <c r="C1663" s="36" t="s">
        <v>7756</v>
      </c>
      <c r="D1663" s="36" t="s">
        <v>7854</v>
      </c>
      <c r="E1663" s="9" t="s">
        <v>7799</v>
      </c>
      <c r="F1663" s="36" t="s">
        <v>2096</v>
      </c>
      <c r="G1663" s="36" t="s">
        <v>14</v>
      </c>
      <c r="H1663" s="36" t="str">
        <f>IFERROR(VLOOKUP(Table2[[#This Row], [Ticket]],Okey!A:B,2,0),"")</f>
        <v/>
      </c>
      <c r="I1663" s="36" t="s">
        <v>6455</v>
      </c>
      <c r="J1663" s="36" t="str">
        <f>VLOOKUP(Table2[[#This Row], [Author]],People!A:B,2,0)</f>
        <v>EL</v>
      </c>
      <c r="K1663" s="36" t="s">
        <v>7860</v>
      </c>
      <c r="M1663" s="36" t="s">
        <v>6110</v>
      </c>
    </row>
    <row r="1664" spans="1:13" x14ac:dyDescent="0.25">
      <c r="A1664" s="46">
        <f t="shared" si="25"/>
        <v>1663</v>
      </c>
      <c r="B1664" s="36" t="s">
        <v>4</v>
      </c>
      <c r="C1664" s="36" t="s">
        <v>7756</v>
      </c>
      <c r="D1664" s="36" t="s">
        <v>7855</v>
      </c>
      <c r="E1664" s="9" t="s">
        <v>7800</v>
      </c>
      <c r="F1664" s="36" t="s">
        <v>2096</v>
      </c>
      <c r="G1664" s="36" t="s">
        <v>14</v>
      </c>
      <c r="H1664" s="36" t="str">
        <f>IFERROR(VLOOKUP(Table2[[#This Row], [Ticket]],Okey!A:B,2,0),"")</f>
        <v/>
      </c>
      <c r="I1664" s="36" t="s">
        <v>6455</v>
      </c>
      <c r="J1664" s="36" t="str">
        <f>VLOOKUP(Table2[[#This Row], [Author]],People!A:B,2,0)</f>
        <v>EL</v>
      </c>
      <c r="K1664" s="36" t="s">
        <v>7860</v>
      </c>
      <c r="M1664" s="36" t="s">
        <v>6110</v>
      </c>
    </row>
    <row r="1665" spans="1:13" x14ac:dyDescent="0.25">
      <c r="A1665" s="46">
        <f t="shared" si="25"/>
        <v>1664</v>
      </c>
      <c r="B1665" s="36" t="s">
        <v>4</v>
      </c>
      <c r="C1665" s="36" t="s">
        <v>7756</v>
      </c>
      <c r="D1665" s="36" t="s">
        <v>7856</v>
      </c>
      <c r="E1665" s="9" t="s">
        <v>7801</v>
      </c>
      <c r="F1665" s="36" t="s">
        <v>2096</v>
      </c>
      <c r="G1665" s="36" t="s">
        <v>14</v>
      </c>
      <c r="H1665" s="36" t="str">
        <f>IFERROR(VLOOKUP(Table2[[#This Row], [Ticket]],Okey!A:B,2,0),"")</f>
        <v/>
      </c>
      <c r="I1665" s="36" t="s">
        <v>6455</v>
      </c>
      <c r="J1665" s="36" t="str">
        <f>VLOOKUP(Table2[[#This Row], [Author]],People!A:B,2,0)</f>
        <v>EL</v>
      </c>
      <c r="K1665" s="36" t="s">
        <v>7860</v>
      </c>
      <c r="M1665" s="36" t="s">
        <v>6110</v>
      </c>
    </row>
    <row r="1666" spans="1:13" x14ac:dyDescent="0.25">
      <c r="A1666" s="46">
        <f t="shared" si="25"/>
        <v>1665</v>
      </c>
      <c r="B1666" s="36" t="s">
        <v>4</v>
      </c>
      <c r="C1666" s="36" t="s">
        <v>7756</v>
      </c>
      <c r="D1666" s="36" t="s">
        <v>7857</v>
      </c>
      <c r="E1666" s="9" t="s">
        <v>7802</v>
      </c>
      <c r="F1666" s="36" t="s">
        <v>2433</v>
      </c>
      <c r="G1666" s="36" t="s">
        <v>14</v>
      </c>
      <c r="H1666" s="36" t="str">
        <f>IFERROR(VLOOKUP(Table2[[#This Row], [Ticket]],Okey!A:B,2,0),"")</f>
        <v/>
      </c>
      <c r="I1666" s="36" t="s">
        <v>6455</v>
      </c>
      <c r="J1666" s="36" t="str">
        <f>VLOOKUP(Table2[[#This Row], [Author]],People!A:B,2,0)</f>
        <v>EL</v>
      </c>
      <c r="K1666" s="36" t="s">
        <v>7860</v>
      </c>
      <c r="M1666" s="36" t="s">
        <v>6110</v>
      </c>
    </row>
    <row r="1667" spans="1:13" x14ac:dyDescent="0.25">
      <c r="A1667" s="46">
        <f t="shared" ref="A1667:A1683" si="26">1+A1666</f>
        <v>1666</v>
      </c>
      <c r="B1667" s="36" t="s">
        <v>4</v>
      </c>
      <c r="C1667" s="36" t="s">
        <v>7756</v>
      </c>
      <c r="D1667" s="36" t="s">
        <v>7858</v>
      </c>
      <c r="E1667" s="9" t="s">
        <v>7803</v>
      </c>
      <c r="F1667" s="36" t="s">
        <v>2653</v>
      </c>
      <c r="G1667" s="36" t="s">
        <v>14</v>
      </c>
      <c r="H1667" s="36" t="str">
        <f>IFERROR(VLOOKUP(Table2[[#This Row], [Ticket]],Okey!A:B,2,0),"")</f>
        <v/>
      </c>
      <c r="I1667" s="36" t="s">
        <v>6455</v>
      </c>
      <c r="J1667" s="36" t="str">
        <f>VLOOKUP(Table2[[#This Row], [Author]],People!A:B,2,0)</f>
        <v>EL</v>
      </c>
      <c r="K1667" s="36" t="s">
        <v>7860</v>
      </c>
      <c r="M1667" s="36" t="s">
        <v>6110</v>
      </c>
    </row>
    <row r="1668" spans="1:13" x14ac:dyDescent="0.25">
      <c r="A1668" s="46">
        <f t="shared" si="26"/>
        <v>1667</v>
      </c>
      <c r="B1668" s="36" t="s">
        <v>4</v>
      </c>
      <c r="C1668" s="36" t="s">
        <v>7756</v>
      </c>
      <c r="D1668" s="9" t="s">
        <v>7804</v>
      </c>
      <c r="F1668" s="9" t="s">
        <v>2740</v>
      </c>
      <c r="G1668" s="9" t="s">
        <v>13</v>
      </c>
      <c r="H1668" s="36" t="str">
        <f>IFERROR(VLOOKUP(Table2[[#This Row], [Ticket]],Okey!A:B,2,0),"")</f>
        <v/>
      </c>
      <c r="I1668" s="36" t="s">
        <v>6455</v>
      </c>
      <c r="J1668" s="36" t="str">
        <f>VLOOKUP(Table2[[#This Row], [Author]],People!A:B,2,0)</f>
        <v>EL</v>
      </c>
      <c r="K1668" s="36" t="s">
        <v>7861</v>
      </c>
      <c r="M1668" s="36" t="s">
        <v>6110</v>
      </c>
    </row>
    <row r="1669" spans="1:13" x14ac:dyDescent="0.25">
      <c r="A1669" s="46">
        <f t="shared" si="26"/>
        <v>1668</v>
      </c>
      <c r="B1669" s="36" t="s">
        <v>4</v>
      </c>
      <c r="C1669" s="36" t="s">
        <v>7756</v>
      </c>
      <c r="D1669" s="9" t="s">
        <v>7805</v>
      </c>
      <c r="F1669" s="9" t="s">
        <v>2684</v>
      </c>
      <c r="G1669" s="36" t="s">
        <v>13</v>
      </c>
      <c r="H1669" s="36" t="str">
        <f>IFERROR(VLOOKUP(Table2[[#This Row], [Ticket]],Okey!A:B,2,0),"")</f>
        <v/>
      </c>
      <c r="I1669" s="36" t="s">
        <v>6455</v>
      </c>
      <c r="J1669" s="36" t="str">
        <f>VLOOKUP(Table2[[#This Row], [Author]],People!A:B,2,0)</f>
        <v>EL</v>
      </c>
      <c r="K1669" s="36" t="s">
        <v>7861</v>
      </c>
      <c r="M1669" s="36" t="s">
        <v>6110</v>
      </c>
    </row>
    <row r="1670" spans="1:13" x14ac:dyDescent="0.25">
      <c r="A1670" s="46">
        <f t="shared" si="26"/>
        <v>1669</v>
      </c>
      <c r="B1670" s="36" t="s">
        <v>4</v>
      </c>
      <c r="C1670" s="36" t="s">
        <v>7756</v>
      </c>
      <c r="D1670" s="9" t="s">
        <v>4606</v>
      </c>
      <c r="F1670" s="9" t="s">
        <v>7763</v>
      </c>
      <c r="G1670" s="36" t="s">
        <v>13</v>
      </c>
      <c r="H1670" s="36" t="str">
        <f>IFERROR(VLOOKUP(Table2[[#This Row], [Ticket]],Okey!A:B,2,0),"")</f>
        <v/>
      </c>
      <c r="I1670" s="36" t="s">
        <v>6455</v>
      </c>
      <c r="J1670" s="36" t="str">
        <f>VLOOKUP(Table2[[#This Row], [Author]],People!A:B,2,0)</f>
        <v>EL</v>
      </c>
      <c r="K1670" s="36" t="s">
        <v>7861</v>
      </c>
      <c r="M1670" s="36" t="s">
        <v>6110</v>
      </c>
    </row>
    <row r="1671" spans="1:13" x14ac:dyDescent="0.25">
      <c r="A1671" s="46">
        <f t="shared" si="26"/>
        <v>1670</v>
      </c>
      <c r="B1671" s="36" t="s">
        <v>4</v>
      </c>
      <c r="C1671" s="36" t="s">
        <v>7756</v>
      </c>
      <c r="D1671" s="9" t="s">
        <v>4620</v>
      </c>
      <c r="F1671" s="9" t="s">
        <v>7763</v>
      </c>
      <c r="G1671" s="36" t="s">
        <v>13</v>
      </c>
      <c r="H1671" s="36" t="str">
        <f>IFERROR(VLOOKUP(Table2[[#This Row], [Ticket]],Okey!A:B,2,0),"")</f>
        <v/>
      </c>
      <c r="I1671" s="36" t="s">
        <v>6455</v>
      </c>
      <c r="J1671" s="36" t="str">
        <f>VLOOKUP(Table2[[#This Row], [Author]],People!A:B,2,0)</f>
        <v>EL</v>
      </c>
      <c r="K1671" s="36" t="s">
        <v>7861</v>
      </c>
      <c r="M1671" s="36" t="s">
        <v>6110</v>
      </c>
    </row>
    <row r="1672" spans="1:13" x14ac:dyDescent="0.25">
      <c r="A1672" s="46">
        <f t="shared" si="26"/>
        <v>1671</v>
      </c>
      <c r="B1672" s="36" t="s">
        <v>4</v>
      </c>
      <c r="C1672" s="36" t="s">
        <v>7756</v>
      </c>
      <c r="D1672" s="9" t="s">
        <v>4622</v>
      </c>
      <c r="F1672" s="9" t="s">
        <v>7763</v>
      </c>
      <c r="G1672" s="36" t="s">
        <v>13</v>
      </c>
      <c r="H1672" s="36" t="str">
        <f>IFERROR(VLOOKUP(Table2[[#This Row], [Ticket]],Okey!A:B,2,0),"")</f>
        <v/>
      </c>
      <c r="I1672" s="36" t="s">
        <v>6455</v>
      </c>
      <c r="J1672" s="36" t="str">
        <f>VLOOKUP(Table2[[#This Row], [Author]],People!A:B,2,0)</f>
        <v>EL</v>
      </c>
      <c r="K1672" s="36" t="s">
        <v>7861</v>
      </c>
      <c r="M1672" s="36" t="s">
        <v>6110</v>
      </c>
    </row>
    <row r="1673" spans="1:13" x14ac:dyDescent="0.25">
      <c r="A1673" s="46">
        <f t="shared" si="26"/>
        <v>1672</v>
      </c>
      <c r="B1673" s="36" t="s">
        <v>4</v>
      </c>
      <c r="C1673" s="36" t="s">
        <v>7756</v>
      </c>
      <c r="D1673" s="9" t="s">
        <v>4624</v>
      </c>
      <c r="F1673" s="9" t="s">
        <v>7763</v>
      </c>
      <c r="G1673" s="36" t="s">
        <v>13</v>
      </c>
      <c r="H1673" s="36" t="str">
        <f>IFERROR(VLOOKUP(Table2[[#This Row], [Ticket]],Okey!A:B,2,0),"")</f>
        <v/>
      </c>
      <c r="I1673" s="36" t="s">
        <v>6455</v>
      </c>
      <c r="J1673" s="36" t="str">
        <f>VLOOKUP(Table2[[#This Row], [Author]],People!A:B,2,0)</f>
        <v>EL</v>
      </c>
      <c r="K1673" s="36" t="s">
        <v>7861</v>
      </c>
      <c r="M1673" s="36" t="s">
        <v>6110</v>
      </c>
    </row>
    <row r="1674" spans="1:13" x14ac:dyDescent="0.25">
      <c r="A1674" s="46">
        <f t="shared" si="26"/>
        <v>1673</v>
      </c>
      <c r="B1674" s="36" t="s">
        <v>4</v>
      </c>
      <c r="C1674" s="36" t="s">
        <v>7756</v>
      </c>
      <c r="D1674" s="9" t="s">
        <v>4608</v>
      </c>
      <c r="F1674" s="9" t="s">
        <v>7763</v>
      </c>
      <c r="G1674" s="36" t="s">
        <v>13</v>
      </c>
      <c r="H1674" s="36" t="str">
        <f>IFERROR(VLOOKUP(Table2[[#This Row], [Ticket]],Okey!A:B,2,0),"")</f>
        <v/>
      </c>
      <c r="I1674" s="36" t="s">
        <v>6455</v>
      </c>
      <c r="J1674" s="36" t="str">
        <f>VLOOKUP(Table2[[#This Row], [Author]],People!A:B,2,0)</f>
        <v>EL</v>
      </c>
      <c r="K1674" s="36" t="s">
        <v>7861</v>
      </c>
      <c r="M1674" s="36" t="s">
        <v>6110</v>
      </c>
    </row>
    <row r="1675" spans="1:13" x14ac:dyDescent="0.25">
      <c r="A1675" s="46">
        <f t="shared" si="26"/>
        <v>1674</v>
      </c>
      <c r="B1675" s="36" t="s">
        <v>4</v>
      </c>
      <c r="C1675" s="36" t="s">
        <v>7756</v>
      </c>
      <c r="D1675" s="9" t="s">
        <v>4612</v>
      </c>
      <c r="F1675" s="9" t="s">
        <v>7763</v>
      </c>
      <c r="G1675" s="36" t="s">
        <v>13</v>
      </c>
      <c r="H1675" s="36" t="str">
        <f>IFERROR(VLOOKUP(Table2[[#This Row], [Ticket]],Okey!A:B,2,0),"")</f>
        <v/>
      </c>
      <c r="I1675" s="36" t="s">
        <v>6455</v>
      </c>
      <c r="J1675" s="36" t="str">
        <f>VLOOKUP(Table2[[#This Row], [Author]],People!A:B,2,0)</f>
        <v>EL</v>
      </c>
      <c r="K1675" s="36" t="s">
        <v>7861</v>
      </c>
      <c r="M1675" s="36" t="s">
        <v>6110</v>
      </c>
    </row>
    <row r="1676" spans="1:13" x14ac:dyDescent="0.25">
      <c r="A1676" s="46">
        <f t="shared" si="26"/>
        <v>1675</v>
      </c>
      <c r="B1676" s="36" t="s">
        <v>4</v>
      </c>
      <c r="C1676" s="36" t="s">
        <v>7756</v>
      </c>
      <c r="D1676" s="9" t="s">
        <v>4618</v>
      </c>
      <c r="F1676" s="9" t="s">
        <v>7763</v>
      </c>
      <c r="G1676" s="36" t="s">
        <v>13</v>
      </c>
      <c r="H1676" s="36" t="str">
        <f>IFERROR(VLOOKUP(Table2[[#This Row], [Ticket]],Okey!A:B,2,0),"")</f>
        <v/>
      </c>
      <c r="I1676" s="36" t="s">
        <v>6455</v>
      </c>
      <c r="J1676" s="36" t="str">
        <f>VLOOKUP(Table2[[#This Row], [Author]],People!A:B,2,0)</f>
        <v>EL</v>
      </c>
      <c r="K1676" s="36" t="s">
        <v>7861</v>
      </c>
      <c r="M1676" s="36" t="s">
        <v>6110</v>
      </c>
    </row>
    <row r="1677" spans="1:13" x14ac:dyDescent="0.25">
      <c r="A1677" s="46">
        <f t="shared" si="26"/>
        <v>1676</v>
      </c>
      <c r="B1677" s="36" t="s">
        <v>4</v>
      </c>
      <c r="C1677" s="36" t="s">
        <v>7756</v>
      </c>
      <c r="D1677" s="9" t="s">
        <v>3157</v>
      </c>
      <c r="F1677" s="9" t="s">
        <v>2433</v>
      </c>
      <c r="G1677" s="36" t="s">
        <v>13</v>
      </c>
      <c r="H1677" s="36" t="str">
        <f>IFERROR(VLOOKUP(Table2[[#This Row], [Ticket]],Okey!A:B,2,0),"")</f>
        <v/>
      </c>
      <c r="I1677" s="36" t="s">
        <v>6455</v>
      </c>
      <c r="J1677" s="36" t="str">
        <f>VLOOKUP(Table2[[#This Row], [Author]],People!A:B,2,0)</f>
        <v>EL</v>
      </c>
      <c r="K1677" s="36" t="s">
        <v>7861</v>
      </c>
      <c r="M1677" s="36" t="s">
        <v>6110</v>
      </c>
    </row>
    <row r="1678" spans="1:13" x14ac:dyDescent="0.25">
      <c r="A1678" s="46">
        <f t="shared" si="26"/>
        <v>1677</v>
      </c>
      <c r="B1678" s="36" t="s">
        <v>4</v>
      </c>
      <c r="C1678" s="36" t="s">
        <v>7756</v>
      </c>
      <c r="D1678" s="9" t="s">
        <v>7806</v>
      </c>
      <c r="F1678" s="9" t="s">
        <v>275</v>
      </c>
      <c r="G1678" s="9" t="s">
        <v>12</v>
      </c>
      <c r="H1678" s="36" t="str">
        <f>IFERROR(VLOOKUP(Table2[[#This Row], [Ticket]],Okey!A:B,2,0),"")</f>
        <v/>
      </c>
      <c r="I1678" s="36" t="s">
        <v>6455</v>
      </c>
      <c r="J1678" s="36" t="str">
        <f>VLOOKUP(Table2[[#This Row], [Author]],People!A:B,2,0)</f>
        <v>EL</v>
      </c>
      <c r="K1678" s="36" t="s">
        <v>7861</v>
      </c>
      <c r="M1678" s="36" t="s">
        <v>6110</v>
      </c>
    </row>
    <row r="1679" spans="1:13" x14ac:dyDescent="0.25">
      <c r="A1679" s="46">
        <f t="shared" si="26"/>
        <v>1678</v>
      </c>
      <c r="B1679" s="36" t="s">
        <v>4</v>
      </c>
      <c r="C1679" s="36" t="s">
        <v>7756</v>
      </c>
      <c r="D1679" s="9" t="s">
        <v>7807</v>
      </c>
      <c r="F1679" s="36" t="s">
        <v>275</v>
      </c>
      <c r="G1679" s="36" t="s">
        <v>12</v>
      </c>
      <c r="H1679" s="36" t="str">
        <f>IFERROR(VLOOKUP(Table2[[#This Row], [Ticket]],Okey!A:B,2,0),"")</f>
        <v/>
      </c>
      <c r="I1679" s="36" t="s">
        <v>6455</v>
      </c>
      <c r="J1679" s="36" t="str">
        <f>VLOOKUP(Table2[[#This Row], [Author]],People!A:B,2,0)</f>
        <v>EL</v>
      </c>
      <c r="K1679" s="36" t="s">
        <v>7861</v>
      </c>
      <c r="M1679" s="36" t="s">
        <v>6110</v>
      </c>
    </row>
    <row r="1680" spans="1:13" x14ac:dyDescent="0.25">
      <c r="A1680" s="46">
        <f t="shared" si="26"/>
        <v>1679</v>
      </c>
      <c r="B1680" s="36" t="s">
        <v>4</v>
      </c>
      <c r="C1680" s="36" t="s">
        <v>7756</v>
      </c>
      <c r="D1680" s="9" t="s">
        <v>4608</v>
      </c>
      <c r="E1680" s="9" t="s">
        <v>7808</v>
      </c>
      <c r="G1680" s="9" t="s">
        <v>15</v>
      </c>
      <c r="H1680" s="36" t="str">
        <f>IFERROR(VLOOKUP(Table2[[#This Row], [Ticket]],Okey!A:B,2,0),"")</f>
        <v/>
      </c>
      <c r="I1680" s="36" t="s">
        <v>6455</v>
      </c>
      <c r="J1680" s="36" t="str">
        <f>VLOOKUP(Table2[[#This Row], [Author]],People!A:B,2,0)</f>
        <v>EL</v>
      </c>
      <c r="K1680" s="36" t="s">
        <v>7859</v>
      </c>
      <c r="M1680" s="36" t="s">
        <v>6110</v>
      </c>
    </row>
    <row r="1681" spans="1:13" x14ac:dyDescent="0.25">
      <c r="A1681" s="46">
        <f t="shared" si="26"/>
        <v>1680</v>
      </c>
      <c r="B1681" s="36" t="s">
        <v>4</v>
      </c>
      <c r="C1681" s="36" t="s">
        <v>7756</v>
      </c>
      <c r="D1681" s="9" t="s">
        <v>4612</v>
      </c>
      <c r="E1681" s="9" t="s">
        <v>7809</v>
      </c>
      <c r="G1681" s="36" t="s">
        <v>15</v>
      </c>
      <c r="H1681" s="36" t="str">
        <f>IFERROR(VLOOKUP(Table2[[#This Row], [Ticket]],Okey!A:B,2,0),"")</f>
        <v/>
      </c>
      <c r="I1681" s="36" t="s">
        <v>6455</v>
      </c>
      <c r="J1681" s="36" t="str">
        <f>VLOOKUP(Table2[[#This Row], [Author]],People!A:B,2,0)</f>
        <v>EL</v>
      </c>
      <c r="K1681" s="36" t="s">
        <v>7859</v>
      </c>
      <c r="M1681" s="36" t="s">
        <v>6110</v>
      </c>
    </row>
    <row r="1682" spans="1:13" x14ac:dyDescent="0.25">
      <c r="A1682" s="46">
        <f t="shared" si="26"/>
        <v>1681</v>
      </c>
      <c r="B1682" s="36" t="s">
        <v>4</v>
      </c>
      <c r="C1682" s="36" t="s">
        <v>7756</v>
      </c>
      <c r="D1682" s="9" t="s">
        <v>4618</v>
      </c>
      <c r="E1682" s="9" t="s">
        <v>7810</v>
      </c>
      <c r="G1682" s="36" t="s">
        <v>15</v>
      </c>
      <c r="H1682" s="36" t="str">
        <f>IFERROR(VLOOKUP(Table2[[#This Row], [Ticket]],Okey!A:B,2,0),"")</f>
        <v/>
      </c>
      <c r="I1682" s="36" t="s">
        <v>6455</v>
      </c>
      <c r="J1682" s="36" t="str">
        <f>VLOOKUP(Table2[[#This Row], [Author]],People!A:B,2,0)</f>
        <v>EL</v>
      </c>
      <c r="K1682" s="36" t="s">
        <v>7859</v>
      </c>
      <c r="M1682" s="36" t="s">
        <v>6110</v>
      </c>
    </row>
    <row r="1683" spans="1:13" x14ac:dyDescent="0.25">
      <c r="A1683" s="46">
        <f t="shared" si="26"/>
        <v>1682</v>
      </c>
      <c r="B1683" s="36" t="s">
        <v>4</v>
      </c>
      <c r="C1683" s="36" t="s">
        <v>7756</v>
      </c>
      <c r="D1683" s="9" t="s">
        <v>4614</v>
      </c>
      <c r="E1683" s="9" t="s">
        <v>7811</v>
      </c>
      <c r="G1683" s="36" t="s">
        <v>15</v>
      </c>
      <c r="H1683" s="36" t="str">
        <f>IFERROR(VLOOKUP(Table2[[#This Row], [Ticket]],Okey!A:B,2,0),"")</f>
        <v/>
      </c>
      <c r="I1683" s="36" t="s">
        <v>6455</v>
      </c>
      <c r="J1683" s="36" t="str">
        <f>VLOOKUP(Table2[[#This Row], [Author]],People!A:B,2,0)</f>
        <v>EL</v>
      </c>
      <c r="K1683" s="36" t="s">
        <v>7859</v>
      </c>
      <c r="M1683" s="36" t="s">
        <v>6110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0F7-0A42-4C01-8E61-48CA3A4E4349}">
  <dimension ref="A1:G176"/>
  <sheetViews>
    <sheetView topLeftCell="A141" workbookViewId="0">
      <selection activeCell="A107" sqref="A107:B176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7635</v>
      </c>
      <c r="B2" t="s">
        <v>7628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7636</v>
      </c>
      <c r="B3" t="s">
        <v>7629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7637</v>
      </c>
      <c r="B4" t="s">
        <v>7630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7638</v>
      </c>
      <c r="B5" t="s">
        <v>7631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7639</v>
      </c>
      <c r="B6" t="s">
        <v>7632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7640</v>
      </c>
      <c r="B7" t="s">
        <v>7633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7641</v>
      </c>
      <c r="B8" t="s">
        <v>7634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7643</v>
      </c>
      <c r="B9" t="s">
        <v>7644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7645</v>
      </c>
      <c r="B10" t="s">
        <v>7646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7647</v>
      </c>
      <c r="B11" t="s">
        <v>7648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7649</v>
      </c>
      <c r="B12" t="s">
        <v>7650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7651</v>
      </c>
      <c r="B13" t="s">
        <v>7652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7653</v>
      </c>
      <c r="B14" t="s">
        <v>7654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7655</v>
      </c>
      <c r="B15" t="s">
        <v>7656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7657</v>
      </c>
      <c r="B16" t="s">
        <v>7658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5602</v>
      </c>
      <c r="B17" t="s">
        <v>7659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5616</v>
      </c>
      <c r="B18" t="s">
        <v>7660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5621</v>
      </c>
      <c r="B19" t="s">
        <v>7661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5627</v>
      </c>
      <c r="B20" t="s">
        <v>7662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5637</v>
      </c>
      <c r="B21" t="s">
        <v>7663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7664</v>
      </c>
      <c r="B22" t="s">
        <v>7665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7666</v>
      </c>
      <c r="B23" t="s">
        <v>7667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7668</v>
      </c>
      <c r="B24" t="s">
        <v>7669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7670</v>
      </c>
      <c r="B25" t="s">
        <v>7671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7739</v>
      </c>
      <c r="B26" t="s">
        <v>7680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7740</v>
      </c>
      <c r="B27" t="s">
        <v>7681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7741</v>
      </c>
      <c r="B28" t="s">
        <v>7682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7742</v>
      </c>
      <c r="B29" t="s">
        <v>7683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7743</v>
      </c>
      <c r="B30" t="s">
        <v>7684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7744</v>
      </c>
      <c r="B31" t="s">
        <v>7685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7745</v>
      </c>
      <c r="B32" t="s">
        <v>7686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7746</v>
      </c>
      <c r="B33" t="s">
        <v>7687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7747</v>
      </c>
      <c r="B34" t="s">
        <v>7688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7748</v>
      </c>
      <c r="B35" t="s">
        <v>7689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7749</v>
      </c>
      <c r="B36" t="s">
        <v>7690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7750</v>
      </c>
      <c r="B37" t="s">
        <v>7691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7751</v>
      </c>
      <c r="B38" t="s">
        <v>7692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7752</v>
      </c>
      <c r="B39" t="s">
        <v>7693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7753</v>
      </c>
      <c r="B40" t="s">
        <v>7694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6329</v>
      </c>
      <c r="B41" t="s">
        <v>6519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3341</v>
      </c>
      <c r="B42" t="s">
        <v>7695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7696</v>
      </c>
      <c r="B43" t="s">
        <v>7697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7698</v>
      </c>
      <c r="B44" t="s">
        <v>5503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3557</v>
      </c>
      <c r="B45" t="s">
        <v>7699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4133</v>
      </c>
      <c r="B46" t="s">
        <v>7700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4135</v>
      </c>
      <c r="B47" t="s">
        <v>7701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4137</v>
      </c>
      <c r="B48" t="s">
        <v>7702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3952</v>
      </c>
      <c r="B49" t="s">
        <v>7703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3972</v>
      </c>
      <c r="B50" t="s">
        <v>7704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3491</v>
      </c>
      <c r="B51" t="s">
        <v>7705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3611</v>
      </c>
      <c r="B52" t="s">
        <v>7706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4201</v>
      </c>
      <c r="B53" t="s">
        <v>7707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4072</v>
      </c>
      <c r="B54" t="s">
        <v>7708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7755</v>
      </c>
      <c r="B55" s="51" t="s">
        <v>6345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7813</v>
      </c>
      <c r="B56" t="s">
        <v>7757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7814</v>
      </c>
      <c r="B57" t="s">
        <v>7758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7815</v>
      </c>
      <c r="B58" t="s">
        <v>7759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7816</v>
      </c>
      <c r="B59" t="s">
        <v>7760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7817</v>
      </c>
      <c r="B60" t="s">
        <v>7761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7818</v>
      </c>
      <c r="B61" t="s">
        <v>7762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7819</v>
      </c>
      <c r="B62" t="s">
        <v>7764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7820</v>
      </c>
      <c r="B63" t="s">
        <v>7765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7821</v>
      </c>
      <c r="B64" t="s">
        <v>7766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7822</v>
      </c>
      <c r="B65" t="s">
        <v>7767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7823</v>
      </c>
      <c r="B66" t="s">
        <v>7768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7824</v>
      </c>
      <c r="B67" t="s">
        <v>7769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7825</v>
      </c>
      <c r="B68" t="s">
        <v>7770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7826</v>
      </c>
      <c r="B69" t="s">
        <v>7771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7827</v>
      </c>
      <c r="B70" t="s">
        <v>7772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7828</v>
      </c>
      <c r="B71" t="s">
        <v>7773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7829</v>
      </c>
      <c r="B72" t="s">
        <v>7774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7830</v>
      </c>
      <c r="B73" t="s">
        <v>7775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7831</v>
      </c>
      <c r="B74" t="s">
        <v>7776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7832</v>
      </c>
      <c r="B75" t="s">
        <v>7777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7833</v>
      </c>
      <c r="B76" t="s">
        <v>7778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7834</v>
      </c>
      <c r="B77" t="s">
        <v>7779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7835</v>
      </c>
      <c r="B78" t="s">
        <v>7780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7836</v>
      </c>
      <c r="B79" t="s">
        <v>7781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7837</v>
      </c>
      <c r="B80" t="s">
        <v>7782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7838</v>
      </c>
      <c r="B81" t="s">
        <v>7783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7839</v>
      </c>
      <c r="B82" t="s">
        <v>7784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7840</v>
      </c>
      <c r="B83" t="s">
        <v>7785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7841</v>
      </c>
      <c r="B84" t="s">
        <v>7786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7842</v>
      </c>
      <c r="B85" t="s">
        <v>7787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7843</v>
      </c>
      <c r="B86" t="s">
        <v>7788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7844</v>
      </c>
      <c r="B87" t="s">
        <v>7789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7845</v>
      </c>
      <c r="B88" t="s">
        <v>7790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  <row r="89" spans="1:7" x14ac:dyDescent="0.25">
      <c r="A89" t="s">
        <v>7846</v>
      </c>
      <c r="B89" t="s">
        <v>7791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</row>
    <row r="90" spans="1:7" x14ac:dyDescent="0.25">
      <c r="A90" t="s">
        <v>7847</v>
      </c>
      <c r="B90" t="s">
        <v>7792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</row>
    <row r="91" spans="1:7" x14ac:dyDescent="0.25">
      <c r="A91" t="s">
        <v>7848</v>
      </c>
      <c r="B91" t="s">
        <v>7793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</row>
    <row r="92" spans="1:7" x14ac:dyDescent="0.25">
      <c r="A92" t="s">
        <v>7849</v>
      </c>
      <c r="B92" t="s">
        <v>7794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</row>
    <row r="93" spans="1:7" x14ac:dyDescent="0.25">
      <c r="A93" t="s">
        <v>7850</v>
      </c>
      <c r="B93" t="s">
        <v>7795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</row>
    <row r="94" spans="1:7" x14ac:dyDescent="0.25">
      <c r="A94" t="s">
        <v>7851</v>
      </c>
      <c r="B94" t="s">
        <v>7796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</row>
    <row r="95" spans="1:7" x14ac:dyDescent="0.25">
      <c r="A95" t="s">
        <v>7852</v>
      </c>
      <c r="B95" t="s">
        <v>7797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</row>
    <row r="96" spans="1:7" x14ac:dyDescent="0.25">
      <c r="A96" t="s">
        <v>7853</v>
      </c>
      <c r="B96" t="s">
        <v>7798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</row>
    <row r="97" spans="1:7" x14ac:dyDescent="0.25">
      <c r="A97" t="s">
        <v>7854</v>
      </c>
      <c r="B97" t="s">
        <v>7799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</row>
    <row r="98" spans="1:7" x14ac:dyDescent="0.25">
      <c r="A98" t="s">
        <v>7855</v>
      </c>
      <c r="B98" t="s">
        <v>7800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</row>
    <row r="99" spans="1:7" x14ac:dyDescent="0.25">
      <c r="A99" t="s">
        <v>7856</v>
      </c>
      <c r="B99" t="s">
        <v>7801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7" x14ac:dyDescent="0.25">
      <c r="A100" t="s">
        <v>7857</v>
      </c>
      <c r="B100" t="s">
        <v>7802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7" x14ac:dyDescent="0.25">
      <c r="A101" t="s">
        <v>7858</v>
      </c>
      <c r="B101" t="s">
        <v>7803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7" x14ac:dyDescent="0.25">
      <c r="A102" t="s">
        <v>4608</v>
      </c>
      <c r="B102" t="s">
        <v>7808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7" x14ac:dyDescent="0.25">
      <c r="A103" t="s">
        <v>4612</v>
      </c>
      <c r="B103" t="s">
        <v>7809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7" x14ac:dyDescent="0.25">
      <c r="A104" t="s">
        <v>4618</v>
      </c>
      <c r="B104" t="s">
        <v>7810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7" x14ac:dyDescent="0.25">
      <c r="A105" t="s">
        <v>4614</v>
      </c>
      <c r="B105" t="s">
        <v>7811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7" spans="1:7" x14ac:dyDescent="0.25">
      <c r="A107">
        <v>1000</v>
      </c>
    </row>
    <row r="108" spans="1:7" x14ac:dyDescent="0.25">
      <c r="A108" t="s">
        <v>4840</v>
      </c>
      <c r="B108" t="s">
        <v>7635</v>
      </c>
    </row>
    <row r="109" spans="1:7" x14ac:dyDescent="0.25">
      <c r="A109" t="s">
        <v>6422</v>
      </c>
      <c r="B109" t="s">
        <v>7636</v>
      </c>
    </row>
    <row r="110" spans="1:7" x14ac:dyDescent="0.25">
      <c r="A110" t="s">
        <v>7642</v>
      </c>
      <c r="B110" t="s">
        <v>7637</v>
      </c>
    </row>
    <row r="111" spans="1:7" x14ac:dyDescent="0.25">
      <c r="A111" t="s">
        <v>3660</v>
      </c>
      <c r="B111" t="s">
        <v>7638</v>
      </c>
    </row>
    <row r="112" spans="1:7" x14ac:dyDescent="0.25">
      <c r="A112" t="s">
        <v>7638</v>
      </c>
      <c r="B112" t="s">
        <v>7639</v>
      </c>
    </row>
    <row r="113" spans="1:2" x14ac:dyDescent="0.25">
      <c r="A113" t="s">
        <v>7638</v>
      </c>
      <c r="B113" t="s">
        <v>7640</v>
      </c>
    </row>
    <row r="114" spans="1:2" x14ac:dyDescent="0.25">
      <c r="A114" t="s">
        <v>7638</v>
      </c>
      <c r="B114" t="s">
        <v>7641</v>
      </c>
    </row>
    <row r="115" spans="1:2" x14ac:dyDescent="0.25">
      <c r="A115" t="s">
        <v>5746</v>
      </c>
      <c r="B115" t="s">
        <v>7739</v>
      </c>
    </row>
    <row r="116" spans="1:2" x14ac:dyDescent="0.25">
      <c r="A116" t="s">
        <v>5494</v>
      </c>
      <c r="B116" t="s">
        <v>7740</v>
      </c>
    </row>
    <row r="117" spans="1:2" x14ac:dyDescent="0.25">
      <c r="A117" t="s">
        <v>5494</v>
      </c>
      <c r="B117" t="s">
        <v>7741</v>
      </c>
    </row>
    <row r="118" spans="1:2" x14ac:dyDescent="0.25">
      <c r="A118" t="s">
        <v>5494</v>
      </c>
      <c r="B118" t="s">
        <v>7742</v>
      </c>
    </row>
    <row r="119" spans="1:2" x14ac:dyDescent="0.25">
      <c r="A119" t="s">
        <v>3341</v>
      </c>
      <c r="B119" t="s">
        <v>7743</v>
      </c>
    </row>
    <row r="120" spans="1:2" x14ac:dyDescent="0.25">
      <c r="A120" t="s">
        <v>956</v>
      </c>
      <c r="B120" t="s">
        <v>7744</v>
      </c>
    </row>
    <row r="121" spans="1:2" x14ac:dyDescent="0.25">
      <c r="A121" t="s">
        <v>956</v>
      </c>
      <c r="B121" t="s">
        <v>7745</v>
      </c>
    </row>
    <row r="122" spans="1:2" x14ac:dyDescent="0.25">
      <c r="A122" t="s">
        <v>3971</v>
      </c>
      <c r="B122" t="s">
        <v>7746</v>
      </c>
    </row>
    <row r="123" spans="1:2" x14ac:dyDescent="0.25">
      <c r="A123" t="s">
        <v>3971</v>
      </c>
      <c r="B123" t="s">
        <v>7747</v>
      </c>
    </row>
    <row r="124" spans="1:2" x14ac:dyDescent="0.25">
      <c r="A124" t="s">
        <v>4831</v>
      </c>
      <c r="B124" t="s">
        <v>7748</v>
      </c>
    </row>
    <row r="125" spans="1:2" x14ac:dyDescent="0.25">
      <c r="A125" t="s">
        <v>4831</v>
      </c>
      <c r="B125" t="s">
        <v>7749</v>
      </c>
    </row>
    <row r="126" spans="1:2" x14ac:dyDescent="0.25">
      <c r="A126" t="s">
        <v>4831</v>
      </c>
      <c r="B126" t="s">
        <v>7750</v>
      </c>
    </row>
    <row r="127" spans="1:2" x14ac:dyDescent="0.25">
      <c r="A127" t="s">
        <v>4831</v>
      </c>
      <c r="B127" t="s">
        <v>7751</v>
      </c>
    </row>
    <row r="128" spans="1:2" x14ac:dyDescent="0.25">
      <c r="A128" t="s">
        <v>4831</v>
      </c>
      <c r="B128" t="s">
        <v>7752</v>
      </c>
    </row>
    <row r="129" spans="1:2" x14ac:dyDescent="0.25">
      <c r="A129" t="s">
        <v>3514</v>
      </c>
      <c r="B129" t="s">
        <v>7753</v>
      </c>
    </row>
    <row r="130" spans="1:2" x14ac:dyDescent="0.25">
      <c r="A130" t="s">
        <v>6344</v>
      </c>
      <c r="B130" t="s">
        <v>7755</v>
      </c>
    </row>
    <row r="131" spans="1:2" x14ac:dyDescent="0.25">
      <c r="A131" t="s">
        <v>2433</v>
      </c>
      <c r="B131" t="s">
        <v>7813</v>
      </c>
    </row>
    <row r="132" spans="1:2" x14ac:dyDescent="0.25">
      <c r="A132" t="s">
        <v>2740</v>
      </c>
      <c r="B132" t="s">
        <v>7814</v>
      </c>
    </row>
    <row r="133" spans="1:2" x14ac:dyDescent="0.25">
      <c r="A133" t="s">
        <v>2684</v>
      </c>
      <c r="B133" t="s">
        <v>7815</v>
      </c>
    </row>
    <row r="134" spans="1:2" x14ac:dyDescent="0.25">
      <c r="A134" t="s">
        <v>2684</v>
      </c>
      <c r="B134" t="s">
        <v>7816</v>
      </c>
    </row>
    <row r="135" spans="1:2" x14ac:dyDescent="0.25">
      <c r="A135" t="s">
        <v>2742</v>
      </c>
      <c r="B135" t="s">
        <v>7817</v>
      </c>
    </row>
    <row r="136" spans="1:2" x14ac:dyDescent="0.25">
      <c r="A136" t="s">
        <v>7763</v>
      </c>
      <c r="B136" t="s">
        <v>7818</v>
      </c>
    </row>
    <row r="137" spans="1:2" x14ac:dyDescent="0.25">
      <c r="A137" t="s">
        <v>4618</v>
      </c>
      <c r="B137" t="s">
        <v>7819</v>
      </c>
    </row>
    <row r="138" spans="1:2" x14ac:dyDescent="0.25">
      <c r="A138" t="s">
        <v>2742</v>
      </c>
      <c r="B138" t="s">
        <v>7820</v>
      </c>
    </row>
    <row r="139" spans="1:2" x14ac:dyDescent="0.25">
      <c r="A139" t="s">
        <v>5308</v>
      </c>
      <c r="B139" t="s">
        <v>7821</v>
      </c>
    </row>
    <row r="140" spans="1:2" x14ac:dyDescent="0.25">
      <c r="A140" t="s">
        <v>4628</v>
      </c>
      <c r="B140" t="s">
        <v>7822</v>
      </c>
    </row>
    <row r="141" spans="1:2" x14ac:dyDescent="0.25">
      <c r="A141" t="s">
        <v>4628</v>
      </c>
      <c r="B141" t="s">
        <v>7823</v>
      </c>
    </row>
    <row r="142" spans="1:2" x14ac:dyDescent="0.25">
      <c r="A142" t="s">
        <v>7823</v>
      </c>
      <c r="B142" t="s">
        <v>7824</v>
      </c>
    </row>
    <row r="143" spans="1:2" x14ac:dyDescent="0.25">
      <c r="A143" t="s">
        <v>7823</v>
      </c>
      <c r="B143" t="s">
        <v>7825</v>
      </c>
    </row>
    <row r="144" spans="1:2" x14ac:dyDescent="0.25">
      <c r="A144" t="s">
        <v>4628</v>
      </c>
      <c r="B144" t="s">
        <v>7826</v>
      </c>
    </row>
    <row r="145" spans="1:2" x14ac:dyDescent="0.25">
      <c r="A145" t="s">
        <v>4628</v>
      </c>
      <c r="B145" t="s">
        <v>7827</v>
      </c>
    </row>
    <row r="146" spans="1:2" x14ac:dyDescent="0.25">
      <c r="A146" t="s">
        <v>4630</v>
      </c>
      <c r="B146" t="s">
        <v>7828</v>
      </c>
    </row>
    <row r="147" spans="1:2" x14ac:dyDescent="0.25">
      <c r="A147" t="s">
        <v>4630</v>
      </c>
      <c r="B147" t="s">
        <v>7829</v>
      </c>
    </row>
    <row r="148" spans="1:2" x14ac:dyDescent="0.25">
      <c r="A148" t="s">
        <v>7829</v>
      </c>
      <c r="B148" t="s">
        <v>7830</v>
      </c>
    </row>
    <row r="149" spans="1:2" x14ac:dyDescent="0.25">
      <c r="A149" t="s">
        <v>7829</v>
      </c>
      <c r="B149" t="s">
        <v>7831</v>
      </c>
    </row>
    <row r="150" spans="1:2" x14ac:dyDescent="0.25">
      <c r="A150" t="s">
        <v>4630</v>
      </c>
      <c r="B150" t="s">
        <v>7832</v>
      </c>
    </row>
    <row r="151" spans="1:2" x14ac:dyDescent="0.25">
      <c r="A151" t="s">
        <v>4630</v>
      </c>
      <c r="B151" t="s">
        <v>7833</v>
      </c>
    </row>
    <row r="152" spans="1:2" x14ac:dyDescent="0.25">
      <c r="A152" t="s">
        <v>4634</v>
      </c>
      <c r="B152" t="s">
        <v>7834</v>
      </c>
    </row>
    <row r="153" spans="1:2" x14ac:dyDescent="0.25">
      <c r="A153" t="s">
        <v>4634</v>
      </c>
      <c r="B153" t="s">
        <v>7835</v>
      </c>
    </row>
    <row r="154" spans="1:2" x14ac:dyDescent="0.25">
      <c r="A154" t="s">
        <v>7835</v>
      </c>
      <c r="B154" t="s">
        <v>7836</v>
      </c>
    </row>
    <row r="155" spans="1:2" x14ac:dyDescent="0.25">
      <c r="A155" t="s">
        <v>7835</v>
      </c>
      <c r="B155" t="s">
        <v>7837</v>
      </c>
    </row>
    <row r="156" spans="1:2" x14ac:dyDescent="0.25">
      <c r="A156" t="s">
        <v>4634</v>
      </c>
      <c r="B156" t="s">
        <v>7838</v>
      </c>
    </row>
    <row r="157" spans="1:2" x14ac:dyDescent="0.25">
      <c r="A157" t="s">
        <v>4634</v>
      </c>
      <c r="B157" t="s">
        <v>7839</v>
      </c>
    </row>
    <row r="158" spans="1:2" x14ac:dyDescent="0.25">
      <c r="A158" t="s">
        <v>4632</v>
      </c>
      <c r="B158" t="s">
        <v>7840</v>
      </c>
    </row>
    <row r="159" spans="1:2" x14ac:dyDescent="0.25">
      <c r="A159" t="s">
        <v>4628</v>
      </c>
      <c r="B159" t="s">
        <v>7841</v>
      </c>
    </row>
    <row r="160" spans="1:2" x14ac:dyDescent="0.25">
      <c r="A160" t="s">
        <v>4630</v>
      </c>
      <c r="B160" t="s">
        <v>7842</v>
      </c>
    </row>
    <row r="161" spans="1:2" x14ac:dyDescent="0.25">
      <c r="A161" t="s">
        <v>4634</v>
      </c>
      <c r="B161" t="s">
        <v>7843</v>
      </c>
    </row>
    <row r="162" spans="1:2" x14ac:dyDescent="0.25">
      <c r="A162" t="s">
        <v>2096</v>
      </c>
      <c r="B162" t="s">
        <v>7844</v>
      </c>
    </row>
    <row r="163" spans="1:2" x14ac:dyDescent="0.25">
      <c r="A163" t="s">
        <v>2096</v>
      </c>
      <c r="B163" t="s">
        <v>7845</v>
      </c>
    </row>
    <row r="164" spans="1:2" x14ac:dyDescent="0.25">
      <c r="A164" t="s">
        <v>2096</v>
      </c>
      <c r="B164" t="s">
        <v>7846</v>
      </c>
    </row>
    <row r="165" spans="1:2" x14ac:dyDescent="0.25">
      <c r="A165" t="s">
        <v>2096</v>
      </c>
      <c r="B165" t="s">
        <v>7847</v>
      </c>
    </row>
    <row r="166" spans="1:2" x14ac:dyDescent="0.25">
      <c r="A166" t="s">
        <v>2096</v>
      </c>
      <c r="B166" t="s">
        <v>7848</v>
      </c>
    </row>
    <row r="167" spans="1:2" x14ac:dyDescent="0.25">
      <c r="A167" t="s">
        <v>2096</v>
      </c>
      <c r="B167" t="s">
        <v>7849</v>
      </c>
    </row>
    <row r="168" spans="1:2" x14ac:dyDescent="0.25">
      <c r="A168" t="s">
        <v>2096</v>
      </c>
      <c r="B168" t="s">
        <v>7850</v>
      </c>
    </row>
    <row r="169" spans="1:2" x14ac:dyDescent="0.25">
      <c r="A169" t="s">
        <v>2096</v>
      </c>
      <c r="B169" t="s">
        <v>7851</v>
      </c>
    </row>
    <row r="170" spans="1:2" x14ac:dyDescent="0.25">
      <c r="A170" t="s">
        <v>2096</v>
      </c>
      <c r="B170" t="s">
        <v>7852</v>
      </c>
    </row>
    <row r="171" spans="1:2" x14ac:dyDescent="0.25">
      <c r="A171" t="s">
        <v>2096</v>
      </c>
      <c r="B171" t="s">
        <v>7853</v>
      </c>
    </row>
    <row r="172" spans="1:2" x14ac:dyDescent="0.25">
      <c r="A172" t="s">
        <v>2096</v>
      </c>
      <c r="B172" t="s">
        <v>7854</v>
      </c>
    </row>
    <row r="173" spans="1:2" x14ac:dyDescent="0.25">
      <c r="A173" t="s">
        <v>2096</v>
      </c>
      <c r="B173" t="s">
        <v>7855</v>
      </c>
    </row>
    <row r="174" spans="1:2" x14ac:dyDescent="0.25">
      <c r="A174" t="s">
        <v>2096</v>
      </c>
      <c r="B174" t="s">
        <v>7856</v>
      </c>
    </row>
    <row r="175" spans="1:2" x14ac:dyDescent="0.25">
      <c r="A175" t="s">
        <v>2433</v>
      </c>
      <c r="B175" t="s">
        <v>7857</v>
      </c>
    </row>
    <row r="176" spans="1:2" x14ac:dyDescent="0.25">
      <c r="A176" t="s">
        <v>2653</v>
      </c>
      <c r="B176" t="s">
        <v>7858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A61-ECB8-40C5-99B9-FBF26D61BC97}">
  <dimension ref="A1:D46"/>
  <sheetViews>
    <sheetView workbookViewId="0">
      <selection activeCell="D1" sqref="D1:D46"/>
    </sheetView>
  </sheetViews>
  <sheetFormatPr defaultRowHeight="15" x14ac:dyDescent="0.25"/>
  <sheetData>
    <row r="1" spans="1:4" x14ac:dyDescent="0.25">
      <c r="A1" t="s">
        <v>7757</v>
      </c>
      <c r="B1" s="51" t="s">
        <v>7812</v>
      </c>
      <c r="C1">
        <v>1335</v>
      </c>
      <c r="D1" t="str">
        <f>B1&amp;C1</f>
        <v>P000001335</v>
      </c>
    </row>
    <row r="2" spans="1:4" x14ac:dyDescent="0.25">
      <c r="A2" t="s">
        <v>7758</v>
      </c>
      <c r="B2" s="51" t="s">
        <v>7812</v>
      </c>
      <c r="C2">
        <f>+C1+1</f>
        <v>1336</v>
      </c>
      <c r="D2" t="str">
        <f t="shared" ref="D2:D46" si="0">B2&amp;C2</f>
        <v>P000001336</v>
      </c>
    </row>
    <row r="3" spans="1:4" x14ac:dyDescent="0.25">
      <c r="A3" t="s">
        <v>7759</v>
      </c>
      <c r="B3" s="51" t="s">
        <v>7812</v>
      </c>
      <c r="C3">
        <f t="shared" ref="C3:C46" si="1">+C2+1</f>
        <v>1337</v>
      </c>
      <c r="D3" t="str">
        <f t="shared" si="0"/>
        <v>P000001337</v>
      </c>
    </row>
    <row r="4" spans="1:4" x14ac:dyDescent="0.25">
      <c r="A4" t="s">
        <v>7760</v>
      </c>
      <c r="B4" s="51" t="s">
        <v>7812</v>
      </c>
      <c r="C4">
        <f t="shared" si="1"/>
        <v>1338</v>
      </c>
      <c r="D4" t="str">
        <f t="shared" si="0"/>
        <v>P000001338</v>
      </c>
    </row>
    <row r="5" spans="1:4" x14ac:dyDescent="0.25">
      <c r="A5" t="s">
        <v>7761</v>
      </c>
      <c r="B5" s="51" t="s">
        <v>7812</v>
      </c>
      <c r="C5">
        <f t="shared" si="1"/>
        <v>1339</v>
      </c>
      <c r="D5" t="str">
        <f t="shared" si="0"/>
        <v>P000001339</v>
      </c>
    </row>
    <row r="6" spans="1:4" x14ac:dyDescent="0.25">
      <c r="A6" t="s">
        <v>7762</v>
      </c>
      <c r="B6" s="51" t="s">
        <v>7812</v>
      </c>
      <c r="C6">
        <f t="shared" si="1"/>
        <v>1340</v>
      </c>
      <c r="D6" t="str">
        <f t="shared" si="0"/>
        <v>P000001340</v>
      </c>
    </row>
    <row r="7" spans="1:4" x14ac:dyDescent="0.25">
      <c r="A7" t="s">
        <v>7764</v>
      </c>
      <c r="B7" s="51" t="s">
        <v>7812</v>
      </c>
      <c r="C7">
        <f t="shared" si="1"/>
        <v>1341</v>
      </c>
      <c r="D7" t="str">
        <f t="shared" si="0"/>
        <v>P000001341</v>
      </c>
    </row>
    <row r="8" spans="1:4" x14ac:dyDescent="0.25">
      <c r="A8" t="s">
        <v>7765</v>
      </c>
      <c r="B8" s="51" t="s">
        <v>7812</v>
      </c>
      <c r="C8">
        <f t="shared" si="1"/>
        <v>1342</v>
      </c>
      <c r="D8" t="str">
        <f t="shared" si="0"/>
        <v>P000001342</v>
      </c>
    </row>
    <row r="9" spans="1:4" x14ac:dyDescent="0.25">
      <c r="A9" t="s">
        <v>7766</v>
      </c>
      <c r="B9" s="51" t="s">
        <v>7812</v>
      </c>
      <c r="C9">
        <f t="shared" si="1"/>
        <v>1343</v>
      </c>
      <c r="D9" t="str">
        <f t="shared" si="0"/>
        <v>P000001343</v>
      </c>
    </row>
    <row r="10" spans="1:4" x14ac:dyDescent="0.25">
      <c r="A10" t="s">
        <v>7767</v>
      </c>
      <c r="B10" s="51" t="s">
        <v>7812</v>
      </c>
      <c r="C10">
        <f t="shared" si="1"/>
        <v>1344</v>
      </c>
      <c r="D10" t="str">
        <f t="shared" si="0"/>
        <v>P000001344</v>
      </c>
    </row>
    <row r="11" spans="1:4" x14ac:dyDescent="0.25">
      <c r="A11" t="s">
        <v>7768</v>
      </c>
      <c r="B11" s="51" t="s">
        <v>7812</v>
      </c>
      <c r="C11">
        <f t="shared" si="1"/>
        <v>1345</v>
      </c>
      <c r="D11" t="str">
        <f t="shared" si="0"/>
        <v>P000001345</v>
      </c>
    </row>
    <row r="12" spans="1:4" x14ac:dyDescent="0.25">
      <c r="A12" t="s">
        <v>7769</v>
      </c>
      <c r="B12" s="51" t="s">
        <v>7812</v>
      </c>
      <c r="C12">
        <f t="shared" si="1"/>
        <v>1346</v>
      </c>
      <c r="D12" t="str">
        <f t="shared" si="0"/>
        <v>P000001346</v>
      </c>
    </row>
    <row r="13" spans="1:4" x14ac:dyDescent="0.25">
      <c r="A13" t="s">
        <v>7770</v>
      </c>
      <c r="B13" s="51" t="s">
        <v>7812</v>
      </c>
      <c r="C13">
        <f t="shared" si="1"/>
        <v>1347</v>
      </c>
      <c r="D13" t="str">
        <f t="shared" si="0"/>
        <v>P000001347</v>
      </c>
    </row>
    <row r="14" spans="1:4" x14ac:dyDescent="0.25">
      <c r="A14" t="s">
        <v>7771</v>
      </c>
      <c r="B14" s="51" t="s">
        <v>7812</v>
      </c>
      <c r="C14">
        <f t="shared" si="1"/>
        <v>1348</v>
      </c>
      <c r="D14" t="str">
        <f t="shared" si="0"/>
        <v>P000001348</v>
      </c>
    </row>
    <row r="15" spans="1:4" x14ac:dyDescent="0.25">
      <c r="A15" t="s">
        <v>7772</v>
      </c>
      <c r="B15" s="51" t="s">
        <v>7812</v>
      </c>
      <c r="C15">
        <f t="shared" si="1"/>
        <v>1349</v>
      </c>
      <c r="D15" t="str">
        <f t="shared" si="0"/>
        <v>P000001349</v>
      </c>
    </row>
    <row r="16" spans="1:4" x14ac:dyDescent="0.25">
      <c r="A16" t="s">
        <v>7773</v>
      </c>
      <c r="B16" s="51" t="s">
        <v>7812</v>
      </c>
      <c r="C16">
        <f t="shared" si="1"/>
        <v>1350</v>
      </c>
      <c r="D16" t="str">
        <f t="shared" si="0"/>
        <v>P000001350</v>
      </c>
    </row>
    <row r="17" spans="1:4" x14ac:dyDescent="0.25">
      <c r="A17" t="s">
        <v>7774</v>
      </c>
      <c r="B17" s="51" t="s">
        <v>7812</v>
      </c>
      <c r="C17">
        <f t="shared" si="1"/>
        <v>1351</v>
      </c>
      <c r="D17" t="str">
        <f t="shared" si="0"/>
        <v>P000001351</v>
      </c>
    </row>
    <row r="18" spans="1:4" x14ac:dyDescent="0.25">
      <c r="A18" t="s">
        <v>7775</v>
      </c>
      <c r="B18" s="51" t="s">
        <v>7812</v>
      </c>
      <c r="C18">
        <f t="shared" si="1"/>
        <v>1352</v>
      </c>
      <c r="D18" t="str">
        <f t="shared" si="0"/>
        <v>P000001352</v>
      </c>
    </row>
    <row r="19" spans="1:4" x14ac:dyDescent="0.25">
      <c r="A19" t="s">
        <v>7776</v>
      </c>
      <c r="B19" s="51" t="s">
        <v>7812</v>
      </c>
      <c r="C19">
        <f t="shared" si="1"/>
        <v>1353</v>
      </c>
      <c r="D19" t="str">
        <f t="shared" si="0"/>
        <v>P000001353</v>
      </c>
    </row>
    <row r="20" spans="1:4" x14ac:dyDescent="0.25">
      <c r="A20" t="s">
        <v>7777</v>
      </c>
      <c r="B20" s="51" t="s">
        <v>7812</v>
      </c>
      <c r="C20">
        <f t="shared" si="1"/>
        <v>1354</v>
      </c>
      <c r="D20" t="str">
        <f t="shared" si="0"/>
        <v>P000001354</v>
      </c>
    </row>
    <row r="21" spans="1:4" x14ac:dyDescent="0.25">
      <c r="A21" t="s">
        <v>7778</v>
      </c>
      <c r="B21" s="51" t="s">
        <v>7812</v>
      </c>
      <c r="C21">
        <f t="shared" si="1"/>
        <v>1355</v>
      </c>
      <c r="D21" t="str">
        <f t="shared" si="0"/>
        <v>P000001355</v>
      </c>
    </row>
    <row r="22" spans="1:4" x14ac:dyDescent="0.25">
      <c r="A22" t="s">
        <v>7779</v>
      </c>
      <c r="B22" s="51" t="s">
        <v>7812</v>
      </c>
      <c r="C22">
        <f t="shared" si="1"/>
        <v>1356</v>
      </c>
      <c r="D22" t="str">
        <f t="shared" si="0"/>
        <v>P000001356</v>
      </c>
    </row>
    <row r="23" spans="1:4" x14ac:dyDescent="0.25">
      <c r="A23" t="s">
        <v>7780</v>
      </c>
      <c r="B23" s="51" t="s">
        <v>7812</v>
      </c>
      <c r="C23">
        <f t="shared" si="1"/>
        <v>1357</v>
      </c>
      <c r="D23" t="str">
        <f t="shared" si="0"/>
        <v>P000001357</v>
      </c>
    </row>
    <row r="24" spans="1:4" x14ac:dyDescent="0.25">
      <c r="A24" t="s">
        <v>7781</v>
      </c>
      <c r="B24" s="51" t="s">
        <v>7812</v>
      </c>
      <c r="C24">
        <f t="shared" si="1"/>
        <v>1358</v>
      </c>
      <c r="D24" t="str">
        <f t="shared" si="0"/>
        <v>P000001358</v>
      </c>
    </row>
    <row r="25" spans="1:4" x14ac:dyDescent="0.25">
      <c r="A25" t="s">
        <v>7782</v>
      </c>
      <c r="B25" s="51" t="s">
        <v>7812</v>
      </c>
      <c r="C25">
        <f t="shared" si="1"/>
        <v>1359</v>
      </c>
      <c r="D25" t="str">
        <f t="shared" si="0"/>
        <v>P000001359</v>
      </c>
    </row>
    <row r="26" spans="1:4" x14ac:dyDescent="0.25">
      <c r="A26" t="s">
        <v>7783</v>
      </c>
      <c r="B26" s="51" t="s">
        <v>7812</v>
      </c>
      <c r="C26">
        <f t="shared" si="1"/>
        <v>1360</v>
      </c>
      <c r="D26" t="str">
        <f t="shared" si="0"/>
        <v>P000001360</v>
      </c>
    </row>
    <row r="27" spans="1:4" x14ac:dyDescent="0.25">
      <c r="A27" t="s">
        <v>7784</v>
      </c>
      <c r="B27" s="51" t="s">
        <v>7812</v>
      </c>
      <c r="C27">
        <f t="shared" si="1"/>
        <v>1361</v>
      </c>
      <c r="D27" t="str">
        <f t="shared" si="0"/>
        <v>P000001361</v>
      </c>
    </row>
    <row r="28" spans="1:4" x14ac:dyDescent="0.25">
      <c r="A28" t="s">
        <v>7785</v>
      </c>
      <c r="B28" s="51" t="s">
        <v>7812</v>
      </c>
      <c r="C28">
        <f t="shared" si="1"/>
        <v>1362</v>
      </c>
      <c r="D28" t="str">
        <f t="shared" si="0"/>
        <v>P000001362</v>
      </c>
    </row>
    <row r="29" spans="1:4" x14ac:dyDescent="0.25">
      <c r="A29" t="s">
        <v>7786</v>
      </c>
      <c r="B29" s="51" t="s">
        <v>7812</v>
      </c>
      <c r="C29">
        <f t="shared" si="1"/>
        <v>1363</v>
      </c>
      <c r="D29" t="str">
        <f t="shared" si="0"/>
        <v>P000001363</v>
      </c>
    </row>
    <row r="30" spans="1:4" x14ac:dyDescent="0.25">
      <c r="A30" t="s">
        <v>7787</v>
      </c>
      <c r="B30" s="51" t="s">
        <v>7812</v>
      </c>
      <c r="C30">
        <f t="shared" si="1"/>
        <v>1364</v>
      </c>
      <c r="D30" t="str">
        <f t="shared" si="0"/>
        <v>P000001364</v>
      </c>
    </row>
    <row r="31" spans="1:4" x14ac:dyDescent="0.25">
      <c r="A31" t="s">
        <v>7788</v>
      </c>
      <c r="B31" s="51" t="s">
        <v>7812</v>
      </c>
      <c r="C31">
        <f t="shared" si="1"/>
        <v>1365</v>
      </c>
      <c r="D31" t="str">
        <f t="shared" si="0"/>
        <v>P000001365</v>
      </c>
    </row>
    <row r="32" spans="1:4" x14ac:dyDescent="0.25">
      <c r="A32" t="s">
        <v>7789</v>
      </c>
      <c r="B32" s="51" t="s">
        <v>7812</v>
      </c>
      <c r="C32">
        <f t="shared" si="1"/>
        <v>1366</v>
      </c>
      <c r="D32" t="str">
        <f t="shared" si="0"/>
        <v>P000001366</v>
      </c>
    </row>
    <row r="33" spans="1:4" x14ac:dyDescent="0.25">
      <c r="A33" t="s">
        <v>7790</v>
      </c>
      <c r="B33" s="51" t="s">
        <v>7812</v>
      </c>
      <c r="C33">
        <f t="shared" si="1"/>
        <v>1367</v>
      </c>
      <c r="D33" t="str">
        <f t="shared" si="0"/>
        <v>P000001367</v>
      </c>
    </row>
    <row r="34" spans="1:4" x14ac:dyDescent="0.25">
      <c r="A34" t="s">
        <v>7791</v>
      </c>
      <c r="B34" s="51" t="s">
        <v>7812</v>
      </c>
      <c r="C34">
        <f t="shared" si="1"/>
        <v>1368</v>
      </c>
      <c r="D34" t="str">
        <f t="shared" si="0"/>
        <v>P000001368</v>
      </c>
    </row>
    <row r="35" spans="1:4" x14ac:dyDescent="0.25">
      <c r="A35" t="s">
        <v>7792</v>
      </c>
      <c r="B35" s="51" t="s">
        <v>7812</v>
      </c>
      <c r="C35">
        <f t="shared" si="1"/>
        <v>1369</v>
      </c>
      <c r="D35" t="str">
        <f t="shared" si="0"/>
        <v>P000001369</v>
      </c>
    </row>
    <row r="36" spans="1:4" x14ac:dyDescent="0.25">
      <c r="A36" t="s">
        <v>7793</v>
      </c>
      <c r="B36" s="51" t="s">
        <v>7812</v>
      </c>
      <c r="C36">
        <f t="shared" si="1"/>
        <v>1370</v>
      </c>
      <c r="D36" t="str">
        <f t="shared" si="0"/>
        <v>P000001370</v>
      </c>
    </row>
    <row r="37" spans="1:4" x14ac:dyDescent="0.25">
      <c r="A37" t="s">
        <v>7794</v>
      </c>
      <c r="B37" s="51" t="s">
        <v>7812</v>
      </c>
      <c r="C37">
        <f t="shared" si="1"/>
        <v>1371</v>
      </c>
      <c r="D37" t="str">
        <f t="shared" si="0"/>
        <v>P000001371</v>
      </c>
    </row>
    <row r="38" spans="1:4" x14ac:dyDescent="0.25">
      <c r="A38" t="s">
        <v>7795</v>
      </c>
      <c r="B38" s="51" t="s">
        <v>7812</v>
      </c>
      <c r="C38">
        <f t="shared" si="1"/>
        <v>1372</v>
      </c>
      <c r="D38" t="str">
        <f t="shared" si="0"/>
        <v>P000001372</v>
      </c>
    </row>
    <row r="39" spans="1:4" x14ac:dyDescent="0.25">
      <c r="A39" t="s">
        <v>7796</v>
      </c>
      <c r="B39" s="51" t="s">
        <v>7812</v>
      </c>
      <c r="C39">
        <f t="shared" si="1"/>
        <v>1373</v>
      </c>
      <c r="D39" t="str">
        <f t="shared" si="0"/>
        <v>P000001373</v>
      </c>
    </row>
    <row r="40" spans="1:4" x14ac:dyDescent="0.25">
      <c r="A40" t="s">
        <v>7797</v>
      </c>
      <c r="B40" s="51" t="s">
        <v>7812</v>
      </c>
      <c r="C40">
        <f t="shared" si="1"/>
        <v>1374</v>
      </c>
      <c r="D40" t="str">
        <f t="shared" si="0"/>
        <v>P000001374</v>
      </c>
    </row>
    <row r="41" spans="1:4" x14ac:dyDescent="0.25">
      <c r="A41" t="s">
        <v>7798</v>
      </c>
      <c r="B41" s="51" t="s">
        <v>7812</v>
      </c>
      <c r="C41">
        <f t="shared" si="1"/>
        <v>1375</v>
      </c>
      <c r="D41" t="str">
        <f t="shared" si="0"/>
        <v>P000001375</v>
      </c>
    </row>
    <row r="42" spans="1:4" x14ac:dyDescent="0.25">
      <c r="A42" t="s">
        <v>7799</v>
      </c>
      <c r="B42" s="51" t="s">
        <v>7812</v>
      </c>
      <c r="C42">
        <f t="shared" si="1"/>
        <v>1376</v>
      </c>
      <c r="D42" t="str">
        <f t="shared" si="0"/>
        <v>P000001376</v>
      </c>
    </row>
    <row r="43" spans="1:4" x14ac:dyDescent="0.25">
      <c r="A43" t="s">
        <v>7800</v>
      </c>
      <c r="B43" s="51" t="s">
        <v>7812</v>
      </c>
      <c r="C43">
        <f t="shared" si="1"/>
        <v>1377</v>
      </c>
      <c r="D43" t="str">
        <f t="shared" si="0"/>
        <v>P000001377</v>
      </c>
    </row>
    <row r="44" spans="1:4" x14ac:dyDescent="0.25">
      <c r="A44" t="s">
        <v>7801</v>
      </c>
      <c r="B44" s="51" t="s">
        <v>7812</v>
      </c>
      <c r="C44">
        <f t="shared" si="1"/>
        <v>1378</v>
      </c>
      <c r="D44" t="str">
        <f t="shared" si="0"/>
        <v>P000001378</v>
      </c>
    </row>
    <row r="45" spans="1:4" x14ac:dyDescent="0.25">
      <c r="A45" t="s">
        <v>7802</v>
      </c>
      <c r="B45" s="51" t="s">
        <v>7812</v>
      </c>
      <c r="C45">
        <f t="shared" si="1"/>
        <v>1379</v>
      </c>
      <c r="D45" t="str">
        <f t="shared" si="0"/>
        <v>P000001379</v>
      </c>
    </row>
    <row r="46" spans="1:4" x14ac:dyDescent="0.25">
      <c r="A46" t="s">
        <v>7803</v>
      </c>
      <c r="B46" s="51" t="s">
        <v>7812</v>
      </c>
      <c r="C46">
        <f t="shared" si="1"/>
        <v>1380</v>
      </c>
      <c r="D46" t="str">
        <f t="shared" si="0"/>
        <v>P000001380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7582</v>
      </c>
      <c r="B2" t="s">
        <v>7584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7599</v>
      </c>
      <c r="B3" t="s">
        <v>7589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7600</v>
      </c>
      <c r="B4" t="s">
        <v>7590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7601</v>
      </c>
      <c r="B5" t="s">
        <v>7591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7602</v>
      </c>
      <c r="B6" t="s">
        <v>7592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7603</v>
      </c>
      <c r="B7" t="s">
        <v>7593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7604</v>
      </c>
      <c r="B8" t="s">
        <v>7594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7605</v>
      </c>
      <c r="B9" t="s">
        <v>7595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7606</v>
      </c>
      <c r="B10" t="s">
        <v>7596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7607</v>
      </c>
      <c r="B11" t="s">
        <v>7597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7608</v>
      </c>
      <c r="B12" t="s">
        <v>7598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7613</v>
      </c>
      <c r="B13" t="s">
        <v>7620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7614</v>
      </c>
      <c r="B14" t="s">
        <v>7621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7615</v>
      </c>
      <c r="B15" t="s">
        <v>7622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7616</v>
      </c>
      <c r="B16" t="s">
        <v>7623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7617</v>
      </c>
      <c r="B17" t="s">
        <v>7624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7618</v>
      </c>
      <c r="B18" t="s">
        <v>7625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7619</v>
      </c>
      <c r="B19" t="s">
        <v>7626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7585</v>
      </c>
      <c r="B23" t="s">
        <v>7582</v>
      </c>
    </row>
    <row r="24" spans="1:7" x14ac:dyDescent="0.25">
      <c r="A24" t="s">
        <v>7609</v>
      </c>
      <c r="B24" t="s">
        <v>7599</v>
      </c>
    </row>
    <row r="25" spans="1:7" x14ac:dyDescent="0.25">
      <c r="A25" t="s">
        <v>7610</v>
      </c>
      <c r="B25" t="s">
        <v>7600</v>
      </c>
    </row>
    <row r="26" spans="1:7" x14ac:dyDescent="0.25">
      <c r="A26" t="s">
        <v>7611</v>
      </c>
      <c r="B26" t="s">
        <v>7601</v>
      </c>
    </row>
    <row r="27" spans="1:7" x14ac:dyDescent="0.25">
      <c r="A27" t="s">
        <v>7611</v>
      </c>
      <c r="B27" t="s">
        <v>7602</v>
      </c>
    </row>
    <row r="28" spans="1:7" x14ac:dyDescent="0.25">
      <c r="A28" t="s">
        <v>7612</v>
      </c>
      <c r="B28" t="s">
        <v>7603</v>
      </c>
    </row>
    <row r="29" spans="1:7" x14ac:dyDescent="0.25">
      <c r="A29" t="s">
        <v>7612</v>
      </c>
      <c r="B29" t="s">
        <v>7604</v>
      </c>
    </row>
    <row r="30" spans="1:7" x14ac:dyDescent="0.25">
      <c r="A30" t="s">
        <v>7601</v>
      </c>
      <c r="B30" t="s">
        <v>7605</v>
      </c>
    </row>
    <row r="31" spans="1:7" x14ac:dyDescent="0.25">
      <c r="A31" t="s">
        <v>7602</v>
      </c>
      <c r="B31" t="s">
        <v>7606</v>
      </c>
    </row>
    <row r="32" spans="1:7" x14ac:dyDescent="0.25">
      <c r="A32" t="s">
        <v>7603</v>
      </c>
      <c r="B32" t="s">
        <v>7607</v>
      </c>
    </row>
    <row r="33" spans="1:2" x14ac:dyDescent="0.25">
      <c r="A33" t="s">
        <v>7604</v>
      </c>
      <c r="B33" t="s">
        <v>7608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MGF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MGF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MGF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MGF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MGF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MGF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MGF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MGF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MGF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MGF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MGF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MGF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MGF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MGF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MGF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MGF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MGF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MGF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MGF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MGF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MGF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MGF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MGF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MGF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MGF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MGF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MGF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MGF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MGF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MGF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MGF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MGF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LS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LS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LS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LS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LS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LS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LS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LS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LS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LS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LS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LS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LS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LS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LS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LS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LS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LS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LS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LS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LS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LS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LS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LS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LS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LS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LS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LS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LS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LS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LS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LS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LS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LS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LS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LS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LS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LS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LS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LS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LS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LS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LS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LS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LS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LS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LS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LS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LS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LS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LS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LS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LS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LS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LS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LS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LS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LS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LS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LS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LS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LS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LS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LS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LS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LS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LS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LS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LS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LS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LS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EL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EL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EL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EL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EL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EL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EL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EL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EL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EL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EL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EL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EL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EL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EL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EL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EL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9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60" t="s">
        <v>1230</v>
      </c>
    </row>
    <row r="3" spans="1:13" x14ac:dyDescent="0.25">
      <c r="A3" s="59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60" t="s">
        <v>1230</v>
      </c>
    </row>
    <row r="4" spans="1:13" x14ac:dyDescent="0.25">
      <c r="A4" s="59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60" t="s">
        <v>1230</v>
      </c>
    </row>
    <row r="5" spans="1:13" x14ac:dyDescent="0.25">
      <c r="A5" s="59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60" t="s">
        <v>4784</v>
      </c>
    </row>
    <row r="6" spans="1:13" x14ac:dyDescent="0.25">
      <c r="A6" s="59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60" t="s">
        <v>4784</v>
      </c>
    </row>
    <row r="7" spans="1:13" x14ac:dyDescent="0.25">
      <c r="A7" s="59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60" t="s">
        <v>4784</v>
      </c>
    </row>
    <row r="8" spans="1:13" x14ac:dyDescent="0.25">
      <c r="A8" s="59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60" t="s">
        <v>4784</v>
      </c>
    </row>
    <row r="9" spans="1:13" x14ac:dyDescent="0.25">
      <c r="A9" s="59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60" t="s">
        <v>4784</v>
      </c>
    </row>
    <row r="10" spans="1:13" x14ac:dyDescent="0.25">
      <c r="A10" s="59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60" t="s">
        <v>4784</v>
      </c>
    </row>
    <row r="11" spans="1:13" x14ac:dyDescent="0.25">
      <c r="A11" s="59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60" t="s">
        <v>4784</v>
      </c>
    </row>
    <row r="12" spans="1:13" x14ac:dyDescent="0.25">
      <c r="A12" s="59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60" t="s">
        <v>4784</v>
      </c>
    </row>
    <row r="13" spans="1:13" x14ac:dyDescent="0.25">
      <c r="A13" s="59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60" t="s">
        <v>4784</v>
      </c>
    </row>
    <row r="14" spans="1:13" x14ac:dyDescent="0.25">
      <c r="A14" s="59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60" t="s">
        <v>4784</v>
      </c>
    </row>
    <row r="15" spans="1:13" x14ac:dyDescent="0.25">
      <c r="A15" s="59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60" t="s">
        <v>4784</v>
      </c>
    </row>
    <row r="16" spans="1:13" x14ac:dyDescent="0.25">
      <c r="A16" s="59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60" t="s">
        <v>4784</v>
      </c>
    </row>
    <row r="17" spans="1:13" x14ac:dyDescent="0.25">
      <c r="A17" s="59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60" t="s">
        <v>4784</v>
      </c>
    </row>
    <row r="18" spans="1:13" x14ac:dyDescent="0.25">
      <c r="A18" s="59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60" t="s">
        <v>4784</v>
      </c>
    </row>
    <row r="19" spans="1:13" x14ac:dyDescent="0.25">
      <c r="A19" s="59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60" t="s">
        <v>4784</v>
      </c>
    </row>
    <row r="20" spans="1:13" x14ac:dyDescent="0.25">
      <c r="A20" s="59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60" t="s">
        <v>4784</v>
      </c>
    </row>
    <row r="21" spans="1:13" x14ac:dyDescent="0.25">
      <c r="A21" s="59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60" t="s">
        <v>4784</v>
      </c>
    </row>
    <row r="22" spans="1:13" x14ac:dyDescent="0.25">
      <c r="A22" s="59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60" t="s">
        <v>4784</v>
      </c>
    </row>
    <row r="23" spans="1:13" x14ac:dyDescent="0.25">
      <c r="A23" s="59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60" t="s">
        <v>4784</v>
      </c>
    </row>
    <row r="24" spans="1:13" x14ac:dyDescent="0.25">
      <c r="A24" s="59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60" t="s">
        <v>4784</v>
      </c>
    </row>
    <row r="25" spans="1:13" x14ac:dyDescent="0.25">
      <c r="A25" s="59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60" t="s">
        <v>4784</v>
      </c>
    </row>
    <row r="26" spans="1:13" x14ac:dyDescent="0.25">
      <c r="A26" s="59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60" t="s">
        <v>4784</v>
      </c>
    </row>
    <row r="27" spans="1:13" x14ac:dyDescent="0.25">
      <c r="A27" s="59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60" t="s">
        <v>4784</v>
      </c>
    </row>
    <row r="28" spans="1:13" x14ac:dyDescent="0.25">
      <c r="A28" s="59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60" t="s">
        <v>4784</v>
      </c>
    </row>
    <row r="29" spans="1:13" x14ac:dyDescent="0.25">
      <c r="A29" s="59">
        <f t="shared" si="0"/>
        <v>28</v>
      </c>
      <c r="B29" s="51" t="s">
        <v>4</v>
      </c>
      <c r="C29" s="51" t="s">
        <v>224</v>
      </c>
      <c r="D29" s="51" t="s">
        <v>5305</v>
      </c>
      <c r="E29" s="61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60" t="s">
        <v>4785</v>
      </c>
    </row>
    <row r="30" spans="1:13" x14ac:dyDescent="0.25">
      <c r="A30" s="59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60" t="s">
        <v>4794</v>
      </c>
    </row>
    <row r="31" spans="1:13" x14ac:dyDescent="0.25">
      <c r="A31" s="59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60" t="s">
        <v>4794</v>
      </c>
    </row>
    <row r="32" spans="1:13" x14ac:dyDescent="0.25">
      <c r="A32" s="59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60" t="s">
        <v>4794</v>
      </c>
    </row>
    <row r="33" spans="1:13" x14ac:dyDescent="0.25">
      <c r="A33" s="59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60" t="s">
        <v>4794</v>
      </c>
    </row>
    <row r="34" spans="1:13" ht="120" x14ac:dyDescent="0.25">
      <c r="A34" s="59">
        <f t="shared" si="0"/>
        <v>33</v>
      </c>
      <c r="B34" s="51" t="s">
        <v>4</v>
      </c>
      <c r="C34" s="51" t="s">
        <v>225</v>
      </c>
      <c r="D34" s="62" t="s">
        <v>5228</v>
      </c>
      <c r="E34" s="62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60" t="s">
        <v>4794</v>
      </c>
    </row>
    <row r="35" spans="1:13" x14ac:dyDescent="0.25">
      <c r="A35" s="59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60" t="s">
        <v>4794</v>
      </c>
    </row>
    <row r="36" spans="1:13" x14ac:dyDescent="0.25">
      <c r="A36" s="59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60" t="s">
        <v>4794</v>
      </c>
    </row>
    <row r="37" spans="1:13" x14ac:dyDescent="0.25">
      <c r="A37" s="59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60" t="s">
        <v>4794</v>
      </c>
    </row>
    <row r="38" spans="1:13" x14ac:dyDescent="0.25">
      <c r="A38" s="59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60" t="s">
        <v>4794</v>
      </c>
    </row>
    <row r="39" spans="1:13" x14ac:dyDescent="0.25">
      <c r="A39" s="59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60" t="s">
        <v>4794</v>
      </c>
    </row>
    <row r="40" spans="1:13" x14ac:dyDescent="0.25">
      <c r="A40" s="59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60" t="s">
        <v>4794</v>
      </c>
    </row>
    <row r="41" spans="1:13" x14ac:dyDescent="0.25">
      <c r="A41" s="59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60" t="s">
        <v>4794</v>
      </c>
    </row>
    <row r="42" spans="1:13" x14ac:dyDescent="0.25">
      <c r="A42" s="59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60" t="s">
        <v>4794</v>
      </c>
    </row>
    <row r="43" spans="1:13" x14ac:dyDescent="0.25">
      <c r="A43" s="59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60" t="s">
        <v>4794</v>
      </c>
    </row>
    <row r="44" spans="1:13" x14ac:dyDescent="0.25">
      <c r="A44" s="59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60" t="s">
        <v>4794</v>
      </c>
    </row>
    <row r="45" spans="1:13" x14ac:dyDescent="0.25">
      <c r="A45" s="59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60" t="s">
        <v>4794</v>
      </c>
    </row>
    <row r="46" spans="1:13" x14ac:dyDescent="0.25">
      <c r="A46" s="59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60" t="s">
        <v>4794</v>
      </c>
    </row>
    <row r="47" spans="1:13" x14ac:dyDescent="0.25">
      <c r="A47" s="59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60" t="s">
        <v>4794</v>
      </c>
    </row>
    <row r="48" spans="1:13" x14ac:dyDescent="0.25">
      <c r="A48" s="59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60" t="s">
        <v>4794</v>
      </c>
    </row>
    <row r="49" spans="1:13" x14ac:dyDescent="0.25">
      <c r="A49" s="59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60" t="s">
        <v>4794</v>
      </c>
    </row>
    <row r="50" spans="1:13" x14ac:dyDescent="0.25">
      <c r="A50" s="59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60" t="s">
        <v>4794</v>
      </c>
    </row>
    <row r="51" spans="1:13" x14ac:dyDescent="0.25">
      <c r="A51" s="59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60" t="s">
        <v>4794</v>
      </c>
    </row>
    <row r="52" spans="1:13" x14ac:dyDescent="0.25">
      <c r="A52" s="59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60" t="s">
        <v>4794</v>
      </c>
    </row>
    <row r="53" spans="1:13" x14ac:dyDescent="0.25">
      <c r="A53" s="59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60" t="s">
        <v>4794</v>
      </c>
    </row>
    <row r="54" spans="1:13" x14ac:dyDescent="0.25">
      <c r="A54" s="59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60" t="s">
        <v>4794</v>
      </c>
    </row>
    <row r="55" spans="1:13" x14ac:dyDescent="0.25">
      <c r="A55" s="59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60" t="s">
        <v>4794</v>
      </c>
    </row>
    <row r="56" spans="1:13" x14ac:dyDescent="0.25">
      <c r="A56" s="59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60" t="s">
        <v>4794</v>
      </c>
    </row>
    <row r="57" spans="1:13" x14ac:dyDescent="0.25">
      <c r="A57" s="59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60" t="s">
        <v>4794</v>
      </c>
    </row>
    <row r="58" spans="1:13" x14ac:dyDescent="0.25">
      <c r="A58" s="59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60" t="s">
        <v>4794</v>
      </c>
    </row>
    <row r="59" spans="1:13" x14ac:dyDescent="0.25">
      <c r="A59" s="59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60" t="s">
        <v>4794</v>
      </c>
    </row>
    <row r="60" spans="1:13" x14ac:dyDescent="0.25">
      <c r="A60" s="59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60" t="s">
        <v>4794</v>
      </c>
    </row>
    <row r="61" spans="1:13" x14ac:dyDescent="0.25">
      <c r="A61" s="59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60" t="s">
        <v>4794</v>
      </c>
    </row>
    <row r="62" spans="1:13" x14ac:dyDescent="0.25">
      <c r="A62" s="59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60" t="s">
        <v>4794</v>
      </c>
    </row>
    <row r="63" spans="1:13" x14ac:dyDescent="0.25">
      <c r="A63" s="59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60" t="s">
        <v>4794</v>
      </c>
    </row>
    <row r="64" spans="1:13" x14ac:dyDescent="0.25">
      <c r="A64" s="59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60" t="s">
        <v>4794</v>
      </c>
    </row>
    <row r="65" spans="1:13" x14ac:dyDescent="0.25">
      <c r="A65" s="59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60" t="s">
        <v>4794</v>
      </c>
    </row>
    <row r="66" spans="1:13" x14ac:dyDescent="0.25">
      <c r="A66" s="59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60" t="s">
        <v>4794</v>
      </c>
    </row>
    <row r="67" spans="1:13" x14ac:dyDescent="0.25">
      <c r="A67" s="59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60" t="s">
        <v>4794</v>
      </c>
    </row>
    <row r="68" spans="1:13" x14ac:dyDescent="0.25">
      <c r="A68" s="59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60" t="s">
        <v>4794</v>
      </c>
    </row>
    <row r="69" spans="1:13" x14ac:dyDescent="0.25">
      <c r="A69" s="59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60" t="s">
        <v>4794</v>
      </c>
    </row>
    <row r="70" spans="1:13" x14ac:dyDescent="0.25">
      <c r="A70" s="59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60" t="s">
        <v>4794</v>
      </c>
    </row>
    <row r="71" spans="1:13" x14ac:dyDescent="0.25">
      <c r="A71" s="59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60" t="s">
        <v>4794</v>
      </c>
    </row>
    <row r="72" spans="1:13" x14ac:dyDescent="0.25">
      <c r="A72" s="59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60" t="s">
        <v>4794</v>
      </c>
    </row>
    <row r="73" spans="1:13" x14ac:dyDescent="0.25">
      <c r="A73" s="59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60" t="s">
        <v>4794</v>
      </c>
    </row>
    <row r="74" spans="1:13" x14ac:dyDescent="0.25">
      <c r="A74" s="59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60" t="s">
        <v>4794</v>
      </c>
    </row>
    <row r="75" spans="1:13" x14ac:dyDescent="0.25">
      <c r="A75" s="59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60" t="s">
        <v>4794</v>
      </c>
    </row>
    <row r="76" spans="1:13" x14ac:dyDescent="0.25">
      <c r="A76" s="59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60" t="s">
        <v>4794</v>
      </c>
    </row>
    <row r="77" spans="1:13" x14ac:dyDescent="0.25">
      <c r="A77" s="59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60" t="s">
        <v>4794</v>
      </c>
    </row>
    <row r="78" spans="1:13" x14ac:dyDescent="0.25">
      <c r="A78" s="59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60" t="s">
        <v>4794</v>
      </c>
    </row>
    <row r="79" spans="1:13" x14ac:dyDescent="0.25">
      <c r="A79" s="59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60" t="s">
        <v>4794</v>
      </c>
    </row>
    <row r="80" spans="1:13" x14ac:dyDescent="0.25">
      <c r="A80" s="59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60" t="s">
        <v>4794</v>
      </c>
    </row>
    <row r="81" spans="1:13" x14ac:dyDescent="0.25">
      <c r="A81" s="59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60" t="s">
        <v>4794</v>
      </c>
    </row>
    <row r="82" spans="1:13" x14ac:dyDescent="0.25">
      <c r="A82" s="59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60" t="s">
        <v>4794</v>
      </c>
    </row>
    <row r="83" spans="1:13" x14ac:dyDescent="0.25">
      <c r="A83" s="59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60" t="s">
        <v>4794</v>
      </c>
    </row>
    <row r="84" spans="1:13" x14ac:dyDescent="0.25">
      <c r="A84" s="59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60" t="s">
        <v>4794</v>
      </c>
    </row>
    <row r="85" spans="1:13" x14ac:dyDescent="0.25">
      <c r="A85" s="59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60" t="s">
        <v>4788</v>
      </c>
    </row>
    <row r="86" spans="1:13" x14ac:dyDescent="0.25">
      <c r="A86" s="59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60" t="s">
        <v>4788</v>
      </c>
    </row>
    <row r="87" spans="1:13" x14ac:dyDescent="0.25">
      <c r="A87" s="59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60" t="s">
        <v>4788</v>
      </c>
    </row>
    <row r="88" spans="1:13" x14ac:dyDescent="0.25">
      <c r="A88" s="59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60" t="s">
        <v>4788</v>
      </c>
    </row>
    <row r="89" spans="1:13" x14ac:dyDescent="0.25">
      <c r="A89" s="59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60" t="s">
        <v>4788</v>
      </c>
    </row>
    <row r="90" spans="1:13" x14ac:dyDescent="0.25">
      <c r="A90" s="59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60" t="s">
        <v>1613</v>
      </c>
    </row>
    <row r="91" spans="1:13" x14ac:dyDescent="0.25">
      <c r="A91" s="59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60" t="s">
        <v>1613</v>
      </c>
    </row>
    <row r="92" spans="1:13" x14ac:dyDescent="0.25">
      <c r="A92" s="59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60" t="s">
        <v>1613</v>
      </c>
    </row>
    <row r="93" spans="1:13" x14ac:dyDescent="0.25">
      <c r="A93" s="59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60" t="s">
        <v>1613</v>
      </c>
    </row>
    <row r="94" spans="1:13" x14ac:dyDescent="0.25">
      <c r="A94" s="59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60" t="s">
        <v>4786</v>
      </c>
    </row>
    <row r="95" spans="1:13" x14ac:dyDescent="0.25">
      <c r="A95" s="59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60" t="s">
        <v>4786</v>
      </c>
    </row>
    <row r="96" spans="1:13" x14ac:dyDescent="0.25">
      <c r="A96" s="59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60" t="s">
        <v>4786</v>
      </c>
    </row>
    <row r="97" spans="1:13" x14ac:dyDescent="0.25">
      <c r="A97" s="59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60" t="s">
        <v>4786</v>
      </c>
    </row>
    <row r="98" spans="1:13" x14ac:dyDescent="0.25">
      <c r="A98" s="59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60" t="s">
        <v>4786</v>
      </c>
    </row>
    <row r="99" spans="1:13" x14ac:dyDescent="0.25">
      <c r="A99" s="59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60" t="s">
        <v>4786</v>
      </c>
    </row>
    <row r="100" spans="1:13" x14ac:dyDescent="0.25">
      <c r="A100" s="59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60" t="s">
        <v>4786</v>
      </c>
    </row>
    <row r="101" spans="1:13" x14ac:dyDescent="0.25">
      <c r="A101" s="59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60" t="s">
        <v>4786</v>
      </c>
    </row>
    <row r="102" spans="1:13" x14ac:dyDescent="0.25">
      <c r="A102" s="59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60" t="s">
        <v>1230</v>
      </c>
    </row>
    <row r="103" spans="1:13" x14ac:dyDescent="0.25">
      <c r="A103" s="59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60" t="s">
        <v>1230</v>
      </c>
    </row>
    <row r="104" spans="1:13" x14ac:dyDescent="0.25">
      <c r="A104" s="59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60" t="s">
        <v>1230</v>
      </c>
    </row>
    <row r="105" spans="1:13" x14ac:dyDescent="0.25">
      <c r="A105" s="59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60" t="s">
        <v>1230</v>
      </c>
    </row>
    <row r="106" spans="1:13" x14ac:dyDescent="0.25">
      <c r="A106" s="59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60" t="s">
        <v>4778</v>
      </c>
    </row>
    <row r="107" spans="1:13" x14ac:dyDescent="0.25">
      <c r="A107" s="59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60" t="s">
        <v>4778</v>
      </c>
    </row>
    <row r="108" spans="1:13" x14ac:dyDescent="0.25">
      <c r="A108" s="59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60" t="s">
        <v>4778</v>
      </c>
    </row>
    <row r="109" spans="1:13" x14ac:dyDescent="0.25">
      <c r="A109" s="59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60" t="s">
        <v>4778</v>
      </c>
    </row>
    <row r="110" spans="1:13" x14ac:dyDescent="0.25">
      <c r="A110" s="59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60" t="s">
        <v>4778</v>
      </c>
    </row>
    <row r="111" spans="1:13" x14ac:dyDescent="0.25">
      <c r="A111" s="59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60" t="s">
        <v>4778</v>
      </c>
    </row>
    <row r="112" spans="1:13" x14ac:dyDescent="0.25">
      <c r="A112" s="59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60" t="s">
        <v>4778</v>
      </c>
    </row>
    <row r="113" spans="1:13" x14ac:dyDescent="0.25">
      <c r="A113" s="59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60" t="s">
        <v>4778</v>
      </c>
    </row>
    <row r="114" spans="1:13" x14ac:dyDescent="0.25">
      <c r="A114" s="59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60" t="s">
        <v>4778</v>
      </c>
    </row>
    <row r="115" spans="1:13" x14ac:dyDescent="0.25">
      <c r="A115" s="59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60" t="s">
        <v>4778</v>
      </c>
    </row>
    <row r="116" spans="1:13" x14ac:dyDescent="0.25">
      <c r="A116" s="59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60" t="s">
        <v>4790</v>
      </c>
    </row>
    <row r="117" spans="1:13" x14ac:dyDescent="0.25">
      <c r="A117" s="59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60" t="s">
        <v>4790</v>
      </c>
    </row>
    <row r="118" spans="1:13" x14ac:dyDescent="0.25">
      <c r="A118" s="59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60" t="s">
        <v>4790</v>
      </c>
    </row>
    <row r="119" spans="1:13" x14ac:dyDescent="0.25">
      <c r="A119" s="59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60" t="s">
        <v>4790</v>
      </c>
    </row>
    <row r="120" spans="1:13" x14ac:dyDescent="0.25">
      <c r="A120" s="59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60" t="s">
        <v>4790</v>
      </c>
    </row>
    <row r="121" spans="1:13" x14ac:dyDescent="0.25">
      <c r="A121" s="59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60" t="s">
        <v>4790</v>
      </c>
    </row>
    <row r="122" spans="1:13" x14ac:dyDescent="0.25">
      <c r="A122" s="59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60" t="s">
        <v>4790</v>
      </c>
    </row>
    <row r="123" spans="1:13" x14ac:dyDescent="0.25">
      <c r="A123" s="59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60" t="s">
        <v>4790</v>
      </c>
    </row>
    <row r="124" spans="1:13" x14ac:dyDescent="0.25">
      <c r="A124" s="59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60" t="s">
        <v>4790</v>
      </c>
    </row>
    <row r="125" spans="1:13" x14ac:dyDescent="0.25">
      <c r="A125" s="59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60" t="s">
        <v>4790</v>
      </c>
    </row>
    <row r="126" spans="1:13" x14ac:dyDescent="0.25">
      <c r="A126" s="59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60" t="s">
        <v>4790</v>
      </c>
    </row>
    <row r="127" spans="1:13" x14ac:dyDescent="0.25">
      <c r="A127" s="59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60" t="s">
        <v>4790</v>
      </c>
    </row>
    <row r="128" spans="1:13" x14ac:dyDescent="0.25">
      <c r="A128" s="59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60" t="s">
        <v>4790</v>
      </c>
    </row>
    <row r="129" spans="1:13" x14ac:dyDescent="0.25">
      <c r="A129" s="59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60" t="s">
        <v>4790</v>
      </c>
    </row>
    <row r="130" spans="1:13" x14ac:dyDescent="0.25">
      <c r="A130" s="59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60" t="s">
        <v>4790</v>
      </c>
    </row>
    <row r="131" spans="1:13" x14ac:dyDescent="0.25">
      <c r="A131" s="59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60" t="s">
        <v>4790</v>
      </c>
    </row>
    <row r="132" spans="1:13" x14ac:dyDescent="0.25">
      <c r="A132" s="59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60" t="s">
        <v>4790</v>
      </c>
    </row>
    <row r="133" spans="1:13" x14ac:dyDescent="0.25">
      <c r="A133" s="59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60" t="s">
        <v>4790</v>
      </c>
    </row>
    <row r="134" spans="1:13" x14ac:dyDescent="0.25">
      <c r="A134" s="59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60" t="s">
        <v>4790</v>
      </c>
    </row>
    <row r="135" spans="1:13" x14ac:dyDescent="0.25">
      <c r="A135" s="59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60" t="s">
        <v>4790</v>
      </c>
    </row>
    <row r="136" spans="1:13" x14ac:dyDescent="0.25">
      <c r="A136" s="59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60" t="s">
        <v>4790</v>
      </c>
    </row>
    <row r="137" spans="1:13" x14ac:dyDescent="0.25">
      <c r="A137" s="59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60" t="s">
        <v>4790</v>
      </c>
    </row>
    <row r="138" spans="1:13" x14ac:dyDescent="0.25">
      <c r="A138" s="59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60" t="s">
        <v>4790</v>
      </c>
    </row>
    <row r="139" spans="1:13" x14ac:dyDescent="0.25">
      <c r="A139" s="59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60" t="s">
        <v>4790</v>
      </c>
    </row>
    <row r="140" spans="1:13" x14ac:dyDescent="0.25">
      <c r="A140" s="59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60" t="s">
        <v>4790</v>
      </c>
    </row>
    <row r="141" spans="1:13" x14ac:dyDescent="0.25">
      <c r="A141" s="59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60" t="s">
        <v>4790</v>
      </c>
    </row>
    <row r="142" spans="1:13" x14ac:dyDescent="0.25">
      <c r="A142" s="59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60" t="s">
        <v>4790</v>
      </c>
    </row>
    <row r="143" spans="1:13" x14ac:dyDescent="0.25">
      <c r="A143" s="59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60" t="s">
        <v>4790</v>
      </c>
    </row>
    <row r="144" spans="1:13" x14ac:dyDescent="0.25">
      <c r="A144" s="59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60" t="s">
        <v>4790</v>
      </c>
    </row>
    <row r="145" spans="1:13" x14ac:dyDescent="0.25">
      <c r="A145" s="59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60" t="s">
        <v>4790</v>
      </c>
    </row>
    <row r="146" spans="1:13" x14ac:dyDescent="0.25">
      <c r="A146" s="59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60" t="s">
        <v>4790</v>
      </c>
    </row>
    <row r="147" spans="1:13" x14ac:dyDescent="0.25">
      <c r="A147" s="59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60" t="s">
        <v>4790</v>
      </c>
    </row>
    <row r="148" spans="1:13" x14ac:dyDescent="0.25">
      <c r="A148" s="59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60" t="s">
        <v>4790</v>
      </c>
    </row>
    <row r="149" spans="1:13" x14ac:dyDescent="0.25">
      <c r="A149" s="59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60" t="s">
        <v>4790</v>
      </c>
    </row>
    <row r="150" spans="1:13" x14ac:dyDescent="0.25">
      <c r="A150" s="59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60" t="s">
        <v>4790</v>
      </c>
    </row>
    <row r="151" spans="1:13" x14ac:dyDescent="0.25">
      <c r="A151" s="59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60" t="s">
        <v>4790</v>
      </c>
    </row>
    <row r="152" spans="1:13" x14ac:dyDescent="0.25">
      <c r="A152" s="59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60" t="s">
        <v>4790</v>
      </c>
    </row>
    <row r="153" spans="1:13" x14ac:dyDescent="0.25">
      <c r="A153" s="59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60" t="s">
        <v>4790</v>
      </c>
    </row>
    <row r="154" spans="1:13" x14ac:dyDescent="0.25">
      <c r="A154" s="59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60" t="s">
        <v>4790</v>
      </c>
    </row>
    <row r="155" spans="1:13" x14ac:dyDescent="0.25">
      <c r="A155" s="59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60" t="s">
        <v>4790</v>
      </c>
    </row>
    <row r="156" spans="1:13" x14ac:dyDescent="0.25">
      <c r="A156" s="59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60" t="s">
        <v>4790</v>
      </c>
    </row>
    <row r="157" spans="1:13" x14ac:dyDescent="0.25">
      <c r="A157" s="59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60" t="s">
        <v>4790</v>
      </c>
    </row>
    <row r="158" spans="1:13" x14ac:dyDescent="0.25">
      <c r="A158" s="59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60" t="s">
        <v>4790</v>
      </c>
    </row>
    <row r="159" spans="1:13" x14ac:dyDescent="0.25">
      <c r="A159" s="59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60" t="s">
        <v>4790</v>
      </c>
    </row>
    <row r="160" spans="1:13" x14ac:dyDescent="0.25">
      <c r="A160" s="59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60" t="s">
        <v>4790</v>
      </c>
    </row>
    <row r="161" spans="1:13" x14ac:dyDescent="0.25">
      <c r="A161" s="59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60" t="s">
        <v>4790</v>
      </c>
    </row>
    <row r="162" spans="1:13" x14ac:dyDescent="0.25">
      <c r="A162" s="59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60" t="s">
        <v>4790</v>
      </c>
    </row>
    <row r="163" spans="1:13" x14ac:dyDescent="0.25">
      <c r="A163" s="59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60" t="s">
        <v>4790</v>
      </c>
    </row>
    <row r="164" spans="1:13" x14ac:dyDescent="0.25">
      <c r="A164" s="59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60" t="s">
        <v>4790</v>
      </c>
    </row>
    <row r="165" spans="1:13" x14ac:dyDescent="0.25">
      <c r="A165" s="59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60" t="s">
        <v>4790</v>
      </c>
    </row>
    <row r="166" spans="1:13" x14ac:dyDescent="0.25">
      <c r="A166" s="59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60" t="s">
        <v>4790</v>
      </c>
    </row>
    <row r="167" spans="1:13" x14ac:dyDescent="0.25">
      <c r="A167" s="59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60" t="s">
        <v>4790</v>
      </c>
    </row>
    <row r="168" spans="1:13" x14ac:dyDescent="0.25">
      <c r="A168" s="59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60" t="s">
        <v>4790</v>
      </c>
    </row>
    <row r="169" spans="1:13" x14ac:dyDescent="0.25">
      <c r="A169" s="59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60" t="s">
        <v>4790</v>
      </c>
    </row>
    <row r="170" spans="1:13" x14ac:dyDescent="0.25">
      <c r="A170" s="59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60" t="s">
        <v>4790</v>
      </c>
    </row>
    <row r="171" spans="1:13" x14ac:dyDescent="0.25">
      <c r="A171" s="59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60" t="s">
        <v>4790</v>
      </c>
    </row>
    <row r="172" spans="1:13" x14ac:dyDescent="0.25">
      <c r="A172" s="59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60" t="s">
        <v>4790</v>
      </c>
    </row>
    <row r="173" spans="1:13" x14ac:dyDescent="0.25">
      <c r="A173" s="59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60" t="s">
        <v>4790</v>
      </c>
    </row>
    <row r="174" spans="1:13" x14ac:dyDescent="0.25">
      <c r="A174" s="59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60" t="s">
        <v>4790</v>
      </c>
    </row>
    <row r="175" spans="1:13" x14ac:dyDescent="0.25">
      <c r="A175" s="59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60" t="s">
        <v>4790</v>
      </c>
    </row>
    <row r="176" spans="1:13" x14ac:dyDescent="0.25">
      <c r="A176" s="59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60" t="s">
        <v>4790</v>
      </c>
    </row>
    <row r="177" spans="1:13" x14ac:dyDescent="0.25">
      <c r="A177" s="59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60" t="s">
        <v>4790</v>
      </c>
    </row>
    <row r="178" spans="1:13" x14ac:dyDescent="0.25">
      <c r="A178" s="59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60" t="s">
        <v>4790</v>
      </c>
    </row>
    <row r="179" spans="1:13" x14ac:dyDescent="0.25">
      <c r="A179" s="59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60" t="s">
        <v>4790</v>
      </c>
    </row>
    <row r="180" spans="1:13" x14ac:dyDescent="0.25">
      <c r="A180" s="59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60" t="s">
        <v>4790</v>
      </c>
    </row>
    <row r="181" spans="1:13" x14ac:dyDescent="0.25">
      <c r="A181" s="59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60" t="s">
        <v>4790</v>
      </c>
    </row>
    <row r="182" spans="1:13" x14ac:dyDescent="0.25">
      <c r="A182" s="59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60" t="s">
        <v>4790</v>
      </c>
    </row>
    <row r="183" spans="1:13" x14ac:dyDescent="0.25">
      <c r="A183" s="59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60" t="s">
        <v>4790</v>
      </c>
    </row>
    <row r="184" spans="1:13" x14ac:dyDescent="0.25">
      <c r="A184" s="59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60" t="s">
        <v>4790</v>
      </c>
    </row>
    <row r="185" spans="1:13" x14ac:dyDescent="0.25">
      <c r="A185" s="59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60" t="s">
        <v>4790</v>
      </c>
    </row>
    <row r="186" spans="1:13" x14ac:dyDescent="0.25">
      <c r="A186" s="59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60" t="s">
        <v>4790</v>
      </c>
    </row>
    <row r="187" spans="1:13" x14ac:dyDescent="0.25">
      <c r="A187" s="59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60" t="s">
        <v>4790</v>
      </c>
    </row>
    <row r="188" spans="1:13" x14ac:dyDescent="0.25">
      <c r="A188" s="59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60" t="s">
        <v>4790</v>
      </c>
    </row>
    <row r="189" spans="1:13" x14ac:dyDescent="0.25">
      <c r="A189" s="59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60" t="s">
        <v>4790</v>
      </c>
    </row>
    <row r="190" spans="1:13" x14ac:dyDescent="0.25">
      <c r="A190" s="59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60" t="s">
        <v>4790</v>
      </c>
    </row>
    <row r="191" spans="1:13" x14ac:dyDescent="0.25">
      <c r="A191" s="59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60" t="s">
        <v>4790</v>
      </c>
    </row>
    <row r="192" spans="1:13" x14ac:dyDescent="0.25">
      <c r="A192" s="59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60" t="s">
        <v>4790</v>
      </c>
    </row>
    <row r="193" spans="1:13" x14ac:dyDescent="0.25">
      <c r="A193" s="59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60" t="s">
        <v>4790</v>
      </c>
    </row>
    <row r="194" spans="1:13" x14ac:dyDescent="0.25">
      <c r="A194" s="59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60" t="s">
        <v>4790</v>
      </c>
    </row>
    <row r="195" spans="1:13" x14ac:dyDescent="0.25">
      <c r="A195" s="59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60" t="s">
        <v>4790</v>
      </c>
    </row>
    <row r="196" spans="1:13" x14ac:dyDescent="0.25">
      <c r="A196" s="59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60" t="s">
        <v>4790</v>
      </c>
    </row>
    <row r="197" spans="1:13" x14ac:dyDescent="0.25">
      <c r="A197" s="59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60" t="s">
        <v>4790</v>
      </c>
    </row>
    <row r="198" spans="1:13" x14ac:dyDescent="0.25">
      <c r="A198" s="59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60" t="s">
        <v>4784</v>
      </c>
    </row>
    <row r="199" spans="1:13" x14ac:dyDescent="0.25">
      <c r="A199" s="59">
        <f t="shared" si="3"/>
        <v>198</v>
      </c>
      <c r="B199" s="51" t="s">
        <v>4</v>
      </c>
      <c r="C199" s="51" t="s">
        <v>233</v>
      </c>
      <c r="D199" s="51" t="s">
        <v>5602</v>
      </c>
      <c r="E199" s="63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60" t="s">
        <v>4795</v>
      </c>
    </row>
    <row r="200" spans="1:13" x14ac:dyDescent="0.25">
      <c r="A200" s="59">
        <f t="shared" si="3"/>
        <v>199</v>
      </c>
      <c r="B200" s="51" t="s">
        <v>4</v>
      </c>
      <c r="C200" s="51" t="s">
        <v>233</v>
      </c>
      <c r="D200" s="51" t="s">
        <v>5049</v>
      </c>
      <c r="E200" s="63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60" t="s">
        <v>4795</v>
      </c>
    </row>
    <row r="201" spans="1:13" x14ac:dyDescent="0.25">
      <c r="A201" s="59">
        <f t="shared" si="3"/>
        <v>200</v>
      </c>
      <c r="B201" s="51" t="s">
        <v>4</v>
      </c>
      <c r="C201" s="51" t="s">
        <v>233</v>
      </c>
      <c r="D201" s="51" t="s">
        <v>5051</v>
      </c>
      <c r="E201" s="63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60" t="s">
        <v>4795</v>
      </c>
    </row>
    <row r="202" spans="1:13" x14ac:dyDescent="0.25">
      <c r="A202" s="59">
        <f t="shared" si="3"/>
        <v>201</v>
      </c>
      <c r="B202" s="51" t="s">
        <v>4</v>
      </c>
      <c r="C202" s="51" t="s">
        <v>233</v>
      </c>
      <c r="D202" s="51" t="s">
        <v>5053</v>
      </c>
      <c r="E202" s="63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60" t="s">
        <v>4795</v>
      </c>
    </row>
    <row r="203" spans="1:13" x14ac:dyDescent="0.25">
      <c r="A203" s="59">
        <f t="shared" si="3"/>
        <v>202</v>
      </c>
      <c r="B203" s="51" t="s">
        <v>4</v>
      </c>
      <c r="C203" s="51" t="s">
        <v>233</v>
      </c>
      <c r="D203" s="51" t="s">
        <v>5055</v>
      </c>
      <c r="E203" s="63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60" t="s">
        <v>4795</v>
      </c>
    </row>
    <row r="204" spans="1:13" x14ac:dyDescent="0.25">
      <c r="A204" s="59">
        <f t="shared" si="3"/>
        <v>203</v>
      </c>
      <c r="B204" s="51" t="s">
        <v>4</v>
      </c>
      <c r="C204" s="51" t="s">
        <v>233</v>
      </c>
      <c r="D204" s="51" t="s">
        <v>5057</v>
      </c>
      <c r="E204" s="63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60" t="s">
        <v>4795</v>
      </c>
    </row>
    <row r="205" spans="1:13" x14ac:dyDescent="0.25">
      <c r="A205" s="59">
        <f t="shared" si="3"/>
        <v>204</v>
      </c>
      <c r="B205" s="51" t="s">
        <v>4</v>
      </c>
      <c r="C205" s="51" t="s">
        <v>233</v>
      </c>
      <c r="D205" s="51" t="s">
        <v>5059</v>
      </c>
      <c r="E205" s="63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60" t="s">
        <v>4795</v>
      </c>
    </row>
    <row r="206" spans="1:13" x14ac:dyDescent="0.25">
      <c r="A206" s="59">
        <f t="shared" si="3"/>
        <v>205</v>
      </c>
      <c r="B206" s="51" t="s">
        <v>4</v>
      </c>
      <c r="C206" s="51" t="s">
        <v>233</v>
      </c>
      <c r="D206" s="51" t="s">
        <v>5061</v>
      </c>
      <c r="E206" s="63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60" t="s">
        <v>4795</v>
      </c>
    </row>
    <row r="207" spans="1:13" x14ac:dyDescent="0.25">
      <c r="A207" s="59">
        <f t="shared" si="3"/>
        <v>206</v>
      </c>
      <c r="B207" s="51" t="s">
        <v>4</v>
      </c>
      <c r="C207" s="51" t="s">
        <v>233</v>
      </c>
      <c r="D207" s="51" t="s">
        <v>5063</v>
      </c>
      <c r="E207" s="63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60" t="s">
        <v>4795</v>
      </c>
    </row>
    <row r="208" spans="1:13" x14ac:dyDescent="0.25">
      <c r="A208" s="59">
        <f t="shared" si="3"/>
        <v>207</v>
      </c>
      <c r="B208" s="51" t="s">
        <v>4</v>
      </c>
      <c r="C208" s="51" t="s">
        <v>233</v>
      </c>
      <c r="D208" s="51" t="s">
        <v>5065</v>
      </c>
      <c r="E208" s="63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60" t="s">
        <v>4795</v>
      </c>
    </row>
    <row r="209" spans="1:13" x14ac:dyDescent="0.25">
      <c r="A209" s="59">
        <f t="shared" si="3"/>
        <v>208</v>
      </c>
      <c r="B209" s="51" t="s">
        <v>4</v>
      </c>
      <c r="C209" s="51" t="s">
        <v>233</v>
      </c>
      <c r="D209" s="51" t="s">
        <v>5067</v>
      </c>
      <c r="E209" s="63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60" t="s">
        <v>4795</v>
      </c>
    </row>
    <row r="210" spans="1:13" x14ac:dyDescent="0.25">
      <c r="A210" s="59">
        <f t="shared" si="3"/>
        <v>209</v>
      </c>
      <c r="B210" s="51" t="s">
        <v>4</v>
      </c>
      <c r="C210" s="51" t="s">
        <v>233</v>
      </c>
      <c r="D210" s="51" t="s">
        <v>5614</v>
      </c>
      <c r="E210" s="64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60" t="s">
        <v>4795</v>
      </c>
    </row>
    <row r="211" spans="1:13" x14ac:dyDescent="0.25">
      <c r="A211" s="59">
        <f t="shared" si="3"/>
        <v>210</v>
      </c>
      <c r="B211" s="51" t="s">
        <v>4</v>
      </c>
      <c r="C211" s="51" t="s">
        <v>233</v>
      </c>
      <c r="D211" s="51" t="s">
        <v>5616</v>
      </c>
      <c r="E211" s="63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60" t="s">
        <v>4795</v>
      </c>
    </row>
    <row r="212" spans="1:13" x14ac:dyDescent="0.25">
      <c r="A212" s="59">
        <f t="shared" si="3"/>
        <v>211</v>
      </c>
      <c r="B212" s="51" t="s">
        <v>4</v>
      </c>
      <c r="C212" s="51" t="s">
        <v>233</v>
      </c>
      <c r="D212" s="51" t="s">
        <v>5069</v>
      </c>
      <c r="E212" s="63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60" t="s">
        <v>4795</v>
      </c>
    </row>
    <row r="213" spans="1:13" x14ac:dyDescent="0.25">
      <c r="A213" s="59">
        <f t="shared" si="3"/>
        <v>212</v>
      </c>
      <c r="B213" s="51" t="s">
        <v>4</v>
      </c>
      <c r="C213" s="51" t="s">
        <v>233</v>
      </c>
      <c r="D213" s="51" t="s">
        <v>5619</v>
      </c>
      <c r="E213" s="64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60" t="s">
        <v>4795</v>
      </c>
    </row>
    <row r="214" spans="1:13" x14ac:dyDescent="0.25">
      <c r="A214" s="59">
        <f t="shared" si="3"/>
        <v>213</v>
      </c>
      <c r="B214" s="51" t="s">
        <v>4</v>
      </c>
      <c r="C214" s="51" t="s">
        <v>233</v>
      </c>
      <c r="D214" s="51" t="s">
        <v>5621</v>
      </c>
      <c r="E214" s="63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60" t="s">
        <v>4795</v>
      </c>
    </row>
    <row r="215" spans="1:13" x14ac:dyDescent="0.25">
      <c r="A215" s="59">
        <f t="shared" si="3"/>
        <v>214</v>
      </c>
      <c r="B215" s="51" t="s">
        <v>4</v>
      </c>
      <c r="C215" s="51" t="s">
        <v>233</v>
      </c>
      <c r="D215" s="51" t="s">
        <v>5071</v>
      </c>
      <c r="E215" s="63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60" t="s">
        <v>4795</v>
      </c>
    </row>
    <row r="216" spans="1:13" x14ac:dyDescent="0.25">
      <c r="A216" s="59">
        <f t="shared" si="3"/>
        <v>215</v>
      </c>
      <c r="B216" s="51" t="s">
        <v>4</v>
      </c>
      <c r="C216" s="51" t="s">
        <v>233</v>
      </c>
      <c r="D216" s="51" t="s">
        <v>5073</v>
      </c>
      <c r="E216" s="63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60" t="s">
        <v>4795</v>
      </c>
    </row>
    <row r="217" spans="1:13" x14ac:dyDescent="0.25">
      <c r="A217" s="59">
        <f t="shared" si="3"/>
        <v>216</v>
      </c>
      <c r="B217" s="51" t="s">
        <v>4</v>
      </c>
      <c r="C217" s="51" t="s">
        <v>233</v>
      </c>
      <c r="D217" s="51" t="s">
        <v>5625</v>
      </c>
      <c r="E217" s="64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60" t="s">
        <v>4795</v>
      </c>
    </row>
    <row r="218" spans="1:13" x14ac:dyDescent="0.25">
      <c r="A218" s="59">
        <f t="shared" si="3"/>
        <v>217</v>
      </c>
      <c r="B218" s="51" t="s">
        <v>4</v>
      </c>
      <c r="C218" s="51" t="s">
        <v>233</v>
      </c>
      <c r="D218" s="51" t="s">
        <v>5627</v>
      </c>
      <c r="E218" s="63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60" t="s">
        <v>4795</v>
      </c>
    </row>
    <row r="219" spans="1:13" x14ac:dyDescent="0.25">
      <c r="A219" s="59">
        <f t="shared" si="3"/>
        <v>218</v>
      </c>
      <c r="B219" s="51" t="s">
        <v>4</v>
      </c>
      <c r="C219" s="51" t="s">
        <v>233</v>
      </c>
      <c r="D219" s="51" t="s">
        <v>5075</v>
      </c>
      <c r="E219" s="63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60" t="s">
        <v>4795</v>
      </c>
    </row>
    <row r="220" spans="1:13" x14ac:dyDescent="0.25">
      <c r="A220" s="59">
        <f t="shared" si="3"/>
        <v>219</v>
      </c>
      <c r="B220" s="51" t="s">
        <v>4</v>
      </c>
      <c r="C220" s="51" t="s">
        <v>233</v>
      </c>
      <c r="D220" s="51" t="s">
        <v>5077</v>
      </c>
      <c r="E220" s="63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60" t="s">
        <v>4795</v>
      </c>
    </row>
    <row r="221" spans="1:13" x14ac:dyDescent="0.25">
      <c r="A221" s="59">
        <f t="shared" si="3"/>
        <v>220</v>
      </c>
      <c r="B221" s="51" t="s">
        <v>4</v>
      </c>
      <c r="C221" s="51" t="s">
        <v>233</v>
      </c>
      <c r="D221" s="51" t="s">
        <v>5079</v>
      </c>
      <c r="E221" s="63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60" t="s">
        <v>4795</v>
      </c>
    </row>
    <row r="222" spans="1:13" x14ac:dyDescent="0.25">
      <c r="A222" s="59">
        <f t="shared" si="3"/>
        <v>221</v>
      </c>
      <c r="B222" s="51" t="s">
        <v>4</v>
      </c>
      <c r="C222" s="51" t="s">
        <v>233</v>
      </c>
      <c r="D222" s="51" t="s">
        <v>5081</v>
      </c>
      <c r="E222" s="63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60" t="s">
        <v>4795</v>
      </c>
    </row>
    <row r="223" spans="1:13" x14ac:dyDescent="0.25">
      <c r="A223" s="59">
        <f t="shared" si="3"/>
        <v>222</v>
      </c>
      <c r="B223" s="51" t="s">
        <v>4</v>
      </c>
      <c r="C223" s="51" t="s">
        <v>233</v>
      </c>
      <c r="D223" s="51" t="s">
        <v>5083</v>
      </c>
      <c r="E223" s="63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60" t="s">
        <v>4795</v>
      </c>
    </row>
    <row r="224" spans="1:13" x14ac:dyDescent="0.25">
      <c r="A224" s="59">
        <f t="shared" si="3"/>
        <v>223</v>
      </c>
      <c r="B224" s="51" t="s">
        <v>4</v>
      </c>
      <c r="C224" s="51" t="s">
        <v>233</v>
      </c>
      <c r="D224" s="51" t="s">
        <v>5085</v>
      </c>
      <c r="E224" s="63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60" t="s">
        <v>4795</v>
      </c>
    </row>
    <row r="225" spans="1:13" x14ac:dyDescent="0.25">
      <c r="A225" s="59">
        <f t="shared" si="3"/>
        <v>224</v>
      </c>
      <c r="B225" s="51" t="s">
        <v>4</v>
      </c>
      <c r="C225" s="51" t="s">
        <v>233</v>
      </c>
      <c r="D225" s="51" t="s">
        <v>5635</v>
      </c>
      <c r="E225" s="64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60" t="s">
        <v>4795</v>
      </c>
    </row>
    <row r="226" spans="1:13" x14ac:dyDescent="0.25">
      <c r="A226" s="59">
        <f t="shared" si="3"/>
        <v>225</v>
      </c>
      <c r="B226" s="51" t="s">
        <v>4</v>
      </c>
      <c r="C226" s="51" t="s">
        <v>233</v>
      </c>
      <c r="D226" s="51" t="s">
        <v>5637</v>
      </c>
      <c r="E226" s="63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60" t="s">
        <v>4795</v>
      </c>
    </row>
    <row r="227" spans="1:13" x14ac:dyDescent="0.25">
      <c r="A227" s="59">
        <f t="shared" si="3"/>
        <v>226</v>
      </c>
      <c r="B227" s="51" t="s">
        <v>4</v>
      </c>
      <c r="C227" s="51" t="s">
        <v>233</v>
      </c>
      <c r="D227" s="51" t="s">
        <v>5087</v>
      </c>
      <c r="E227" s="63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60" t="s">
        <v>4795</v>
      </c>
    </row>
    <row r="228" spans="1:13" x14ac:dyDescent="0.25">
      <c r="A228" s="59">
        <f t="shared" si="3"/>
        <v>227</v>
      </c>
      <c r="B228" s="51" t="s">
        <v>4</v>
      </c>
      <c r="C228" s="51" t="s">
        <v>233</v>
      </c>
      <c r="D228" s="51" t="s">
        <v>5089</v>
      </c>
      <c r="E228" s="63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60" t="s">
        <v>4795</v>
      </c>
    </row>
    <row r="229" spans="1:13" x14ac:dyDescent="0.25">
      <c r="A229" s="59">
        <f t="shared" si="3"/>
        <v>228</v>
      </c>
      <c r="B229" s="51" t="s">
        <v>4</v>
      </c>
      <c r="C229" s="51" t="s">
        <v>233</v>
      </c>
      <c r="D229" s="51" t="s">
        <v>5091</v>
      </c>
      <c r="E229" s="63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60" t="s">
        <v>4795</v>
      </c>
    </row>
    <row r="230" spans="1:13" x14ac:dyDescent="0.25">
      <c r="A230" s="59">
        <f t="shared" si="3"/>
        <v>229</v>
      </c>
      <c r="B230" s="51" t="s">
        <v>4</v>
      </c>
      <c r="C230" s="51" t="s">
        <v>233</v>
      </c>
      <c r="D230" s="51" t="s">
        <v>5093</v>
      </c>
      <c r="E230" s="63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60" t="s">
        <v>4795</v>
      </c>
    </row>
    <row r="231" spans="1:13" x14ac:dyDescent="0.25">
      <c r="A231" s="59">
        <f t="shared" si="3"/>
        <v>230</v>
      </c>
      <c r="B231" s="51" t="s">
        <v>4</v>
      </c>
      <c r="C231" s="51" t="s">
        <v>233</v>
      </c>
      <c r="D231" s="51" t="s">
        <v>5095</v>
      </c>
      <c r="E231" s="63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60" t="s">
        <v>4795</v>
      </c>
    </row>
    <row r="232" spans="1:13" x14ac:dyDescent="0.25">
      <c r="A232" s="59">
        <f t="shared" si="3"/>
        <v>231</v>
      </c>
      <c r="B232" s="51" t="s">
        <v>4</v>
      </c>
      <c r="C232" s="51" t="s">
        <v>233</v>
      </c>
      <c r="D232" s="51" t="s">
        <v>5097</v>
      </c>
      <c r="E232" s="63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60" t="s">
        <v>4795</v>
      </c>
    </row>
    <row r="233" spans="1:13" x14ac:dyDescent="0.25">
      <c r="A233" s="59">
        <f t="shared" si="3"/>
        <v>232</v>
      </c>
      <c r="B233" s="51" t="s">
        <v>4</v>
      </c>
      <c r="C233" s="51" t="s">
        <v>233</v>
      </c>
      <c r="D233" s="51" t="s">
        <v>5645</v>
      </c>
      <c r="E233" s="64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60" t="s">
        <v>4795</v>
      </c>
    </row>
    <row r="234" spans="1:13" x14ac:dyDescent="0.25">
      <c r="A234" s="59">
        <f t="shared" si="3"/>
        <v>233</v>
      </c>
      <c r="B234" s="51" t="s">
        <v>4</v>
      </c>
      <c r="C234" s="51" t="s">
        <v>233</v>
      </c>
      <c r="D234" s="51" t="s">
        <v>5647</v>
      </c>
      <c r="E234" s="63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60" t="s">
        <v>4795</v>
      </c>
    </row>
    <row r="235" spans="1:13" x14ac:dyDescent="0.25">
      <c r="A235" s="59">
        <f t="shared" si="3"/>
        <v>234</v>
      </c>
      <c r="B235" s="51" t="s">
        <v>4</v>
      </c>
      <c r="C235" s="51" t="s">
        <v>233</v>
      </c>
      <c r="D235" s="51" t="s">
        <v>5099</v>
      </c>
      <c r="E235" s="63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60" t="s">
        <v>4795</v>
      </c>
    </row>
    <row r="236" spans="1:13" x14ac:dyDescent="0.25">
      <c r="A236" s="59">
        <f t="shared" si="3"/>
        <v>235</v>
      </c>
      <c r="B236" s="51" t="s">
        <v>4</v>
      </c>
      <c r="C236" s="51" t="s">
        <v>233</v>
      </c>
      <c r="D236" s="51" t="s">
        <v>5101</v>
      </c>
      <c r="E236" s="63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60" t="s">
        <v>4795</v>
      </c>
    </row>
    <row r="237" spans="1:13" x14ac:dyDescent="0.25">
      <c r="A237" s="59">
        <f t="shared" si="3"/>
        <v>236</v>
      </c>
      <c r="B237" s="51" t="s">
        <v>4</v>
      </c>
      <c r="C237" s="51" t="s">
        <v>233</v>
      </c>
      <c r="D237" s="51" t="s">
        <v>5103</v>
      </c>
      <c r="E237" s="63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60" t="s">
        <v>4795</v>
      </c>
    </row>
    <row r="238" spans="1:13" x14ac:dyDescent="0.25">
      <c r="A238" s="59">
        <f t="shared" si="3"/>
        <v>237</v>
      </c>
      <c r="B238" s="51" t="s">
        <v>4</v>
      </c>
      <c r="C238" s="51" t="s">
        <v>233</v>
      </c>
      <c r="D238" s="51" t="s">
        <v>5105</v>
      </c>
      <c r="E238" s="63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60" t="s">
        <v>4795</v>
      </c>
    </row>
    <row r="239" spans="1:13" x14ac:dyDescent="0.25">
      <c r="A239" s="59">
        <f t="shared" si="3"/>
        <v>238</v>
      </c>
      <c r="B239" s="51" t="s">
        <v>4</v>
      </c>
      <c r="C239" s="51" t="s">
        <v>233</v>
      </c>
      <c r="D239" s="51" t="s">
        <v>5107</v>
      </c>
      <c r="E239" s="63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60" t="s">
        <v>4795</v>
      </c>
    </row>
    <row r="240" spans="1:13" x14ac:dyDescent="0.25">
      <c r="A240" s="59">
        <f t="shared" si="3"/>
        <v>239</v>
      </c>
      <c r="B240" s="51" t="s">
        <v>4</v>
      </c>
      <c r="C240" s="51" t="s">
        <v>233</v>
      </c>
      <c r="D240" s="51" t="s">
        <v>5109</v>
      </c>
      <c r="E240" s="63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60" t="s">
        <v>4795</v>
      </c>
    </row>
    <row r="241" spans="1:13" x14ac:dyDescent="0.25">
      <c r="A241" s="59">
        <f t="shared" si="3"/>
        <v>240</v>
      </c>
      <c r="B241" s="51" t="s">
        <v>4</v>
      </c>
      <c r="C241" s="51" t="s">
        <v>233</v>
      </c>
      <c r="D241" s="51" t="s">
        <v>5111</v>
      </c>
      <c r="E241" s="63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60" t="s">
        <v>4795</v>
      </c>
    </row>
    <row r="242" spans="1:13" x14ac:dyDescent="0.25">
      <c r="A242" s="59">
        <f t="shared" si="3"/>
        <v>241</v>
      </c>
      <c r="B242" s="51" t="s">
        <v>4</v>
      </c>
      <c r="C242" s="51" t="s">
        <v>233</v>
      </c>
      <c r="D242" s="51" t="s">
        <v>5113</v>
      </c>
      <c r="E242" s="63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60" t="s">
        <v>4795</v>
      </c>
    </row>
    <row r="243" spans="1:13" x14ac:dyDescent="0.25">
      <c r="A243" s="59">
        <f t="shared" si="3"/>
        <v>242</v>
      </c>
      <c r="B243" s="51" t="s">
        <v>4</v>
      </c>
      <c r="C243" s="51" t="s">
        <v>233</v>
      </c>
      <c r="D243" s="51" t="s">
        <v>5115</v>
      </c>
      <c r="E243" s="63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60" t="s">
        <v>4795</v>
      </c>
    </row>
    <row r="244" spans="1:13" x14ac:dyDescent="0.25">
      <c r="A244" s="59">
        <f t="shared" si="3"/>
        <v>243</v>
      </c>
      <c r="B244" s="51" t="s">
        <v>4</v>
      </c>
      <c r="C244" s="51" t="s">
        <v>233</v>
      </c>
      <c r="D244" s="51" t="s">
        <v>5117</v>
      </c>
      <c r="E244" s="63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60" t="s">
        <v>4795</v>
      </c>
    </row>
    <row r="245" spans="1:13" x14ac:dyDescent="0.25">
      <c r="A245" s="59">
        <f t="shared" si="3"/>
        <v>244</v>
      </c>
      <c r="B245" s="51" t="s">
        <v>4</v>
      </c>
      <c r="C245" s="51" t="s">
        <v>233</v>
      </c>
      <c r="D245" s="51" t="s">
        <v>5659</v>
      </c>
      <c r="E245" s="64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60" t="s">
        <v>4795</v>
      </c>
    </row>
    <row r="246" spans="1:13" x14ac:dyDescent="0.25">
      <c r="A246" s="59">
        <f t="shared" si="3"/>
        <v>245</v>
      </c>
      <c r="B246" s="51" t="s">
        <v>4</v>
      </c>
      <c r="C246" s="51" t="s">
        <v>233</v>
      </c>
      <c r="D246" s="51" t="s">
        <v>5661</v>
      </c>
      <c r="E246" s="63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60" t="s">
        <v>4795</v>
      </c>
    </row>
    <row r="247" spans="1:13" x14ac:dyDescent="0.25">
      <c r="A247" s="59">
        <f t="shared" si="3"/>
        <v>246</v>
      </c>
      <c r="B247" s="51" t="s">
        <v>4</v>
      </c>
      <c r="C247" s="51" t="s">
        <v>233</v>
      </c>
      <c r="D247" s="51" t="s">
        <v>5119</v>
      </c>
      <c r="E247" s="63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60" t="s">
        <v>4795</v>
      </c>
    </row>
    <row r="248" spans="1:13" x14ac:dyDescent="0.25">
      <c r="A248" s="59">
        <f t="shared" si="3"/>
        <v>247</v>
      </c>
      <c r="B248" s="51" t="s">
        <v>4</v>
      </c>
      <c r="C248" s="51" t="s">
        <v>233</v>
      </c>
      <c r="D248" s="51" t="s">
        <v>5664</v>
      </c>
      <c r="E248" s="64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60" t="s">
        <v>4795</v>
      </c>
    </row>
    <row r="249" spans="1:13" x14ac:dyDescent="0.25">
      <c r="A249" s="59">
        <f t="shared" si="3"/>
        <v>248</v>
      </c>
      <c r="B249" s="51" t="s">
        <v>4</v>
      </c>
      <c r="C249" s="51" t="s">
        <v>233</v>
      </c>
      <c r="D249" s="51" t="s">
        <v>5666</v>
      </c>
      <c r="E249" s="63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60" t="s">
        <v>4795</v>
      </c>
    </row>
    <row r="250" spans="1:13" x14ac:dyDescent="0.25">
      <c r="A250" s="59">
        <f t="shared" si="3"/>
        <v>249</v>
      </c>
      <c r="B250" s="51" t="s">
        <v>4</v>
      </c>
      <c r="C250" s="51" t="s">
        <v>233</v>
      </c>
      <c r="D250" s="51" t="s">
        <v>5121</v>
      </c>
      <c r="E250" s="63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60" t="s">
        <v>4795</v>
      </c>
    </row>
    <row r="251" spans="1:13" x14ac:dyDescent="0.25">
      <c r="A251" s="59">
        <f t="shared" si="3"/>
        <v>250</v>
      </c>
      <c r="B251" s="51" t="s">
        <v>4</v>
      </c>
      <c r="C251" s="51" t="s">
        <v>233</v>
      </c>
      <c r="D251" s="51" t="s">
        <v>5123</v>
      </c>
      <c r="E251" s="63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60" t="s">
        <v>4795</v>
      </c>
    </row>
    <row r="252" spans="1:13" x14ac:dyDescent="0.25">
      <c r="A252" s="59">
        <f t="shared" si="3"/>
        <v>251</v>
      </c>
      <c r="B252" s="51" t="s">
        <v>4</v>
      </c>
      <c r="C252" s="51" t="s">
        <v>233</v>
      </c>
      <c r="D252" s="51" t="s">
        <v>5670</v>
      </c>
      <c r="E252" s="64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60" t="s">
        <v>4795</v>
      </c>
    </row>
    <row r="253" spans="1:13" x14ac:dyDescent="0.25">
      <c r="A253" s="59">
        <f t="shared" si="3"/>
        <v>252</v>
      </c>
      <c r="B253" s="51" t="s">
        <v>4</v>
      </c>
      <c r="C253" s="51" t="s">
        <v>233</v>
      </c>
      <c r="D253" s="51" t="s">
        <v>5672</v>
      </c>
      <c r="E253" s="63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60" t="s">
        <v>4795</v>
      </c>
    </row>
    <row r="254" spans="1:13" x14ac:dyDescent="0.25">
      <c r="A254" s="59">
        <f t="shared" si="3"/>
        <v>253</v>
      </c>
      <c r="B254" s="51" t="s">
        <v>4</v>
      </c>
      <c r="C254" s="51" t="s">
        <v>233</v>
      </c>
      <c r="D254" s="51" t="s">
        <v>5125</v>
      </c>
      <c r="E254" s="63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60" t="s">
        <v>4795</v>
      </c>
    </row>
    <row r="255" spans="1:13" x14ac:dyDescent="0.25">
      <c r="A255" s="59">
        <f t="shared" si="3"/>
        <v>254</v>
      </c>
      <c r="B255" s="51" t="s">
        <v>4</v>
      </c>
      <c r="C255" s="51" t="s">
        <v>233</v>
      </c>
      <c r="D255" s="51" t="s">
        <v>5127</v>
      </c>
      <c r="E255" s="63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60" t="s">
        <v>4795</v>
      </c>
    </row>
    <row r="256" spans="1:13" x14ac:dyDescent="0.25">
      <c r="A256" s="59">
        <f t="shared" si="3"/>
        <v>255</v>
      </c>
      <c r="B256" s="51" t="s">
        <v>4</v>
      </c>
      <c r="C256" s="51" t="s">
        <v>233</v>
      </c>
      <c r="D256" s="51" t="s">
        <v>5129</v>
      </c>
      <c r="E256" s="63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60" t="s">
        <v>4795</v>
      </c>
    </row>
    <row r="257" spans="1:13" x14ac:dyDescent="0.25">
      <c r="A257" s="59">
        <f t="shared" si="3"/>
        <v>256</v>
      </c>
      <c r="B257" s="51" t="s">
        <v>4</v>
      </c>
      <c r="C257" s="51" t="s">
        <v>233</v>
      </c>
      <c r="D257" s="51" t="s">
        <v>5131</v>
      </c>
      <c r="E257" s="63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60" t="s">
        <v>4795</v>
      </c>
    </row>
    <row r="258" spans="1:13" x14ac:dyDescent="0.25">
      <c r="A258" s="59">
        <f t="shared" si="3"/>
        <v>257</v>
      </c>
      <c r="B258" s="51" t="s">
        <v>4</v>
      </c>
      <c r="C258" s="51" t="s">
        <v>233</v>
      </c>
      <c r="D258" s="51" t="s">
        <v>5133</v>
      </c>
      <c r="E258" s="63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60" t="s">
        <v>4795</v>
      </c>
    </row>
    <row r="259" spans="1:13" x14ac:dyDescent="0.25">
      <c r="A259" s="59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3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60" t="s">
        <v>4795</v>
      </c>
    </row>
    <row r="260" spans="1:13" x14ac:dyDescent="0.25">
      <c r="A260" s="59">
        <f t="shared" si="4"/>
        <v>259</v>
      </c>
      <c r="B260" s="51" t="s">
        <v>4</v>
      </c>
      <c r="C260" s="51" t="s">
        <v>233</v>
      </c>
      <c r="D260" s="51" t="s">
        <v>5680</v>
      </c>
      <c r="E260" s="64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60" t="s">
        <v>4795</v>
      </c>
    </row>
    <row r="261" spans="1:13" x14ac:dyDescent="0.25">
      <c r="A261" s="59">
        <f t="shared" si="4"/>
        <v>260</v>
      </c>
      <c r="B261" s="51" t="s">
        <v>4</v>
      </c>
      <c r="C261" s="51" t="s">
        <v>233</v>
      </c>
      <c r="D261" s="51" t="s">
        <v>5682</v>
      </c>
      <c r="E261" s="63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60" t="s">
        <v>4795</v>
      </c>
    </row>
    <row r="262" spans="1:13" x14ac:dyDescent="0.25">
      <c r="A262" s="59">
        <f t="shared" si="4"/>
        <v>261</v>
      </c>
      <c r="B262" s="51" t="s">
        <v>4</v>
      </c>
      <c r="C262" s="51" t="s">
        <v>233</v>
      </c>
      <c r="D262" s="51" t="s">
        <v>5137</v>
      </c>
      <c r="E262" s="63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60" t="s">
        <v>4795</v>
      </c>
    </row>
    <row r="263" spans="1:13" x14ac:dyDescent="0.25">
      <c r="A263" s="59">
        <f t="shared" si="4"/>
        <v>262</v>
      </c>
      <c r="B263" s="51" t="s">
        <v>4</v>
      </c>
      <c r="C263" s="51" t="s">
        <v>233</v>
      </c>
      <c r="D263" s="51" t="s">
        <v>5139</v>
      </c>
      <c r="E263" s="63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60" t="s">
        <v>4795</v>
      </c>
    </row>
    <row r="264" spans="1:13" x14ac:dyDescent="0.25">
      <c r="A264" s="59">
        <f t="shared" si="4"/>
        <v>263</v>
      </c>
      <c r="B264" s="51" t="s">
        <v>4</v>
      </c>
      <c r="C264" s="51" t="s">
        <v>233</v>
      </c>
      <c r="D264" s="51" t="s">
        <v>5141</v>
      </c>
      <c r="E264" s="63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60" t="s">
        <v>4795</v>
      </c>
    </row>
    <row r="265" spans="1:13" x14ac:dyDescent="0.25">
      <c r="A265" s="59">
        <f t="shared" si="4"/>
        <v>264</v>
      </c>
      <c r="B265" s="51" t="s">
        <v>4</v>
      </c>
      <c r="C265" s="51" t="s">
        <v>233</v>
      </c>
      <c r="D265" s="51" t="s">
        <v>5143</v>
      </c>
      <c r="E265" s="63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60" t="s">
        <v>4795</v>
      </c>
    </row>
    <row r="266" spans="1:13" x14ac:dyDescent="0.25">
      <c r="A266" s="59">
        <f t="shared" si="4"/>
        <v>265</v>
      </c>
      <c r="B266" s="51" t="s">
        <v>4</v>
      </c>
      <c r="C266" s="51" t="s">
        <v>233</v>
      </c>
      <c r="D266" s="51" t="s">
        <v>5145</v>
      </c>
      <c r="E266" s="63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60" t="s">
        <v>4795</v>
      </c>
    </row>
    <row r="267" spans="1:13" x14ac:dyDescent="0.25">
      <c r="A267" s="59">
        <f t="shared" si="4"/>
        <v>266</v>
      </c>
      <c r="B267" s="51" t="s">
        <v>4</v>
      </c>
      <c r="C267" s="51" t="s">
        <v>233</v>
      </c>
      <c r="D267" s="51" t="s">
        <v>5147</v>
      </c>
      <c r="E267" s="63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60" t="s">
        <v>4795</v>
      </c>
    </row>
    <row r="268" spans="1:13" x14ac:dyDescent="0.25">
      <c r="A268" s="59">
        <f t="shared" si="4"/>
        <v>267</v>
      </c>
      <c r="B268" s="51" t="s">
        <v>4</v>
      </c>
      <c r="C268" s="51" t="s">
        <v>233</v>
      </c>
      <c r="D268" s="51" t="s">
        <v>5690</v>
      </c>
      <c r="E268" s="64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60" t="s">
        <v>4795</v>
      </c>
    </row>
    <row r="269" spans="1:13" x14ac:dyDescent="0.25">
      <c r="A269" s="59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60" t="s">
        <v>4778</v>
      </c>
    </row>
    <row r="270" spans="1:13" x14ac:dyDescent="0.25">
      <c r="A270" s="59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60" t="s">
        <v>4778</v>
      </c>
    </row>
    <row r="271" spans="1:13" x14ac:dyDescent="0.25">
      <c r="A271" s="59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60" t="s">
        <v>4778</v>
      </c>
    </row>
    <row r="272" spans="1:13" x14ac:dyDescent="0.25">
      <c r="A272" s="59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60" t="s">
        <v>4778</v>
      </c>
    </row>
    <row r="273" spans="1:13" x14ac:dyDescent="0.25">
      <c r="A273" s="59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60" t="s">
        <v>1230</v>
      </c>
    </row>
    <row r="274" spans="1:13" x14ac:dyDescent="0.25">
      <c r="A274" s="59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60" t="s">
        <v>1230</v>
      </c>
    </row>
    <row r="275" spans="1:13" x14ac:dyDescent="0.25">
      <c r="A275" s="59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60" t="s">
        <v>4778</v>
      </c>
    </row>
    <row r="276" spans="1:13" x14ac:dyDescent="0.25">
      <c r="A276" s="59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60" t="s">
        <v>4778</v>
      </c>
    </row>
    <row r="277" spans="1:13" x14ac:dyDescent="0.25">
      <c r="A277" s="59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60" t="s">
        <v>4778</v>
      </c>
    </row>
    <row r="278" spans="1:13" x14ac:dyDescent="0.25">
      <c r="A278" s="59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60" t="s">
        <v>4778</v>
      </c>
    </row>
    <row r="279" spans="1:13" x14ac:dyDescent="0.25">
      <c r="A279" s="59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60" t="s">
        <v>4778</v>
      </c>
    </row>
    <row r="280" spans="1:13" x14ac:dyDescent="0.25">
      <c r="A280" s="59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60" t="s">
        <v>1230</v>
      </c>
    </row>
    <row r="281" spans="1:13" x14ac:dyDescent="0.25">
      <c r="A281" s="59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60" t="s">
        <v>1230</v>
      </c>
    </row>
    <row r="282" spans="1:13" x14ac:dyDescent="0.25">
      <c r="A282" s="59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60" t="s">
        <v>1230</v>
      </c>
    </row>
    <row r="283" spans="1:13" x14ac:dyDescent="0.25">
      <c r="A283" s="59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60" t="s">
        <v>1230</v>
      </c>
    </row>
    <row r="284" spans="1:13" x14ac:dyDescent="0.25">
      <c r="A284" s="59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60" t="s">
        <v>1230</v>
      </c>
    </row>
    <row r="285" spans="1:13" x14ac:dyDescent="0.25">
      <c r="A285" s="59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60" t="s">
        <v>1230</v>
      </c>
    </row>
    <row r="286" spans="1:13" x14ac:dyDescent="0.25">
      <c r="A286" s="59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60" t="s">
        <v>1230</v>
      </c>
    </row>
    <row r="287" spans="1:13" x14ac:dyDescent="0.25">
      <c r="A287" s="59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60" t="s">
        <v>1230</v>
      </c>
    </row>
    <row r="288" spans="1:13" x14ac:dyDescent="0.25">
      <c r="A288" s="59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60" t="s">
        <v>1230</v>
      </c>
    </row>
    <row r="289" spans="1:13" x14ac:dyDescent="0.25">
      <c r="A289" s="59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60" t="s">
        <v>1230</v>
      </c>
    </row>
    <row r="290" spans="1:13" x14ac:dyDescent="0.25">
      <c r="A290" s="59">
        <f t="shared" si="4"/>
        <v>289</v>
      </c>
      <c r="B290" s="51" t="s">
        <v>4</v>
      </c>
      <c r="C290" s="51" t="s">
        <v>238</v>
      </c>
      <c r="D290" s="51" t="s">
        <v>345</v>
      </c>
      <c r="E290" s="61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60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8"/>
  <sheetViews>
    <sheetView topLeftCell="A244" workbookViewId="0">
      <selection activeCell="B278" sqref="B276:B27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7583</v>
      </c>
      <c r="B277" s="36" t="s">
        <v>86</v>
      </c>
    </row>
    <row r="278" spans="1:2" x14ac:dyDescent="0.25">
      <c r="A278" s="5" t="s">
        <v>7588</v>
      </c>
      <c r="B278" s="36" t="s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2025-10-31T14:51:33Z</dcterms:modified>
</cp:coreProperties>
</file>