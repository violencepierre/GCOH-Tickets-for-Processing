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8477490-7373-42A8-AFB7-19B9B90C3A4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People" sheetId="7" r:id="rId5"/>
    <sheet name="2023" sheetId="8" r:id="rId6"/>
    <sheet name="2024" sheetId="19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91029"/>
  <pivotCaches>
    <pivotCache cacheId="22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</calcChain>
</file>

<file path=xl/sharedStrings.xml><?xml version="1.0" encoding="utf-8"?>
<sst xmlns="http://schemas.openxmlformats.org/spreadsheetml/2006/main" count="66150" uniqueCount="12389">
  <si>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</si>
  <si>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</si>
  <si>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</si>
  <si>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</si>
  <si>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</si>
  <si>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</si>
  <si>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</si>
  <si>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</si>
  <si>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</si>
  <si>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</si>
  <si>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</si>
  <si>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</si>
  <si>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</si>
  <si>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</si>
  <si>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</si>
  <si>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</si>
  <si>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</si>
  <si>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</si>
  <si>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</si>
  <si>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</si>
  <si>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</si>
  <si>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</si>
  <si>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</si>
  <si>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</si>
  <si>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</si>
  <si>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</si>
  <si>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</si>
  <si>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</si>
  <si>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</si>
  <si>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</si>
  <si>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</si>
  <si>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</si>
  <si>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</si>
  <si>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</si>
  <si>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</si>
  <si>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</si>
  <si>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</si>
  <si>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</si>
  <si>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</si>
  <si>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</si>
  <si>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</si>
  <si>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</si>
  <si>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</si>
  <si>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</si>
  <si>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</si>
  <si>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</si>
  <si>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</si>
  <si>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</si>
  <si>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</si>
  <si>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</si>
  <si>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</si>
  <si>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</si>
  <si>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</si>
  <si>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</si>
  <si>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</si>
  <si>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</si>
  <si>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</si>
  <si>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</si>
  <si>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</si>
  <si>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</si>
  <si>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</si>
  <si>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</si>
  <si>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</si>
  <si>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</si>
  <si>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</si>
  <si>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</si>
  <si>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</si>
  <si>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</si>
  <si>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</si>
  <si>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</si>
  <si>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</si>
  <si>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</si>
  <si>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</si>
  <si>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</si>
  <si>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</si>
  <si>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</si>
  <si>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</si>
  <si>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</si>
  <si>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</si>
  <si>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</si>
  <si>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</si>
  <si>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</si>
  <si>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</si>
  <si>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</si>
  <si>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</si>
  <si>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</si>
  <si>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</si>
  <si>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</si>
  <si>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</si>
  <si>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</si>
  <si>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</si>
  <si>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</si>
  <si>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</si>
  <si>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</si>
  <si>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</si>
  <si>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</si>
  <si>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</si>
  <si>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</si>
  <si>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</si>
  <si>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</si>
  <si>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</si>
  <si>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</si>
  <si>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</si>
  <si>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</si>
  <si>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</si>
  <si>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</si>
  <si>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</si>
  <si>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</si>
  <si>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</si>
  <si>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</si>
  <si>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</si>
  <si>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</si>
  <si>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</si>
  <si>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</si>
  <si>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</si>
  <si>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</si>
  <si>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</si>
  <si>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</si>
  <si>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</si>
  <si>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</si>
  <si>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</si>
  <si>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</si>
  <si>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</si>
  <si>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</si>
  <si>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</si>
  <si>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</si>
  <si>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</si>
  <si>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</si>
  <si>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</si>
  <si>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</si>
  <si>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</si>
  <si>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</si>
  <si>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</si>
  <si>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</si>
  <si>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</si>
  <si>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</si>
  <si>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</si>
  <si>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</si>
  <si>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</si>
  <si>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</si>
  <si>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</si>
  <si>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</si>
  <si>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</si>
  <si>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</si>
  <si>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</si>
  <si>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</si>
  <si>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</si>
  <si>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</si>
  <si>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</si>
  <si>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</si>
  <si>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</si>
  <si>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</si>
  <si>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</si>
  <si>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</si>
  <si>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</si>
  <si>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</si>
  <si>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</si>
  <si>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</si>
  <si>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</si>
  <si>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</si>
  <si>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</si>
  <si>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</si>
  <si>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</si>
  <si>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</si>
  <si>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</si>
  <si>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</si>
  <si>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</si>
  <si>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</si>
  <si>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</si>
  <si>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</si>
  <si>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</si>
  <si>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</si>
  <si>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</si>
  <si>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</si>
  <si>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</si>
  <si>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</si>
  <si>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</si>
  <si>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</si>
  <si>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</si>
  <si>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</si>
  <si>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</si>
  <si>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</si>
  <si>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</si>
  <si>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</si>
  <si>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</si>
  <si>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</si>
  <si>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</si>
  <si>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</si>
  <si>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</si>
  <si>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</si>
  <si>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</si>
  <si>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</si>
  <si>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</si>
  <si>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</si>
  <si>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</si>
  <si>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</si>
  <si>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</si>
  <si>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</si>
  <si>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</si>
  <si>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</si>
  <si>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</si>
  <si>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</si>
  <si>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</si>
  <si>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</si>
  <si>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</si>
  <si>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</si>
  <si>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</si>
  <si>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</si>
  <si>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</si>
  <si>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</si>
  <si>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</si>
  <si>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</si>
  <si>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</si>
  <si>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</si>
  <si>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</si>
  <si>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</si>
  <si>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</si>
  <si>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</si>
  <si>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</si>
  <si>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</si>
  <si>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</si>
  <si>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</si>
  <si>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</si>
  <si>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</si>
  <si>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</si>
  <si>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</si>
  <si>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</si>
  <si>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</si>
  <si>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</si>
  <si>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</si>
  <si>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</si>
  <si>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</si>
  <si>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</si>
  <si>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</si>
  <si>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</si>
  <si>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</si>
  <si>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</si>
  <si>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</si>
  <si>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</si>
  <si>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</si>
  <si>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</si>
  <si>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</si>
  <si>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</si>
  <si>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</si>
  <si>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</si>
  <si>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</si>
  <si>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</si>
  <si>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</si>
  <si>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</si>
  <si>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</si>
  <si>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</si>
  <si>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</si>
  <si>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</si>
  <si>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</si>
  <si>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</si>
  <si>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</si>
  <si>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</si>
  <si>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</si>
  <si>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</si>
  <si>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</si>
  <si>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</si>
  <si>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</si>
  <si>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</si>
  <si>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</si>
  <si>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</si>
  <si>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</si>
  <si>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</si>
  <si>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</si>
  <si>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</si>
  <si>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</si>
  <si>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</si>
  <si>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</si>
  <si>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</si>
  <si>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</si>
  <si>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</si>
  <si>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</si>
  <si>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</si>
  <si>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</si>
  <si>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</si>
  <si>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</si>
  <si>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</si>
  <si>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</si>
  <si>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</si>
  <si>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</si>
  <si>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</si>
  <si>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</si>
  <si>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</si>
  <si>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</si>
  <si>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</si>
  <si>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</si>
  <si>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</si>
  <si>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</si>
  <si>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</si>
  <si>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</si>
  <si>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</si>
  <si>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</si>
  <si>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</si>
  <si>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</si>
  <si>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</si>
  <si>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</si>
  <si>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</si>
  <si>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</si>
  <si>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</si>
  <si>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</si>
  <si>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</si>
  <si>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</si>
  <si>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</si>
  <si>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</si>
  <si>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</si>
  <si>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</si>
  <si>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</si>
  <si>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</si>
  <si>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</si>
  <si>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</si>
  <si>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</si>
  <si>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</si>
  <si>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</si>
  <si>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</si>
  <si>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</si>
  <si>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</si>
  <si>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</si>
  <si>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</si>
  <si>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</si>
  <si>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</si>
  <si>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</si>
  <si>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</si>
  <si>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</si>
  <si>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</si>
  <si>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</si>
  <si>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</si>
  <si>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</si>
  <si>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</si>
  <si>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</si>
  <si>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</si>
  <si>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</si>
  <si>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</si>
  <si>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</si>
  <si>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</si>
  <si>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</si>
  <si>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</si>
  <si>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</si>
  <si>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</si>
  <si>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</si>
  <si>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</si>
  <si>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</si>
  <si>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</si>
  <si>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</si>
  <si>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</si>
  <si>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</si>
  <si>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</si>
  <si>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</si>
  <si>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</si>
  <si>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</si>
  <si>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</si>
  <si>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</si>
  <si>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</si>
  <si>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</si>
  <si>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</si>
  <si>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</si>
  <si>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</si>
  <si>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</si>
  <si>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</si>
  <si>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</si>
  <si>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</si>
  <si>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</si>
  <si>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</si>
  <si>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</si>
  <si>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</si>
  <si>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</si>
  <si>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</si>
  <si>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</si>
  <si>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</si>
  <si>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</si>
  <si>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</si>
  <si>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</si>
  <si>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</si>
  <si>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</si>
  <si>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</si>
  <si>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</si>
  <si>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</si>
  <si>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</si>
  <si>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</si>
  <si>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</si>
  <si>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</si>
  <si>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</si>
  <si>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</si>
  <si>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</si>
  <si>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</si>
  <si>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</si>
  <si>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</si>
  <si>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</si>
  <si>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</si>
  <si>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</si>
  <si>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</si>
  <si>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</si>
  <si>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</si>
  <si>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</si>
  <si>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</si>
  <si>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</si>
  <si>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</si>
  <si>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</si>
  <si>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</si>
  <si>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</si>
  <si>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</si>
  <si>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</si>
  <si>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</si>
  <si>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</si>
  <si>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</si>
  <si>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</si>
  <si>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</si>
  <si>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</si>
  <si>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</si>
  <si>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</si>
  <si>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</si>
  <si>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</si>
  <si>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</si>
  <si>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</si>
  <si>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</si>
  <si>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</si>
  <si>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</si>
  <si>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</si>
  <si>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</si>
  <si>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</si>
  <si>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</si>
  <si>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</si>
  <si>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</si>
  <si>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</si>
  <si>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</si>
  <si>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</si>
  <si>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</si>
  <si>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</si>
  <si>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</si>
  <si>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</si>
  <si>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</si>
  <si>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</si>
  <si>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</si>
  <si>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</si>
  <si>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</si>
  <si>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</si>
  <si>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</si>
  <si>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</si>
  <si>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</si>
  <si>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</si>
  <si>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</si>
  <si>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</si>
  <si>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</si>
  <si>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</si>
  <si>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</si>
  <si>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</si>
  <si>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</si>
  <si>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</si>
  <si>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</si>
  <si>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</si>
  <si>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</si>
  <si>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</si>
  <si>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</si>
  <si>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</si>
  <si>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</si>
  <si>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</si>
  <si>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</si>
  <si>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</si>
  <si>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</si>
  <si>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</si>
  <si>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</si>
  <si>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</si>
  <si>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</si>
  <si>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</si>
  <si>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</si>
  <si>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</si>
  <si>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</si>
  <si>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</si>
  <si>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</si>
  <si>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</si>
  <si>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</si>
  <si>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</si>
  <si>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</si>
  <si>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</si>
  <si>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</si>
  <si>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</si>
  <si>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</si>
  <si>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</si>
  <si>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</si>
  <si>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</si>
  <si>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</si>
  <si>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</si>
  <si>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</si>
  <si>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</si>
  <si>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</si>
  <si>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</si>
  <si>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</si>
  <si>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</si>
  <si>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</si>
  <si>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</si>
  <si>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</si>
  <si>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</si>
  <si>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</si>
  <si>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</si>
  <si>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</si>
  <si>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</si>
  <si>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</si>
  <si>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</si>
  <si>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</si>
  <si>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</si>
  <si>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</si>
  <si>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</si>
  <si>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</si>
  <si>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</si>
  <si>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</si>
  <si>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</si>
  <si>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</si>
  <si>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</si>
  <si>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</si>
  <si>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</si>
  <si>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</si>
  <si>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</si>
  <si>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</si>
  <si>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</si>
  <si>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</si>
  <si>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</si>
  <si>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</si>
  <si>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</si>
  <si>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</si>
  <si>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</si>
  <si>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</si>
  <si>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</si>
  <si>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</si>
  <si>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</si>
  <si>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</si>
  <si>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</si>
  <si>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</si>
  <si>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</si>
  <si>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</si>
  <si>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</si>
  <si>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</si>
  <si>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</si>
  <si>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</si>
  <si>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</si>
  <si>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</si>
  <si>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</si>
  <si>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</si>
  <si>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</si>
  <si>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</si>
  <si>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</si>
  <si>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</si>
  <si>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</si>
  <si>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</si>
  <si>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</si>
  <si>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</si>
  <si>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</si>
  <si>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</si>
  <si>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</si>
  <si>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</si>
  <si>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</si>
  <si>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</si>
  <si>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</si>
  <si>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</si>
  <si>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</si>
  <si>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</si>
  <si>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</si>
  <si>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</si>
  <si>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</si>
  <si>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</si>
  <si>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</si>
  <si>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</si>
  <si>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</si>
  <si>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</si>
  <si>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</si>
  <si>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</si>
  <si>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</si>
  <si>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</si>
  <si>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</si>
  <si>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</si>
  <si>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</si>
  <si>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</si>
  <si>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</si>
  <si>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</si>
  <si>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</si>
  <si>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</si>
  <si>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</si>
  <si>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</si>
  <si>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</si>
  <si>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</si>
  <si>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</si>
  <si>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</si>
  <si>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</si>
  <si>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</si>
  <si>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</si>
  <si>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</si>
  <si>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</si>
  <si>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</si>
  <si>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</si>
  <si>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</si>
  <si>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</si>
  <si>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</si>
  <si>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</si>
  <si>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</si>
  <si>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</si>
  <si>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</si>
  <si>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</si>
  <si>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</si>
  <si>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</si>
  <si>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</si>
  <si>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</si>
  <si>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</si>
  <si>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</si>
  <si>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</si>
  <si>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</si>
  <si>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</si>
  <si>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</si>
  <si>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</si>
  <si>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</si>
  <si>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</si>
  <si>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</si>
  <si>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</si>
  <si>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</si>
  <si>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</si>
  <si>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</si>
  <si>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</si>
  <si>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</si>
  <si>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</si>
  <si>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</si>
  <si>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</si>
  <si>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</si>
  <si>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</si>
  <si>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</si>
  <si>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</si>
  <si>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</si>
  <si>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</si>
  <si>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</si>
  <si>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</si>
  <si>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</si>
  <si>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</si>
  <si>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</si>
  <si>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</si>
  <si>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</si>
  <si>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</si>
  <si>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</si>
  <si>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</si>
  <si>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</si>
  <si>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</si>
  <si>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</si>
  <si>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</si>
  <si>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</si>
  <si>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</si>
  <si>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</si>
  <si>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</si>
  <si>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</si>
  <si>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</si>
  <si>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</si>
  <si>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</si>
  <si>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</si>
  <si>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</si>
  <si>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</si>
  <si>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</si>
  <si>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</si>
  <si>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</si>
  <si>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</si>
  <si>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</si>
  <si>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</si>
  <si>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</si>
  <si>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</si>
  <si>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</si>
  <si>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</si>
  <si>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</si>
  <si>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</si>
  <si>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</si>
  <si>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</si>
  <si>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</si>
  <si>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</si>
  <si>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</si>
  <si>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</si>
  <si>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</si>
  <si>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</si>
  <si>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</si>
  <si>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</si>
  <si>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</si>
  <si>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</si>
  <si>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</si>
  <si>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</si>
  <si>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</si>
  <si>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</si>
  <si>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</si>
  <si>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</si>
  <si>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</si>
  <si>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</si>
  <si>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</si>
  <si>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</si>
  <si>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</si>
  <si>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</si>
  <si>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</si>
  <si>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</si>
  <si>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</si>
  <si>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</si>
  <si>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</si>
  <si>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</si>
  <si>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</si>
  <si>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</si>
  <si>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</si>
  <si>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</si>
  <si>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</si>
  <si>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</si>
  <si>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</si>
  <si>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</si>
  <si>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</si>
  <si>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</si>
  <si>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</si>
  <si>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</si>
  <si>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</si>
  <si>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</si>
  <si>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</si>
  <si>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</si>
  <si>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</si>
  <si>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</si>
  <si>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</si>
  <si>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</si>
  <si>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</si>
  <si>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</si>
  <si>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</si>
  <si>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</si>
  <si>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</si>
  <si>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</si>
  <si>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</si>
  <si>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</si>
  <si>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</si>
  <si>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</si>
  <si>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</si>
  <si>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</si>
  <si>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</si>
  <si>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</si>
  <si>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</si>
  <si>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</si>
  <si>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</si>
  <si>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</si>
  <si>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</si>
  <si>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</si>
  <si>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</si>
  <si>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</si>
  <si>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</si>
  <si>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</si>
  <si>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</si>
  <si>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</si>
  <si>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</si>
  <si>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</si>
  <si>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</si>
  <si>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</si>
  <si>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</si>
  <si>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</si>
  <si>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</si>
  <si>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</si>
  <si>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</si>
  <si>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</si>
  <si>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</si>
  <si>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</si>
  <si>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</si>
  <si>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</si>
  <si>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</si>
  <si>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</si>
  <si>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</si>
  <si>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</si>
  <si>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</si>
  <si>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</si>
  <si>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</si>
  <si>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</si>
  <si>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</si>
  <si>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</si>
  <si>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</si>
  <si>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</si>
  <si>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</si>
  <si>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</si>
  <si>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</si>
  <si>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</si>
  <si>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</si>
  <si>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</si>
  <si>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</si>
  <si>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</si>
  <si>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</si>
  <si>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</si>
  <si>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</si>
  <si>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</si>
  <si>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</si>
  <si>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</si>
  <si>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</si>
  <si>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</si>
  <si>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</si>
  <si>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</si>
  <si>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</si>
  <si>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</si>
  <si>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</si>
  <si>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</si>
  <si>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</si>
  <si>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</si>
  <si>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</si>
  <si>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</si>
  <si>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</si>
  <si>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</si>
  <si>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</si>
  <si>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</si>
  <si>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</si>
  <si>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</si>
  <si>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</si>
  <si>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</si>
  <si>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</si>
  <si>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</si>
  <si>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</si>
  <si>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</si>
  <si>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</si>
  <si>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</si>
  <si>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</si>
  <si>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</si>
  <si>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</si>
  <si>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</si>
  <si>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</si>
  <si>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</si>
  <si>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</si>
  <si>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</si>
  <si>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</si>
  <si>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</si>
  <si>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</si>
  <si>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</si>
  <si>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</si>
  <si>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</si>
  <si>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</si>
  <si>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</si>
  <si>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</si>
  <si>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</si>
  <si>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</si>
  <si>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</si>
  <si>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</si>
  <si>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</si>
  <si>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</si>
  <si>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</si>
  <si>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</si>
  <si>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</si>
  <si>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</si>
  <si>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</si>
  <si>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</si>
  <si>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</si>
  <si>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</si>
  <si>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</si>
  <si>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</si>
  <si>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</si>
  <si>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</si>
  <si>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</si>
  <si>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</si>
  <si>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</si>
  <si>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</si>
  <si>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</si>
  <si>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</si>
  <si>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</si>
  <si>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</si>
  <si>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</si>
  <si>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</si>
  <si>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</si>
  <si>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</si>
  <si>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</si>
  <si>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</si>
  <si>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</si>
  <si>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</si>
  <si>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</si>
  <si>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</si>
  <si>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</si>
  <si>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</si>
  <si>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</si>
  <si>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</si>
  <si>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</si>
  <si>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</si>
  <si>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</si>
  <si>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</si>
  <si>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</si>
  <si>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</si>
  <si>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</si>
  <si>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</si>
  <si>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</si>
  <si>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</si>
  <si>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</si>
  <si>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</si>
  <si>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</si>
  <si>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</si>
  <si>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</si>
  <si>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</si>
  <si>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</si>
  <si>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</si>
  <si>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</si>
  <si>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</si>
  <si>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</si>
  <si>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</si>
  <si>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</si>
  <si>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</si>
  <si>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</si>
  <si>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</si>
  <si>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</si>
  <si>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</si>
  <si>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</si>
  <si>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</si>
  <si>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</si>
  <si>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</si>
  <si>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</si>
  <si>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</si>
  <si>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</si>
  <si>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</si>
  <si>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</si>
  <si>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</si>
  <si>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</si>
  <si>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</si>
  <si>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</si>
  <si>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</si>
  <si>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</si>
  <si>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</si>
  <si>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</si>
  <si>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</si>
  <si>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</si>
  <si>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</si>
  <si>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</si>
  <si>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</si>
  <si>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</si>
  <si>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</si>
  <si>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</si>
  <si>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</si>
  <si>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</si>
  <si>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</si>
  <si>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</si>
  <si>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</si>
  <si>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</si>
  <si>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</si>
  <si>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</si>
  <si>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</si>
  <si>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</si>
  <si>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</si>
  <si>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</si>
  <si>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</si>
  <si>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</si>
  <si>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</si>
  <si>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</si>
  <si>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</si>
  <si>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</si>
  <si>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</si>
  <si>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</si>
  <si>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</si>
  <si>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</si>
  <si>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</si>
  <si>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</si>
  <si>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</si>
  <si>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</si>
  <si>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</si>
  <si>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</si>
  <si>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</si>
  <si>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</si>
  <si>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</si>
  <si>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</si>
  <si>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</si>
  <si>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</si>
  <si>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</si>
  <si>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</si>
  <si>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</si>
  <si>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</si>
  <si>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</si>
  <si>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</si>
  <si>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</si>
  <si>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</si>
  <si>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</si>
  <si>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</si>
  <si>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</si>
  <si>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</si>
  <si>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</si>
  <si>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</si>
  <si>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</si>
  <si>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</si>
  <si>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</si>
  <si>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</si>
  <si>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</si>
  <si>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</si>
  <si>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</si>
  <si>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</si>
  <si>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</si>
  <si>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</si>
  <si>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</si>
  <si>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</si>
  <si>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</si>
  <si>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</si>
  <si>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</si>
  <si>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</si>
  <si>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</si>
  <si>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</si>
  <si>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</si>
  <si>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</si>
  <si>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</si>
  <si>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</si>
  <si>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</si>
  <si>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</si>
  <si>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</si>
  <si>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</si>
  <si>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</si>
  <si>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</si>
  <si>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</si>
  <si>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</si>
  <si>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</si>
  <si>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</si>
  <si>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</si>
  <si>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</si>
  <si>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</si>
  <si>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</si>
  <si>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</si>
  <si>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</si>
  <si>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</si>
  <si>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</si>
  <si>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</si>
  <si>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</si>
  <si>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</si>
  <si>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</si>
  <si>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</si>
  <si>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</si>
  <si>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</si>
  <si>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</si>
  <si>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</si>
  <si>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</si>
  <si>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</si>
  <si>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</si>
  <si>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</si>
  <si>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</si>
  <si>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</si>
  <si>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</si>
  <si>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</si>
  <si>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</si>
  <si>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</si>
  <si>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</si>
  <si>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</si>
  <si>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</si>
  <si>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</si>
  <si>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</si>
  <si>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</si>
  <si>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</si>
  <si>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</si>
  <si>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</si>
  <si>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</si>
  <si>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</si>
  <si>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</si>
  <si>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</si>
  <si>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</si>
  <si>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</si>
  <si>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</si>
  <si>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</si>
  <si>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</si>
  <si>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</si>
  <si>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</si>
  <si>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</si>
  <si>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</si>
  <si>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</si>
  <si>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</si>
  <si>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</si>
  <si>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</si>
  <si>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</si>
  <si>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</si>
  <si>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</si>
  <si>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</si>
  <si>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</si>
  <si>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</si>
  <si>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</si>
  <si>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</si>
  <si>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</si>
  <si>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</si>
  <si>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</si>
  <si>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</si>
  <si>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</si>
  <si>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</si>
  <si>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</si>
  <si>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</si>
  <si>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</si>
  <si>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</si>
  <si>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</si>
  <si>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</si>
  <si>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</si>
  <si>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</si>
  <si>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</si>
  <si>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</si>
  <si>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</si>
  <si>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</si>
  <si>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</si>
  <si>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</si>
  <si>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</si>
  <si>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</si>
  <si>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</si>
  <si>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</si>
  <si>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</si>
  <si>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</si>
  <si>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</si>
  <si>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</si>
  <si>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</si>
  <si>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</si>
  <si>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</si>
  <si>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</si>
  <si>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</si>
  <si>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</si>
  <si>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</si>
  <si>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</si>
  <si>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</si>
  <si>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</si>
  <si>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</si>
  <si>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</si>
  <si>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</si>
  <si>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</si>
  <si>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</si>
  <si>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</si>
  <si>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</si>
  <si>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</si>
  <si>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</si>
  <si>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</si>
  <si>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</si>
  <si>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</si>
  <si>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</si>
  <si>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</si>
  <si>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</si>
  <si>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</si>
  <si>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</si>
  <si>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</si>
  <si>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</si>
  <si>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</si>
  <si>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</si>
  <si>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</si>
  <si>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</si>
  <si>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</si>
  <si>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</si>
  <si>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</si>
  <si>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</si>
  <si>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</si>
  <si>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</si>
  <si>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</si>
  <si>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</si>
  <si>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</si>
  <si>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</si>
  <si>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</si>
  <si>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</si>
  <si>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</si>
  <si>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</si>
  <si>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</si>
  <si>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</si>
  <si>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</si>
  <si>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</si>
  <si>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</si>
  <si>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</si>
  <si>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</si>
  <si>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</si>
  <si>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</si>
  <si>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</si>
  <si>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</si>
  <si>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</si>
  <si>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</si>
  <si>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</si>
  <si>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</si>
  <si>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</si>
  <si>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</si>
  <si>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</si>
  <si>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</si>
  <si>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</si>
  <si>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</si>
  <si>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</si>
  <si>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</si>
  <si>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</si>
  <si>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</si>
  <si>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</si>
  <si>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</si>
  <si>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</si>
  <si>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</si>
  <si>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</si>
  <si>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</si>
  <si>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</si>
  <si>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</si>
  <si>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</si>
  <si>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</si>
  <si>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</si>
  <si>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</si>
  <si>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</si>
  <si>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</si>
  <si>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</si>
  <si>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</si>
  <si>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</si>
  <si>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</si>
  <si>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</si>
  <si>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</si>
  <si>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</si>
  <si>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</si>
  <si>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</si>
  <si>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</si>
  <si>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</si>
  <si>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</si>
  <si>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</si>
  <si>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</si>
  <si>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</si>
  <si>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</si>
  <si>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</si>
  <si>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</si>
  <si>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</si>
  <si>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</si>
  <si>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</si>
  <si>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</si>
  <si>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</si>
  <si>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</si>
  <si>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</si>
  <si>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</si>
  <si>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</si>
  <si>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</si>
  <si>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</si>
  <si>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</si>
  <si>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</si>
  <si>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</si>
  <si>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</si>
  <si>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</si>
  <si>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</si>
  <si>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</si>
  <si>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</si>
  <si>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</si>
  <si>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</si>
  <si>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</si>
  <si>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</si>
  <si>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</si>
  <si>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</si>
  <si>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</si>
  <si>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</si>
  <si>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</si>
  <si>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</si>
  <si>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</si>
  <si>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</si>
  <si>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</si>
  <si>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</si>
  <si>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</si>
  <si>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</si>
  <si>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</si>
  <si>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</si>
  <si>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</si>
  <si>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</si>
  <si>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</si>
  <si>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</si>
  <si>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</si>
  <si>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</si>
  <si>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</si>
  <si>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</si>
  <si>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</si>
  <si>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</si>
  <si>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</si>
  <si>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</si>
  <si>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</si>
  <si>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</si>
  <si>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</si>
  <si>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</si>
  <si>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</si>
  <si>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</si>
  <si>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</si>
  <si>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</si>
  <si>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</si>
  <si>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</si>
  <si>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</si>
  <si>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</si>
  <si>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</si>
  <si>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</si>
  <si>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</si>
  <si>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</si>
  <si>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</si>
  <si>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</si>
  <si>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</si>
  <si>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</si>
  <si>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</si>
  <si>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</si>
  <si>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</si>
  <si>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</si>
  <si>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</si>
  <si>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</si>
  <si>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</si>
  <si>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</si>
  <si>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</si>
  <si>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</si>
  <si>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</si>
  <si>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</si>
  <si>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</si>
  <si>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</si>
  <si>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</si>
  <si>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</si>
  <si>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</si>
  <si>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</si>
  <si>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</si>
  <si>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</si>
  <si>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</si>
  <si>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</si>
  <si>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</si>
  <si>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</si>
  <si>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</si>
  <si>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</si>
  <si>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</si>
  <si>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</si>
  <si>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</si>
  <si>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</si>
  <si>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</si>
  <si>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</si>
  <si>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</si>
  <si>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</si>
  <si>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</si>
  <si>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</si>
  <si>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</si>
  <si>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</si>
  <si>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</si>
  <si>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</si>
  <si>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</si>
  <si>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</si>
  <si>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</si>
  <si>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</si>
  <si>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</si>
  <si>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</si>
  <si>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</si>
  <si>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</si>
  <si>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</si>
  <si>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</si>
  <si>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</si>
  <si>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</si>
  <si>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</si>
  <si>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</si>
  <si>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</si>
  <si>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</si>
  <si>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</si>
  <si>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</si>
  <si>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</si>
  <si>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</si>
  <si>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</si>
  <si>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</si>
  <si>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</si>
  <si>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</si>
  <si>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</si>
  <si>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</si>
  <si>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</si>
  <si>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</si>
  <si>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</si>
  <si>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</si>
  <si>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</si>
  <si>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</si>
  <si>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</si>
  <si>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</si>
  <si>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</si>
  <si>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</si>
  <si>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</si>
  <si>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</si>
  <si>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</si>
  <si>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</si>
  <si>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</si>
  <si>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</si>
  <si>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</si>
  <si>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</si>
  <si>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</si>
  <si>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</si>
  <si>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</si>
  <si>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</si>
  <si>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</si>
  <si>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</si>
  <si>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</si>
  <si>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</si>
  <si>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</si>
  <si>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</si>
  <si>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</si>
  <si>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</si>
  <si>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</si>
  <si>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</si>
  <si>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</si>
  <si>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</si>
  <si>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</si>
  <si>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</si>
  <si>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</si>
  <si>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</si>
  <si>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</si>
  <si>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</si>
  <si>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</si>
  <si>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</si>
  <si>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</si>
  <si>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</si>
  <si>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</si>
  <si>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</si>
  <si>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</si>
  <si>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</si>
  <si>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</si>
  <si>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</si>
  <si>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</si>
  <si>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</si>
  <si>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</si>
  <si>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</si>
  <si>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</si>
  <si>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</si>
  <si>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</si>
  <si>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</si>
  <si>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</si>
  <si>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</si>
  <si>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</si>
  <si>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</si>
  <si>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</si>
  <si>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</si>
  <si>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</si>
  <si>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</si>
  <si>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</si>
  <si>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</si>
  <si>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</si>
  <si>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</si>
  <si>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</si>
  <si>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</si>
  <si>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</si>
  <si>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</si>
  <si>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</si>
  <si>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</si>
  <si>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</si>
  <si>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</si>
  <si>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</si>
  <si>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</si>
  <si>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</si>
  <si>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</si>
  <si>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</si>
  <si>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</si>
  <si>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</si>
  <si>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</si>
  <si>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</si>
  <si>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</si>
  <si>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</si>
  <si>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</si>
  <si>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</si>
  <si>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</si>
  <si>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</si>
  <si>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</si>
  <si>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</si>
  <si>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</si>
  <si>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</si>
  <si>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</si>
  <si>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</si>
  <si>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</si>
  <si>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</si>
  <si>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</si>
  <si>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</si>
  <si>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</si>
  <si>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</si>
  <si>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</si>
  <si>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</si>
  <si>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</si>
  <si>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</si>
  <si>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</si>
  <si>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</si>
  <si>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</si>
  <si>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</si>
  <si>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</si>
  <si>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</si>
  <si>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</si>
  <si>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</si>
  <si>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</si>
  <si>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</si>
  <si>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</si>
  <si>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</si>
  <si>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</si>
  <si>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</si>
  <si>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</si>
  <si>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</si>
  <si>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</si>
  <si>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</si>
  <si>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</si>
  <si>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</si>
  <si>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</si>
  <si>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</si>
  <si>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</si>
  <si>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</si>
  <si>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</si>
  <si>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</si>
  <si>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</si>
  <si>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</si>
  <si>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</si>
  <si>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</si>
  <si>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</si>
  <si>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</si>
  <si>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</si>
  <si>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</si>
  <si>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</si>
  <si>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</si>
  <si>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</si>
  <si>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</si>
  <si>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</si>
  <si>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</si>
  <si>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</si>
  <si>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</si>
  <si>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</si>
  <si>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</si>
  <si>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</si>
  <si>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</si>
  <si>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</si>
  <si>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</si>
  <si>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</si>
  <si>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</si>
  <si>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</si>
  <si>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</si>
  <si>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</si>
  <si>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</si>
  <si>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</si>
  <si>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</si>
  <si>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</si>
  <si>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</si>
  <si>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</si>
  <si>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</si>
  <si>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</si>
  <si>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</si>
  <si>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</si>
  <si>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</si>
  <si>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</si>
  <si>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</si>
  <si>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</si>
  <si>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</si>
  <si>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</si>
  <si>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</si>
  <si>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</si>
  <si>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</si>
  <si>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</si>
  <si>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</si>
  <si>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</si>
  <si>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</si>
  <si>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</si>
  <si>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</si>
  <si>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</si>
  <si>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</si>
  <si>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</si>
  <si>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</si>
  <si>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</si>
  <si>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</si>
  <si>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</si>
  <si>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</si>
  <si>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</si>
  <si>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</si>
  <si>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</si>
  <si>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</si>
  <si>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</si>
  <si>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</si>
  <si>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</si>
  <si>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</si>
  <si>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</si>
  <si>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</si>
  <si>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</si>
  <si>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</si>
  <si>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</si>
  <si>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</si>
  <si>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</si>
  <si>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</si>
  <si>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</si>
  <si>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</si>
  <si>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</si>
  <si>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</si>
  <si>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</si>
  <si>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</si>
  <si>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</si>
  <si>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</si>
  <si>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</si>
  <si>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</si>
  <si>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</si>
  <si>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</si>
  <si>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</si>
  <si>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</si>
  <si>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</si>
  <si>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</si>
  <si>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</si>
  <si>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</si>
  <si>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</si>
  <si>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</si>
  <si>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</si>
  <si>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</si>
  <si>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</si>
  <si>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</si>
  <si>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</si>
  <si>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</si>
  <si>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</si>
  <si>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</si>
  <si>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</si>
  <si>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</si>
  <si>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</si>
  <si>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</si>
  <si>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</si>
  <si>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</si>
  <si>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</si>
  <si>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</si>
  <si>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</si>
  <si>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</si>
  <si>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</si>
  <si>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</si>
  <si>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</si>
  <si>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</si>
  <si>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</si>
  <si>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</si>
  <si>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</si>
  <si>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</si>
  <si>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</si>
  <si>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</si>
  <si>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</si>
  <si>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</si>
  <si>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</si>
  <si>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</si>
  <si>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</si>
  <si>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</si>
  <si>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</si>
  <si>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</si>
  <si>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</si>
  <si>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</si>
  <si>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</si>
  <si>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</si>
  <si>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</si>
  <si>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</si>
  <si>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</si>
  <si>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</si>
  <si>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</si>
  <si>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</si>
  <si>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</si>
  <si>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</si>
  <si>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</si>
  <si>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</si>
  <si>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</si>
  <si>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</si>
  <si>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</si>
  <si>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</si>
  <si>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</si>
  <si>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</si>
  <si>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</si>
  <si>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</si>
  <si>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</si>
  <si>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</si>
  <si>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</si>
  <si>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</si>
  <si>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</si>
  <si>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</si>
  <si>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</si>
  <si>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</si>
  <si>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</si>
  <si>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</si>
  <si>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</si>
  <si>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</si>
  <si>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</si>
  <si>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</si>
  <si>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</si>
  <si>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</si>
  <si>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</si>
  <si>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</si>
  <si>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</si>
  <si>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</si>
  <si>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</si>
  <si>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</si>
  <si>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</si>
  <si>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</si>
  <si>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</si>
  <si>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</si>
  <si>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</si>
  <si>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</si>
  <si>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</si>
  <si>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</si>
  <si>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</si>
  <si>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</si>
  <si>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</si>
  <si>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</si>
  <si>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</si>
  <si>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</si>
  <si>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</si>
  <si>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</si>
  <si>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</si>
  <si>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</si>
  <si>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</si>
  <si>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</si>
  <si>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</si>
  <si>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</si>
  <si>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</si>
  <si>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</si>
  <si>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</si>
  <si>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</si>
  <si>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</si>
  <si>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</si>
  <si>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</si>
  <si>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</si>
  <si>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</si>
  <si>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</si>
  <si>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</si>
  <si>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</si>
  <si>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</si>
  <si>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</si>
  <si>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</si>
  <si>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</si>
  <si>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</si>
  <si>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</si>
  <si>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</si>
  <si>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</si>
  <si>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</si>
  <si>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</si>
  <si>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</si>
  <si>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</si>
  <si>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</si>
  <si>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</si>
  <si>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</si>
  <si>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</si>
  <si>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</si>
  <si>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</si>
  <si>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</si>
  <si>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</si>
  <si>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</si>
  <si>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</si>
  <si>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</si>
  <si>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</si>
  <si>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</si>
  <si>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</si>
  <si>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</si>
  <si>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</si>
  <si>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</si>
  <si>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</si>
  <si>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</si>
  <si>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</si>
  <si>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</si>
  <si>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</si>
  <si>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</si>
  <si>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</si>
  <si>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</si>
  <si>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</si>
  <si>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</si>
  <si>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</si>
  <si>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</si>
  <si>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</si>
  <si>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</si>
  <si>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</si>
  <si>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</si>
  <si>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</si>
  <si>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</si>
  <si>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</si>
  <si>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</si>
  <si>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</si>
  <si>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</si>
  <si>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</si>
  <si>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</si>
  <si>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</si>
  <si>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</si>
  <si>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</si>
  <si>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</si>
  <si>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</si>
  <si>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</si>
  <si>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</si>
  <si>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</si>
  <si>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</si>
  <si>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</si>
  <si>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</si>
  <si>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</si>
  <si>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</si>
  <si>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</si>
  <si>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</si>
  <si>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</si>
  <si>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</si>
  <si>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</si>
  <si>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</si>
  <si>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</si>
  <si>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</si>
  <si>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</si>
  <si>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</si>
  <si>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</si>
  <si>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</si>
  <si>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</si>
  <si>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</si>
  <si>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</si>
  <si>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</si>
  <si>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</si>
  <si>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</si>
  <si>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</si>
  <si>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</si>
  <si>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</si>
  <si>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</si>
  <si>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</si>
  <si>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</si>
  <si>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</si>
  <si>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</si>
  <si>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</si>
  <si>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</si>
  <si>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</si>
  <si>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</si>
  <si>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</si>
  <si>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</si>
  <si>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</si>
  <si>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</si>
  <si>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</si>
  <si>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</si>
  <si>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</si>
  <si>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</si>
  <si>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</si>
  <si>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</si>
  <si>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</si>
  <si>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</si>
  <si>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</si>
  <si>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</si>
  <si>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</si>
  <si>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</si>
  <si>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</si>
  <si>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</si>
  <si>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</si>
  <si>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</si>
  <si>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</si>
  <si>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</si>
  <si>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</si>
  <si>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</si>
  <si>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</si>
  <si>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</si>
  <si>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</si>
  <si>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</si>
  <si>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</si>
  <si>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</si>
  <si>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</si>
  <si>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</si>
  <si>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</si>
  <si>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</si>
  <si>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</si>
  <si>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</si>
  <si>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</si>
  <si>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</si>
  <si>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</si>
  <si>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</si>
  <si>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</si>
  <si>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</si>
  <si>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</si>
  <si>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</si>
  <si>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</si>
  <si>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</si>
  <si>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</si>
  <si>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</si>
  <si>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</si>
  <si>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</si>
  <si>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</si>
  <si>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</si>
  <si>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</si>
  <si>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</si>
  <si>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</si>
  <si>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</si>
  <si>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</si>
  <si>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</si>
  <si>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</si>
  <si>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</si>
  <si>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</si>
  <si>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</si>
  <si>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</si>
  <si>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</si>
  <si>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</si>
  <si>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</si>
  <si>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</si>
  <si>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</si>
  <si>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</si>
  <si>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</si>
  <si>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</si>
  <si>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</si>
  <si>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</si>
  <si>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</si>
  <si>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</si>
  <si>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</si>
  <si>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</si>
  <si>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</si>
  <si>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</si>
  <si>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</si>
  <si>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</si>
  <si>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</si>
  <si>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</si>
  <si>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</si>
  <si>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</si>
  <si>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</si>
  <si>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</si>
  <si>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</si>
  <si>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</si>
  <si>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</si>
  <si>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</si>
  <si>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</si>
  <si>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</si>
  <si>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</si>
  <si>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</si>
  <si>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</si>
  <si>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</si>
  <si>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</si>
  <si>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</si>
  <si>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</si>
  <si>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</si>
  <si>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</si>
  <si>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</si>
  <si>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</si>
  <si>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</si>
  <si>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</si>
  <si>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</si>
  <si>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</si>
  <si>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</si>
  <si>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</si>
  <si>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</si>
  <si>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</si>
  <si>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</si>
  <si>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</si>
  <si>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</si>
  <si>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</si>
  <si>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</si>
  <si>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</si>
  <si>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</si>
  <si>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</si>
  <si>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</si>
  <si>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</si>
  <si>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</si>
  <si>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</si>
  <si>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</si>
  <si>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</si>
  <si>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</si>
  <si>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</si>
  <si>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</si>
  <si>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</si>
  <si>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</si>
  <si>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</si>
  <si>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</si>
  <si>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</si>
  <si>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</si>
  <si>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</si>
  <si>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</si>
  <si>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</si>
  <si>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</si>
  <si>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</si>
  <si>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</si>
  <si>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</si>
  <si>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</si>
  <si>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</si>
  <si>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</si>
  <si>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</si>
  <si>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</si>
  <si>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</si>
  <si>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</si>
  <si>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</si>
  <si>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</si>
  <si>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</si>
  <si>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</si>
  <si>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</si>
  <si>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</si>
  <si>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</si>
  <si>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</si>
  <si>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</si>
  <si>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</si>
  <si>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</si>
  <si>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</si>
  <si>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</si>
  <si>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</si>
  <si>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</si>
  <si>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</si>
  <si>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</si>
  <si>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</si>
  <si>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</si>
  <si>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</si>
  <si>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</si>
  <si>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</si>
  <si>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</si>
  <si>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</si>
  <si>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</si>
  <si>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</si>
  <si>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</si>
  <si>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</si>
  <si>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</si>
  <si>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</si>
  <si>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</si>
  <si>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</si>
  <si>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</si>
  <si>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</si>
  <si>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</si>
  <si>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</si>
  <si>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</si>
  <si>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</si>
  <si>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</si>
  <si>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</si>
  <si>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</si>
  <si>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</si>
  <si>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</si>
  <si>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</si>
  <si>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</si>
  <si>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</si>
  <si>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</si>
  <si>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</si>
  <si>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</si>
  <si>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</si>
  <si>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</si>
  <si>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</si>
  <si>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</si>
  <si>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</si>
  <si>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</si>
  <si>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</si>
  <si>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</si>
  <si>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</si>
  <si>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</si>
  <si>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</si>
  <si>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</si>
  <si>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</si>
  <si>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</si>
  <si>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</si>
  <si>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</si>
  <si>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</si>
  <si>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</si>
  <si>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</si>
  <si>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</si>
  <si>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</si>
  <si>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</si>
  <si>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</si>
  <si>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</si>
  <si>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</si>
  <si>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</si>
  <si>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</si>
  <si>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</si>
  <si>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</si>
  <si>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</si>
  <si>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</si>
  <si>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</si>
  <si>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</si>
  <si>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</si>
  <si>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</si>
  <si>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</si>
  <si>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</si>
  <si>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</si>
  <si>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</si>
  <si>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</si>
  <si>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</si>
  <si>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</si>
  <si>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</si>
  <si>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</si>
  <si>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</si>
  <si>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</si>
  <si>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</si>
  <si>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</si>
  <si>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</si>
  <si>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</si>
  <si>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</si>
  <si>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</si>
  <si>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</si>
  <si>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</si>
  <si>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</si>
  <si>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</si>
  <si>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</si>
  <si>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</si>
  <si>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</si>
  <si>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</si>
  <si>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</si>
  <si>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</si>
  <si>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</si>
  <si>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</si>
  <si>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</si>
  <si>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</si>
  <si>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</si>
  <si>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</si>
  <si>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</si>
  <si>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</si>
  <si>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</si>
  <si>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</si>
  <si>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</si>
  <si>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</si>
  <si>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</si>
  <si>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</si>
  <si>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</si>
  <si>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</si>
  <si>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</si>
  <si>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</si>
  <si>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</si>
  <si>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</si>
  <si>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</si>
  <si>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</si>
  <si>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</si>
  <si>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</si>
  <si>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</si>
  <si>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</si>
  <si>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</si>
  <si>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</si>
  <si>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</si>
  <si>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</si>
  <si>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</si>
  <si>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</si>
  <si>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</si>
  <si>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</si>
  <si>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</si>
  <si>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</si>
  <si>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</si>
  <si>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</si>
  <si>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</si>
  <si>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</si>
  <si>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</si>
  <si>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</si>
  <si>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</si>
  <si>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</si>
  <si>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</si>
  <si>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</si>
  <si>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</si>
  <si>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</si>
  <si>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</si>
  <si>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</si>
  <si>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</si>
  <si>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</si>
  <si>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</si>
  <si>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</si>
  <si>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</si>
  <si>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</si>
  <si>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</si>
  <si>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</si>
  <si>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</si>
  <si>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</si>
  <si>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</si>
  <si>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</si>
  <si>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</si>
  <si>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</si>
  <si>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</si>
  <si>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</si>
  <si>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</si>
  <si>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</si>
  <si>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</si>
  <si>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</si>
  <si>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</si>
  <si>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</si>
  <si>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</si>
  <si>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</si>
  <si>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</si>
  <si>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</si>
  <si>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</si>
  <si>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</si>
  <si>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</si>
  <si>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</si>
  <si>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</si>
  <si>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</si>
  <si>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</si>
  <si>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</si>
  <si>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</si>
  <si>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</si>
  <si>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</si>
  <si>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</si>
  <si>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</si>
  <si>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</si>
  <si>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</si>
  <si>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</si>
  <si>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</si>
  <si>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</si>
  <si>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</si>
  <si>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</si>
  <si>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</si>
  <si>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</si>
  <si>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</si>
  <si>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</si>
  <si>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</si>
  <si>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</si>
  <si>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</si>
  <si>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</si>
  <si>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</si>
  <si>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</si>
  <si>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</si>
  <si>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</si>
  <si>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</si>
  <si>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</si>
  <si>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</si>
  <si>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</si>
  <si>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</si>
  <si>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</si>
  <si>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</si>
  <si>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</si>
  <si>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</si>
  <si>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</si>
  <si>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</si>
  <si>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</si>
  <si>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</si>
  <si>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</si>
  <si>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</si>
  <si>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</si>
  <si>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</si>
  <si>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</si>
  <si>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</si>
  <si>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</si>
  <si>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</si>
  <si>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</si>
  <si>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</si>
  <si>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</si>
  <si>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</si>
  <si>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</si>
  <si>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</si>
  <si>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</si>
  <si>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</si>
  <si>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</si>
  <si>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</si>
  <si>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</si>
  <si>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</si>
  <si>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</si>
  <si>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</si>
  <si>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</si>
  <si>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</si>
  <si>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</si>
  <si>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</si>
  <si>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</si>
  <si>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</si>
  <si>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</si>
  <si>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</si>
  <si>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</si>
  <si>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</si>
  <si>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</si>
  <si>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</si>
  <si>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</si>
  <si>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</si>
  <si>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</si>
  <si>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</si>
  <si>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</si>
  <si>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</si>
  <si>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</si>
  <si>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</si>
  <si>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</si>
  <si>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</si>
  <si>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</si>
  <si>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</si>
  <si>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</si>
  <si>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</si>
  <si>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</si>
  <si>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</si>
  <si>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</si>
  <si>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</si>
  <si>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</si>
  <si>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</si>
  <si>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</si>
  <si>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</si>
  <si>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</si>
  <si>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</si>
  <si>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</si>
  <si>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</si>
  <si>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</si>
  <si>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</si>
  <si>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</si>
  <si>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</si>
  <si>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</si>
  <si>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</si>
  <si>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</si>
  <si>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</si>
  <si>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</si>
  <si>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</si>
  <si>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</si>
  <si>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</si>
  <si>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</si>
  <si>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</si>
  <si>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</si>
  <si>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</si>
  <si>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</si>
  <si>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</si>
  <si>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</si>
  <si>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</si>
  <si>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</si>
  <si>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</si>
  <si>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</si>
  <si>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</si>
  <si>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</si>
  <si>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</si>
  <si>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</si>
  <si>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</si>
  <si>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</si>
  <si>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</si>
  <si>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</si>
  <si>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</si>
  <si>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</si>
  <si>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</si>
  <si>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</si>
  <si>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</si>
  <si>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</si>
  <si>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</si>
  <si>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</si>
  <si>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</si>
  <si>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</si>
  <si>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</si>
  <si>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</si>
  <si>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</si>
  <si>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</si>
  <si>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</si>
  <si>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</si>
  <si>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</si>
  <si>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</si>
  <si>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</si>
  <si>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</si>
  <si>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</si>
  <si>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</si>
  <si>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</si>
  <si>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</si>
  <si>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</si>
  <si>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</si>
  <si>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</si>
  <si>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</si>
  <si>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</si>
  <si>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</si>
  <si>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</si>
  <si>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</si>
  <si>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</si>
  <si>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</si>
  <si>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</si>
  <si>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</si>
  <si>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</si>
  <si>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</si>
  <si>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</si>
  <si>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</si>
  <si>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</si>
  <si>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</si>
  <si>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</si>
  <si>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</si>
  <si>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</si>
  <si>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</si>
  <si>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</si>
  <si>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</si>
  <si>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</si>
  <si>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</si>
  <si>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</si>
  <si>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</si>
  <si>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</si>
  <si>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</si>
  <si>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</si>
  <si>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</si>
  <si>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</si>
  <si>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</si>
  <si>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</si>
  <si>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</si>
  <si>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</si>
  <si>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</si>
  <si>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</si>
  <si>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</si>
  <si>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</si>
  <si>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</si>
  <si>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</si>
  <si>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</si>
  <si>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</si>
  <si>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</si>
  <si>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</si>
  <si>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</si>
  <si>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</si>
  <si>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</si>
  <si>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</si>
  <si>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</si>
  <si>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</si>
  <si>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</si>
  <si>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</si>
  <si>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</si>
  <si>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</si>
  <si>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</si>
  <si>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</si>
  <si>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</si>
  <si>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</si>
  <si>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</si>
  <si>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</si>
  <si>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</si>
  <si>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</si>
  <si>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</si>
  <si>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</si>
  <si>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</si>
  <si>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</si>
  <si>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</si>
  <si>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</si>
  <si>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</si>
  <si>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</si>
  <si>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</si>
  <si>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</si>
  <si>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</si>
  <si>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</si>
  <si>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</si>
  <si>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</si>
  <si>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</si>
  <si>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</si>
  <si>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</si>
  <si>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</si>
  <si>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</si>
  <si>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</si>
  <si>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</si>
  <si>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</si>
  <si>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</si>
  <si>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</si>
  <si>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</si>
  <si>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</si>
  <si>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</si>
  <si>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</si>
  <si>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</si>
  <si>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</si>
  <si>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</si>
  <si>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</si>
  <si>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</si>
  <si>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</si>
  <si>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</si>
  <si>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</si>
  <si>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</si>
  <si>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</si>
  <si>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</si>
  <si>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</si>
  <si>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</si>
  <si>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</si>
  <si>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</si>
  <si>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</si>
  <si>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</si>
  <si>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</si>
  <si>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</si>
  <si>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</si>
  <si>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</si>
  <si>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</si>
  <si>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</si>
  <si>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</si>
  <si>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</si>
  <si>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</si>
  <si>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</si>
  <si>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</si>
  <si>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</si>
  <si>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</si>
  <si>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</si>
  <si>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</si>
  <si>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</si>
  <si>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</si>
  <si>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</si>
  <si>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</si>
  <si>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</si>
  <si>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</si>
  <si>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</si>
  <si>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</si>
  <si>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</si>
  <si>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</si>
  <si>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</si>
  <si>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</si>
  <si>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</si>
  <si>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</si>
  <si>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</si>
  <si>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</si>
  <si>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</si>
  <si>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</si>
  <si>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</si>
  <si>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</si>
  <si>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</si>
  <si>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</si>
  <si>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</si>
  <si>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</si>
  <si>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</si>
  <si>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</si>
  <si>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</si>
  <si>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</si>
  <si>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</si>
  <si>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</si>
  <si>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</si>
  <si>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</si>
  <si>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</si>
  <si>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</si>
  <si>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</si>
  <si>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</si>
  <si>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</si>
  <si>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</si>
  <si>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</si>
  <si>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</si>
  <si>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</si>
  <si>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</si>
  <si>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</si>
  <si>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</si>
  <si>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</si>
  <si>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</si>
  <si>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</si>
  <si>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</si>
  <si>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</si>
  <si>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</si>
  <si>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</si>
  <si>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</si>
  <si>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</si>
  <si>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</si>
  <si>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</si>
  <si>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</si>
  <si>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</si>
  <si>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</si>
  <si>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</si>
  <si>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</si>
  <si>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</si>
  <si>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</si>
  <si>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</si>
  <si>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</si>
  <si>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</si>
  <si>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</si>
  <si>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</si>
  <si>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</si>
  <si>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</si>
  <si>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</si>
  <si>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</si>
  <si>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</si>
  <si>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</si>
  <si>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</si>
  <si>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</si>
  <si>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</si>
  <si>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</si>
  <si>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</si>
  <si>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</si>
  <si>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</si>
  <si>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</si>
  <si>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</si>
  <si>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</si>
  <si>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</si>
  <si>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</si>
  <si>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</si>
  <si>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</si>
  <si>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</si>
  <si>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</si>
  <si>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</si>
  <si>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</si>
  <si>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</si>
  <si>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</si>
  <si>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</si>
  <si>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</si>
  <si>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</si>
  <si>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</si>
  <si>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</si>
  <si>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</si>
  <si>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</si>
  <si>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</si>
  <si>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</si>
  <si>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</si>
  <si>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</si>
  <si>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</si>
  <si>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</si>
  <si>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</si>
  <si>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</si>
  <si>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</si>
  <si>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</si>
  <si>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</si>
  <si>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</si>
  <si>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</si>
  <si>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</si>
  <si>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</si>
  <si>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</si>
  <si>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</si>
  <si>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</si>
  <si>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</si>
  <si>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</si>
  <si>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</si>
  <si>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</si>
  <si>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</si>
  <si>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</si>
  <si>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</si>
  <si>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</si>
  <si>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</si>
  <si>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</si>
  <si>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</si>
  <si>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</si>
  <si>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</si>
  <si>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</si>
  <si>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</si>
  <si>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</si>
  <si>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</si>
  <si>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</si>
  <si>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</si>
  <si>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</si>
  <si>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</si>
  <si>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</si>
  <si>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</si>
  <si>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</si>
  <si>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</si>
  <si>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</si>
  <si>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</si>
  <si>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</si>
  <si>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</si>
  <si>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</si>
  <si>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</si>
  <si>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</si>
  <si>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</si>
  <si>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</si>
  <si>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</si>
  <si>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</si>
  <si>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</si>
  <si>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</si>
  <si>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</si>
  <si>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</si>
  <si>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</si>
  <si>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</si>
  <si>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</si>
  <si>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</si>
  <si>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</si>
  <si>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</si>
  <si>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</si>
  <si>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</si>
  <si>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</si>
  <si>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</si>
  <si>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</si>
  <si>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</si>
  <si>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</si>
  <si>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</si>
  <si>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</si>
  <si>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</si>
  <si>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</si>
  <si>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</si>
  <si>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</si>
  <si>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</si>
  <si>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</si>
  <si>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</si>
  <si>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</si>
  <si>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</si>
  <si>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</si>
  <si>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</si>
  <si>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</si>
  <si>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</si>
  <si>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</si>
  <si>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</si>
  <si>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</si>
  <si>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</si>
  <si>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</si>
  <si>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</si>
  <si>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</si>
  <si>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</si>
  <si>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</si>
  <si>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</si>
  <si>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</si>
  <si>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</si>
  <si>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</si>
  <si>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</si>
  <si>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</si>
  <si>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</si>
  <si>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</si>
  <si>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</si>
  <si>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</si>
  <si>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</si>
  <si>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</si>
  <si>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</si>
  <si>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</si>
  <si>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</si>
  <si>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</si>
  <si>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</si>
  <si>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</si>
  <si>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</si>
  <si>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</si>
  <si>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</si>
  <si>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</si>
  <si>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</si>
  <si>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</si>
  <si>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</si>
  <si>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</si>
  <si>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</si>
  <si>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</si>
  <si>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</si>
  <si>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</si>
  <si>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</si>
  <si>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</si>
  <si>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</si>
  <si>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</si>
  <si>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</si>
  <si>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</si>
  <si>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</si>
  <si>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</si>
  <si>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</si>
  <si>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</si>
  <si>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</si>
  <si>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</si>
  <si>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</si>
  <si>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</si>
  <si>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</si>
  <si>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</si>
  <si>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</si>
  <si>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</si>
  <si>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</si>
  <si>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</si>
  <si>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</si>
  <si>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</si>
  <si>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</si>
  <si>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</si>
  <si>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</si>
  <si>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</si>
  <si>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</si>
  <si>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</si>
  <si>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</si>
  <si>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</si>
  <si>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</si>
  <si>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</si>
  <si>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</si>
  <si>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</si>
  <si>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</si>
  <si>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</si>
  <si>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</si>
  <si>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</si>
  <si>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</si>
  <si>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</si>
  <si>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</si>
  <si>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</si>
  <si>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</si>
  <si>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</si>
  <si>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</si>
  <si>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</si>
  <si>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</si>
  <si>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</si>
  <si>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</si>
  <si>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</si>
  <si>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</si>
  <si>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</si>
  <si>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</si>
  <si>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</si>
  <si>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</si>
  <si>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</si>
  <si>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</si>
  <si>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</si>
  <si>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</si>
  <si>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</si>
  <si>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</si>
  <si>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</si>
  <si>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</si>
  <si>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</si>
  <si>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</si>
  <si>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</si>
  <si>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</si>
  <si>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</si>
  <si>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</si>
  <si>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</si>
  <si>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</si>
  <si>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</si>
  <si>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</si>
  <si>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</si>
  <si>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</si>
  <si>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</si>
  <si>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</si>
  <si>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</si>
  <si>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</si>
  <si>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</si>
  <si>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</si>
  <si>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</si>
  <si>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</si>
  <si>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</si>
  <si>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</si>
  <si>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</si>
  <si>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</si>
  <si>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</si>
  <si>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</si>
  <si>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</si>
  <si>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</si>
  <si>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</si>
  <si>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</si>
  <si>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</si>
  <si>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</si>
  <si>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</si>
  <si>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</si>
  <si>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</si>
  <si>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</si>
  <si>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</si>
  <si>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</si>
  <si>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</si>
  <si>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</si>
  <si>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</si>
  <si>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</si>
  <si>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</si>
  <si>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</si>
  <si>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</si>
  <si>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</si>
  <si>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</si>
  <si>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</si>
  <si>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</si>
  <si>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</si>
  <si>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</si>
  <si>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</si>
  <si>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</si>
  <si>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</si>
  <si>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</si>
  <si>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</si>
  <si>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</si>
  <si>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</si>
  <si>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</si>
  <si>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</si>
  <si>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</si>
  <si>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</si>
  <si>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</si>
  <si>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</si>
  <si>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</si>
  <si>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</si>
  <si>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</si>
  <si>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</si>
  <si>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</si>
  <si>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</si>
  <si>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</si>
  <si>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</si>
  <si>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</si>
  <si>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</si>
  <si>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</si>
  <si>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</si>
  <si>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</si>
  <si>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</si>
  <si>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</si>
  <si>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</si>
  <si>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</si>
  <si>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</si>
  <si>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</si>
  <si>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</si>
  <si>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</si>
  <si>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</si>
  <si>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</si>
  <si>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</si>
  <si>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</si>
  <si>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</si>
  <si>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</si>
  <si>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</si>
  <si>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</si>
  <si>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</si>
  <si>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</si>
  <si>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</si>
  <si>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</si>
  <si>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</si>
  <si>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</si>
  <si>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</si>
  <si>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</si>
  <si>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</si>
  <si>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</si>
  <si>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</si>
  <si>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</si>
  <si>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</si>
  <si>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</si>
  <si>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</si>
  <si>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</si>
  <si>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</si>
  <si>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</si>
  <si>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</si>
  <si>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</si>
  <si>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</si>
  <si>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</si>
  <si>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</si>
  <si>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</si>
  <si>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</si>
  <si>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</si>
  <si>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</si>
  <si>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</si>
  <si>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</si>
  <si>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</si>
  <si>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</si>
  <si>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</si>
  <si>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</si>
  <si>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</si>
  <si>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</si>
  <si>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</si>
  <si>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</si>
  <si>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</si>
  <si>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</si>
  <si>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</si>
  <si>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</si>
  <si>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</si>
  <si>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</si>
  <si>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</si>
  <si>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</si>
  <si>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</si>
  <si>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</si>
  <si>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</si>
  <si>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</si>
  <si>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</si>
  <si>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</si>
  <si>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</si>
  <si>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</si>
  <si>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</si>
  <si>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</si>
  <si>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</si>
  <si>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</si>
  <si>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</si>
  <si>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</si>
  <si>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</si>
  <si>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</si>
  <si>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</si>
  <si>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</si>
  <si>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</si>
  <si>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</si>
  <si>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</si>
  <si>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</si>
  <si>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</si>
  <si>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</si>
  <si>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</si>
  <si>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</si>
  <si>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</si>
  <si>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</si>
  <si>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</si>
  <si>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</si>
  <si>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</si>
  <si>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</si>
  <si>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</si>
  <si>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</si>
  <si>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</si>
  <si>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</si>
  <si>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</si>
  <si>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</si>
  <si>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</si>
  <si>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</si>
  <si>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</si>
  <si>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</si>
  <si>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</si>
  <si>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</si>
  <si>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</si>
  <si>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</si>
  <si>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</si>
  <si>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</si>
  <si>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</si>
  <si>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</si>
  <si>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</si>
  <si>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</si>
  <si>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</si>
  <si>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</si>
  <si>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</si>
  <si>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</si>
  <si>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</si>
  <si>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</si>
  <si>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</si>
  <si>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</si>
  <si>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</si>
  <si>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</si>
  <si>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</si>
  <si>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</si>
  <si>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</si>
  <si>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</si>
  <si>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</si>
  <si>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</si>
  <si>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</si>
  <si>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</si>
  <si>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</si>
  <si>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</si>
  <si>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</si>
  <si>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</si>
  <si>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</si>
  <si>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</si>
  <si>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</si>
  <si>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</si>
  <si>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</si>
  <si>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</si>
  <si>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</si>
  <si>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</si>
  <si>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</si>
  <si>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</si>
  <si>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</si>
  <si>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</si>
  <si>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</si>
  <si>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</si>
  <si>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</si>
  <si>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</si>
  <si>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</si>
  <si>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</si>
  <si>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</si>
  <si>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</si>
  <si>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</si>
  <si>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</si>
  <si>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</si>
  <si>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</si>
  <si>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</si>
  <si>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</si>
  <si>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</si>
  <si>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</si>
  <si>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</si>
  <si>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</si>
  <si>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</si>
  <si>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</si>
  <si>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</si>
  <si>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</si>
  <si>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</si>
  <si>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</si>
  <si>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</si>
  <si>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</si>
  <si>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</si>
  <si>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</si>
  <si>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</si>
  <si>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</si>
  <si>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</si>
  <si>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</si>
  <si>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</si>
  <si>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</si>
  <si>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</si>
  <si>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</si>
  <si>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</si>
  <si>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</si>
  <si>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</si>
  <si>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</si>
  <si>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</si>
  <si>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</si>
  <si>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</si>
  <si>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</si>
  <si>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</si>
  <si>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</si>
  <si>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</si>
  <si>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</si>
  <si>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</si>
  <si>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</si>
  <si>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</si>
  <si>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</si>
  <si>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</si>
  <si>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</si>
  <si>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</si>
  <si>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</si>
  <si>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</si>
  <si>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</si>
  <si>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</si>
  <si>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</si>
  <si>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</si>
  <si>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</si>
  <si>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</si>
  <si>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</si>
  <si>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</si>
  <si>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</si>
  <si>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</si>
  <si>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</si>
  <si>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</si>
  <si>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</si>
  <si>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</si>
  <si>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</si>
  <si>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</si>
  <si>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</si>
  <si>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</si>
  <si>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</si>
  <si>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</si>
  <si>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</si>
  <si>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</si>
  <si>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</si>
  <si>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</si>
  <si>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</si>
  <si>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</si>
  <si>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</si>
  <si>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</si>
  <si>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</si>
  <si>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</si>
  <si>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</si>
  <si>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</si>
  <si>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</si>
  <si>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</si>
  <si>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</si>
  <si>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</si>
  <si>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</si>
  <si>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</si>
  <si>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</si>
  <si>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</si>
  <si>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</si>
  <si>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</si>
  <si>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</si>
  <si>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</si>
  <si>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</si>
  <si>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</si>
  <si>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</si>
  <si>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</si>
  <si>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</si>
  <si>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</si>
  <si>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</si>
  <si>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</si>
  <si>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</si>
  <si>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</si>
  <si>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</si>
  <si>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</si>
  <si>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</si>
  <si>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</si>
  <si>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</si>
  <si>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</si>
  <si>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</si>
  <si>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</si>
  <si>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</si>
  <si>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</si>
  <si>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</si>
  <si>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</si>
  <si>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</si>
  <si>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</si>
  <si>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</si>
  <si>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</si>
  <si>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</si>
  <si>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</si>
  <si>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</si>
  <si>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</si>
  <si>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</si>
  <si>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</si>
  <si>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</si>
  <si>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</si>
  <si>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</si>
  <si>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</si>
  <si>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</si>
  <si>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</si>
  <si>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</si>
  <si>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</si>
  <si>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</si>
  <si>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</si>
  <si>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</si>
  <si>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</si>
  <si>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</si>
  <si>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</si>
  <si>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</si>
  <si>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</si>
  <si>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</si>
  <si>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</si>
  <si>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</si>
  <si>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</si>
  <si>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</si>
  <si>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</si>
  <si>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</si>
  <si>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</si>
  <si>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</si>
  <si>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</si>
  <si>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</si>
  <si>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</si>
  <si>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</si>
  <si>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</si>
  <si>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</si>
  <si>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</si>
  <si>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</si>
  <si>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</si>
  <si>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</si>
  <si>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</si>
  <si>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</si>
  <si>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</si>
  <si>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</si>
  <si>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</si>
  <si>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</si>
  <si>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</si>
  <si>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</si>
  <si>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</si>
  <si>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</si>
  <si>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</si>
  <si>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</si>
  <si>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</si>
  <si>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</si>
  <si>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</si>
  <si>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</si>
  <si>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</si>
  <si>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</si>
  <si>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</si>
  <si>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</si>
  <si>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</si>
  <si>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</si>
  <si>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</si>
  <si>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</si>
  <si>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</si>
  <si>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</si>
  <si>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</si>
  <si>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</si>
  <si>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</si>
  <si>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</si>
  <si>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</si>
  <si>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</si>
  <si>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</si>
  <si>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</si>
  <si>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</si>
  <si>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</si>
  <si>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</si>
  <si>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</si>
  <si>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</si>
  <si>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</si>
  <si>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</si>
  <si>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</si>
  <si>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</si>
  <si>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</si>
  <si>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</si>
  <si>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</si>
  <si>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</si>
  <si>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</si>
  <si>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</si>
  <si>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</si>
  <si>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</si>
  <si>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</si>
  <si>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</si>
  <si>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</si>
  <si>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</si>
  <si>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</si>
  <si>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</si>
  <si>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</si>
  <si>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</si>
  <si>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</si>
  <si>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</si>
  <si>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</si>
  <si>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</si>
  <si>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</si>
  <si>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</si>
  <si>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</si>
  <si>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</si>
  <si>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</si>
  <si>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</si>
  <si>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</si>
  <si>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</si>
  <si>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</si>
  <si>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</si>
  <si>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</si>
  <si>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</si>
  <si>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</si>
  <si>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</si>
  <si>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</si>
  <si>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</si>
  <si>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</si>
  <si>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</si>
  <si>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</si>
  <si>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</si>
  <si>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</si>
  <si>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</si>
  <si>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</si>
  <si>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</si>
  <si>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</si>
  <si>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</si>
  <si>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</si>
  <si>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</si>
  <si>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</si>
  <si>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</si>
  <si>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</si>
  <si>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</si>
  <si>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</si>
  <si>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</si>
  <si>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</si>
  <si>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</si>
  <si>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</si>
  <si>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</si>
  <si>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</si>
  <si>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</si>
  <si>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</si>
  <si>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</si>
  <si>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</si>
  <si>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</si>
  <si>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</si>
  <si>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</si>
  <si>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</si>
  <si>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</si>
  <si>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</si>
  <si>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</si>
  <si>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</si>
  <si>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</si>
  <si>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</si>
  <si>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</si>
  <si>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</si>
  <si>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</si>
  <si>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</si>
  <si>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</si>
  <si>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</si>
  <si>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</si>
  <si>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</si>
  <si>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</si>
  <si>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</si>
  <si>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</si>
  <si>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</si>
  <si>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</si>
  <si>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</si>
  <si>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</si>
  <si>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</si>
  <si>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</si>
  <si>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</si>
  <si>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</si>
  <si>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</si>
  <si>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</si>
  <si>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</si>
  <si>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</si>
  <si>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</si>
  <si>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</si>
  <si>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</si>
  <si>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</si>
  <si>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</si>
  <si>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</si>
  <si>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</si>
  <si>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</si>
  <si>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</si>
  <si>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</si>
  <si>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</si>
  <si>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</si>
  <si>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</si>
  <si>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</si>
  <si>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</si>
  <si>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</si>
  <si>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</si>
  <si>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</si>
  <si>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</si>
  <si>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</si>
  <si>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</si>
  <si>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</si>
  <si>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</si>
  <si>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</si>
  <si>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</si>
  <si>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</si>
  <si>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</si>
  <si>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</si>
  <si>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</si>
  <si>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</si>
  <si>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</si>
  <si>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</si>
  <si>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</si>
  <si>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</si>
  <si>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</si>
  <si>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</si>
  <si>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</si>
  <si>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</si>
  <si>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</si>
  <si>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</si>
  <si>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</si>
  <si>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</si>
  <si>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</si>
  <si>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</si>
  <si>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</si>
  <si>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</si>
  <si>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</si>
  <si>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</si>
  <si>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</si>
  <si>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</si>
  <si>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</si>
  <si>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</si>
  <si>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</si>
  <si>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</si>
  <si>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</si>
  <si>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</si>
  <si>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</si>
  <si>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</si>
  <si>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</si>
  <si>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</si>
  <si>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</si>
  <si>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</si>
  <si>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</si>
  <si>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</si>
  <si>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</si>
  <si>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</si>
  <si>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</si>
  <si>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</si>
  <si>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</si>
  <si>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</si>
  <si>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</si>
  <si>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</si>
  <si>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</si>
  <si>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</si>
  <si>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</si>
  <si>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</si>
  <si>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</si>
  <si>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</si>
  <si>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</si>
  <si>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</si>
  <si>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</si>
  <si>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</si>
  <si>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</si>
  <si>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</si>
  <si>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</si>
  <si>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</si>
  <si>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</si>
  <si>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</si>
  <si>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</si>
  <si>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</si>
  <si>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</si>
  <si>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</si>
  <si>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</si>
  <si>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</si>
  <si>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</si>
  <si>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</si>
  <si>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</si>
  <si>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</si>
  <si>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</si>
  <si>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</si>
  <si>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</si>
  <si>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</si>
  <si>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</si>
  <si>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</si>
  <si>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</si>
  <si>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</si>
  <si>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</si>
  <si>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</si>
  <si>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</si>
  <si>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</si>
  <si>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</si>
  <si>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</si>
  <si>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</si>
  <si>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</si>
  <si>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</si>
  <si>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</si>
  <si>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</si>
  <si>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</si>
  <si>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</si>
  <si>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</si>
  <si>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</si>
  <si>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</si>
  <si>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</si>
  <si>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</si>
  <si>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</si>
  <si>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</si>
  <si>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</si>
  <si>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</si>
  <si>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</si>
  <si>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</si>
  <si>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</si>
  <si>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</si>
  <si>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</si>
  <si>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</si>
  <si>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</si>
  <si>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</si>
  <si>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</si>
  <si>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</si>
  <si>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</si>
  <si>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</si>
  <si>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</si>
  <si>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</si>
  <si>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</si>
  <si>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</si>
  <si>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</si>
  <si>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</si>
  <si>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</si>
  <si>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</si>
  <si>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</si>
  <si>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</si>
  <si>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</si>
  <si>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</si>
  <si>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</si>
  <si>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</si>
  <si>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</si>
  <si>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</si>
  <si>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</si>
  <si>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</si>
  <si>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</si>
  <si>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</si>
  <si>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</si>
  <si>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</si>
  <si>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</si>
  <si>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</si>
  <si>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</si>
  <si>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</si>
  <si>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</si>
  <si>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</si>
  <si>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</si>
  <si>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</si>
  <si>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</si>
  <si>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</si>
  <si>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</si>
  <si>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</si>
  <si>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</si>
  <si>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</si>
  <si>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</si>
  <si>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</si>
  <si>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</si>
  <si>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</si>
  <si>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</si>
  <si>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</si>
  <si>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</si>
  <si>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</si>
  <si>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</si>
  <si>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</si>
  <si>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</si>
  <si>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</si>
  <si>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</si>
  <si>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</si>
  <si>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</si>
  <si>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</si>
  <si>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</si>
  <si>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</si>
  <si>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</si>
  <si>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</si>
  <si>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</si>
  <si>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</si>
  <si>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</si>
  <si>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</si>
  <si>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</si>
  <si>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</si>
  <si>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</si>
  <si>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</si>
  <si>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</si>
  <si>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</si>
  <si>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</si>
  <si>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</si>
  <si>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</si>
  <si>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</si>
  <si>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</si>
  <si>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</si>
  <si>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</si>
  <si>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</si>
  <si>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</si>
  <si>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</si>
  <si>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</si>
  <si>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</si>
  <si>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</si>
  <si>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</si>
  <si>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</si>
  <si>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</si>
  <si>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</si>
  <si>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</si>
  <si>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</si>
  <si>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</si>
  <si>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</si>
  <si>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</si>
  <si>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</si>
  <si>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</si>
  <si>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</si>
  <si>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</si>
  <si>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</si>
  <si>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</si>
  <si>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</si>
  <si>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</si>
  <si>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</si>
  <si>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</si>
  <si>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</si>
  <si>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</si>
  <si>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</si>
  <si>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</si>
  <si>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</si>
  <si>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</si>
  <si>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</si>
  <si>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</si>
  <si>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</si>
  <si>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</si>
  <si>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</si>
  <si>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</si>
  <si>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</si>
  <si>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</si>
  <si>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</si>
  <si>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</si>
  <si>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</si>
  <si>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</si>
  <si>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</si>
  <si>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</si>
  <si>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</si>
  <si>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</si>
  <si>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</si>
  <si>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</si>
  <si>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</si>
  <si>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</si>
  <si>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</si>
  <si>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</si>
  <si>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</si>
  <si>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</si>
  <si>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</si>
  <si>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</si>
  <si>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</si>
  <si>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</si>
  <si>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</si>
  <si>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</si>
  <si>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</si>
  <si>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</si>
  <si>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</si>
  <si>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</si>
  <si>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</si>
  <si>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</si>
  <si>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</si>
  <si>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</si>
  <si>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</si>
  <si>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</si>
  <si>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</si>
  <si>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</si>
  <si>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</si>
  <si>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</si>
  <si>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</si>
  <si>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</si>
  <si>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</si>
  <si>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</si>
  <si>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</si>
  <si>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</si>
  <si>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</si>
  <si>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</si>
  <si>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</si>
  <si>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</si>
  <si>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</si>
  <si>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</si>
  <si>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</si>
  <si>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</si>
  <si>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</si>
  <si>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</si>
  <si>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</si>
  <si>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</si>
  <si>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</si>
  <si>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</si>
  <si>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</si>
  <si>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</si>
  <si>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</si>
  <si>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</si>
  <si>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</si>
  <si>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</si>
  <si>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</si>
  <si>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</si>
  <si>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</si>
  <si>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</si>
  <si>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</si>
  <si>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</si>
  <si>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</si>
  <si>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</si>
  <si>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</si>
  <si>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</si>
  <si>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</si>
  <si>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</si>
  <si>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</si>
  <si>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</si>
  <si>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</si>
  <si>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</si>
  <si>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</si>
  <si>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</si>
  <si>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</si>
  <si>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</si>
  <si>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</si>
  <si>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</si>
  <si>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</si>
  <si>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</si>
  <si>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</si>
  <si>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</si>
  <si>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</si>
  <si>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</si>
  <si>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</si>
  <si>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</si>
  <si>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</si>
  <si>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</si>
  <si>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</si>
  <si>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</si>
  <si>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</si>
  <si>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</si>
  <si>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</si>
  <si>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</si>
  <si>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</si>
  <si>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</si>
  <si>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</si>
  <si>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</si>
  <si>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</si>
  <si>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</si>
  <si>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</si>
  <si>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</si>
  <si>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</si>
  <si>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</si>
  <si>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</si>
  <si>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</si>
  <si>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</si>
  <si>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</si>
  <si>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</si>
  <si>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</si>
  <si>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</si>
  <si>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</si>
  <si>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</si>
  <si>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</si>
  <si>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</si>
  <si>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</si>
  <si>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</si>
  <si>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</si>
  <si>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</si>
  <si>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</si>
  <si>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</si>
  <si>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</si>
  <si>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</si>
  <si>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</si>
  <si>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</si>
  <si>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</si>
  <si>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</si>
  <si>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</si>
  <si>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</si>
  <si>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</si>
  <si>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</si>
  <si>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</si>
  <si>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</si>
  <si>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</si>
  <si>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</si>
  <si>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</si>
  <si>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</si>
  <si>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</si>
  <si>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</si>
  <si>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</si>
  <si>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</si>
  <si>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</si>
  <si>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</si>
  <si>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</si>
  <si>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</si>
  <si>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</si>
  <si>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</si>
  <si>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</si>
  <si>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</si>
  <si>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</si>
  <si>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</si>
  <si>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</si>
  <si>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</si>
  <si>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</si>
  <si>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</si>
  <si>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</si>
  <si>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</si>
  <si>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</si>
  <si>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</si>
  <si>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</si>
  <si>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</si>
  <si>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</si>
  <si>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</si>
  <si>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</si>
  <si>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</si>
  <si>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</si>
  <si>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</si>
  <si>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</si>
  <si>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</si>
  <si>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</si>
  <si>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</si>
  <si>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</si>
  <si>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</si>
  <si>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</si>
  <si>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</si>
  <si>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</si>
  <si>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</si>
  <si>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</si>
  <si>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</si>
  <si>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</si>
  <si>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</si>
  <si>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</si>
  <si>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</si>
  <si>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</si>
  <si>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</si>
  <si>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</si>
  <si>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</si>
  <si>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</si>
  <si>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</si>
  <si>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</si>
  <si>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</si>
  <si>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</si>
  <si>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</si>
  <si>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</si>
  <si>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</si>
  <si>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</si>
  <si>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</si>
  <si>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</si>
  <si>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</si>
  <si>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</si>
  <si>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</si>
  <si>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</si>
  <si>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</si>
  <si>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</si>
  <si>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</si>
  <si>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</si>
  <si>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</si>
  <si>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</si>
  <si>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</si>
  <si>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</si>
  <si>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</si>
  <si>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</si>
  <si>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</si>
  <si>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</si>
  <si>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</si>
  <si>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</si>
  <si>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</si>
  <si>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</si>
  <si>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</si>
  <si>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</si>
  <si>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</si>
  <si>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</si>
  <si>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</si>
  <si>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</si>
  <si>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</si>
  <si>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</si>
  <si>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</si>
  <si>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</si>
  <si>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</si>
  <si>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</si>
  <si>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</si>
  <si>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</si>
  <si>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</si>
  <si>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</si>
  <si>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</si>
  <si>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</si>
  <si>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</si>
  <si>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</si>
  <si>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</si>
  <si>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</si>
  <si>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</si>
  <si>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</si>
  <si>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</si>
  <si>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</si>
  <si>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</si>
  <si>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</si>
  <si>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</si>
  <si>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</si>
  <si>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</si>
  <si>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</si>
  <si>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</si>
  <si>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</si>
  <si>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</si>
  <si>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</si>
  <si>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</si>
  <si>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</si>
  <si>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</si>
  <si>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</si>
  <si>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</si>
  <si>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</si>
  <si>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</si>
  <si>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</si>
  <si>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</si>
  <si>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</si>
  <si>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</si>
  <si>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</si>
  <si>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</si>
  <si>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</si>
  <si>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</si>
  <si>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</si>
  <si>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</si>
  <si>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</si>
  <si>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</si>
  <si>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</si>
  <si>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</si>
  <si>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</si>
  <si>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</si>
  <si>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</si>
  <si>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</si>
  <si>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</si>
  <si>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</si>
  <si>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</si>
  <si>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</si>
  <si>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</si>
  <si>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</si>
  <si>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</si>
  <si>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</si>
  <si>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</si>
  <si>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</si>
  <si>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</si>
  <si>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</si>
  <si>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</si>
  <si>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</si>
  <si>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</si>
  <si>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</si>
  <si>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</si>
  <si>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</si>
  <si>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</si>
  <si>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</si>
  <si>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</si>
  <si>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</si>
  <si>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</si>
  <si>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</si>
  <si>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</si>
  <si>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</si>
  <si>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</si>
  <si>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</si>
  <si>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</si>
  <si>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</si>
  <si>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</si>
  <si>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</si>
  <si>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</si>
  <si>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</si>
  <si>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</si>
  <si>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</si>
  <si>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</si>
  <si>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</si>
  <si>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</si>
  <si>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</si>
  <si>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</si>
  <si>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</si>
  <si>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</si>
  <si>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</si>
  <si>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</si>
  <si>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</si>
  <si>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</si>
  <si>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</si>
  <si>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</si>
  <si>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</si>
  <si>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</si>
  <si>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</si>
  <si>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</si>
  <si>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</si>
  <si>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</si>
  <si>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</si>
  <si>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</si>
  <si>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</si>
  <si>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</si>
  <si>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</si>
  <si>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</si>
  <si>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</si>
  <si>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</si>
  <si>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</si>
  <si>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</si>
  <si>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</si>
  <si>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</si>
  <si>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</si>
  <si>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</si>
  <si>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</si>
  <si>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</si>
  <si>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</si>
  <si>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</si>
  <si>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</si>
  <si>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</si>
  <si>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</si>
  <si>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</si>
  <si>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</si>
  <si>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</si>
  <si>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</si>
  <si>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</si>
  <si>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</si>
  <si>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</si>
  <si>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</si>
  <si>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</si>
  <si>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</si>
  <si>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</si>
  <si>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</si>
  <si>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</si>
  <si>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</si>
  <si>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</si>
  <si>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</si>
  <si>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</si>
  <si>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</si>
  <si>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</si>
  <si>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</si>
  <si>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</si>
  <si>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</si>
  <si>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</si>
  <si>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</si>
  <si>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</si>
  <si>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</si>
  <si>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</si>
  <si>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</si>
  <si>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</si>
  <si>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</si>
  <si>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</si>
  <si>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</si>
  <si>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</si>
  <si>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</si>
  <si>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</si>
  <si>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</si>
  <si>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</si>
  <si>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</si>
  <si>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</si>
  <si>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</si>
  <si>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</si>
  <si>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</si>
  <si>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</si>
  <si>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</si>
  <si>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</si>
  <si>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</si>
  <si>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</si>
  <si>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</si>
  <si>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</si>
  <si>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</si>
  <si>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</si>
  <si>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</si>
  <si>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</si>
  <si>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</si>
  <si>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</si>
  <si>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</si>
  <si>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</si>
  <si>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</si>
  <si>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</si>
  <si>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</si>
  <si>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</si>
  <si>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</si>
  <si>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</si>
  <si>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</si>
  <si>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</si>
  <si>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</si>
  <si>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</si>
  <si>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</si>
  <si>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</si>
  <si>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</si>
  <si>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</si>
  <si>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</si>
  <si>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</si>
  <si>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</si>
  <si>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</si>
  <si>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</si>
  <si>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</si>
  <si>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</si>
  <si>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</si>
  <si>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</si>
  <si>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</si>
  <si>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</si>
  <si>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</si>
  <si>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</si>
  <si>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</si>
  <si>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</si>
  <si>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</si>
  <si>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</si>
  <si>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</si>
  <si>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</si>
  <si>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</si>
  <si>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</si>
  <si>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</si>
  <si>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</si>
  <si>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</si>
  <si>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</si>
  <si>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</si>
  <si>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</si>
  <si>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</si>
  <si>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</si>
  <si>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</si>
  <si>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</si>
  <si>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</si>
  <si>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</si>
  <si>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</si>
  <si>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</si>
  <si>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</si>
  <si>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</si>
  <si>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</si>
  <si>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</si>
  <si>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</si>
  <si>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</si>
  <si>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</si>
  <si>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</si>
  <si>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</si>
  <si>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</si>
  <si>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</si>
  <si>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</si>
  <si>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</si>
  <si>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</si>
  <si>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</si>
  <si>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</si>
  <si>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</si>
  <si>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</si>
  <si>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</si>
  <si>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</si>
  <si>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</si>
  <si>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</si>
  <si>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</si>
  <si>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</si>
  <si>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</si>
  <si>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</si>
  <si>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</si>
  <si>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</si>
  <si>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</si>
  <si>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</si>
  <si>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</si>
  <si>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</si>
  <si>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</si>
  <si>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</si>
  <si>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</si>
  <si>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</si>
  <si>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</si>
  <si>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</si>
  <si>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</si>
  <si>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</si>
  <si>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</si>
  <si>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</si>
  <si>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</si>
  <si>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</si>
  <si>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</si>
  <si>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</si>
  <si>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</si>
  <si>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</si>
  <si>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</si>
  <si>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</si>
  <si>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</si>
  <si>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</si>
  <si>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</si>
  <si>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</si>
  <si>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</si>
  <si>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</si>
  <si>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</si>
  <si>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</si>
  <si>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</si>
  <si>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</si>
  <si>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</si>
  <si>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</si>
  <si>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</si>
  <si>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</si>
  <si>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</si>
  <si>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</si>
  <si>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</si>
  <si>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</si>
  <si>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</si>
  <si>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</si>
  <si>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</si>
  <si>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</si>
  <si>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</si>
  <si>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</si>
  <si>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</si>
  <si>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</si>
  <si>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</si>
  <si>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</si>
  <si>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</si>
  <si>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</si>
  <si>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</si>
  <si>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</si>
  <si>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</si>
  <si>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</si>
  <si>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</si>
  <si>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</si>
  <si>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</si>
  <si>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</si>
  <si>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</si>
  <si>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</si>
  <si>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</si>
  <si>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</si>
  <si>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</si>
  <si>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</si>
  <si>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</si>
  <si>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</si>
  <si>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</si>
  <si>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</si>
  <si>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</si>
  <si>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</si>
  <si>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</si>
  <si>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</si>
  <si>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</si>
  <si>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</si>
  <si>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</si>
  <si>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</si>
  <si>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</si>
  <si>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</si>
  <si>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</si>
  <si>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</si>
  <si>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</si>
  <si>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</si>
  <si>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</si>
  <si>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</si>
  <si>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</si>
  <si>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</si>
  <si>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</si>
  <si>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</si>
  <si>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</si>
  <si>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</si>
  <si>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</si>
  <si>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</si>
  <si>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</si>
  <si>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</si>
  <si>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</si>
  <si>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</si>
  <si>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</si>
  <si>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</si>
  <si>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</si>
  <si>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</si>
  <si>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</si>
  <si>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</si>
  <si>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</si>
  <si>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</si>
  <si>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</si>
  <si>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</si>
  <si>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</si>
  <si>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</si>
  <si>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</si>
  <si>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</si>
  <si>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</si>
  <si>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</si>
  <si>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</si>
  <si>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</si>
  <si>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</si>
  <si>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</si>
  <si>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</si>
  <si>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</si>
  <si>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</si>
  <si>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</si>
  <si>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</si>
  <si>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</si>
  <si>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</si>
  <si>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</si>
  <si>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</si>
  <si>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</si>
  <si>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</si>
  <si>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</si>
  <si>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</si>
  <si>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</si>
  <si>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</si>
  <si>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</si>
  <si>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</si>
  <si>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</si>
  <si>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</si>
  <si>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</si>
  <si>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</si>
  <si>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</si>
  <si>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</si>
  <si>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</si>
  <si>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</si>
  <si>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</si>
  <si>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</si>
  <si>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</si>
  <si>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</si>
  <si>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</si>
  <si>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</si>
  <si>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</si>
  <si>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</si>
  <si>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</si>
  <si>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</si>
  <si>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</si>
  <si>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</si>
  <si>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</si>
  <si>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</si>
  <si>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</si>
  <si>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</si>
  <si>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</si>
  <si>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</si>
  <si>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</si>
  <si>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</si>
  <si>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</si>
  <si>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</si>
  <si>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</si>
  <si>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</si>
  <si>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</si>
  <si>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</si>
  <si>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</si>
  <si>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</si>
  <si>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</si>
  <si>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</si>
  <si>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</si>
  <si>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</si>
  <si>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</si>
  <si>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</si>
  <si>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</si>
  <si>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</si>
  <si>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</si>
  <si>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</si>
  <si>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</si>
  <si>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</si>
  <si>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</si>
  <si>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</si>
  <si>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</si>
  <si>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</si>
  <si>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</si>
  <si>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</si>
  <si>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</si>
  <si>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</si>
  <si>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</si>
  <si>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</si>
  <si>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</si>
  <si>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</si>
  <si>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</si>
  <si>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</si>
  <si>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</si>
  <si>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</si>
  <si>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</si>
  <si>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</si>
  <si>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</si>
  <si>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</si>
  <si>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</si>
  <si>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</si>
  <si>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</si>
  <si>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</si>
  <si>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</si>
  <si>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</si>
  <si>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</si>
  <si>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</si>
  <si>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</si>
  <si>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</si>
  <si>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</si>
  <si>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</si>
  <si>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</si>
  <si>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</si>
  <si>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</si>
  <si>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</si>
  <si>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</si>
  <si>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</si>
  <si>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</si>
  <si>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</si>
  <si>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</si>
  <si>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</si>
  <si>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</si>
  <si>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</si>
  <si>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</si>
  <si>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</si>
  <si>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</si>
  <si>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</si>
  <si>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</si>
  <si>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</si>
  <si>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</si>
  <si>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</si>
  <si>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</si>
  <si>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</si>
  <si>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</si>
  <si>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</si>
  <si>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</si>
  <si>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</si>
  <si>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</si>
  <si>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</si>
  <si>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</si>
  <si>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</si>
  <si>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</si>
  <si>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</si>
  <si>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</si>
  <si>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</si>
  <si>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</si>
  <si>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</si>
  <si>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</si>
  <si>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</si>
  <si>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</si>
  <si>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</si>
  <si>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</si>
  <si>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</si>
  <si>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</si>
  <si>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</si>
  <si>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</si>
  <si>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</si>
  <si>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</si>
  <si>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</si>
  <si>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</si>
  <si>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</si>
  <si>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</si>
  <si>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</si>
  <si>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</si>
  <si>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</si>
  <si>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</si>
  <si>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</si>
  <si>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</si>
  <si>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</si>
  <si>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</si>
  <si>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</si>
  <si>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</si>
  <si>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</si>
  <si>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</si>
  <si>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</si>
  <si>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</si>
  <si>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</si>
  <si>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</si>
  <si>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</si>
  <si>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</si>
  <si>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</si>
  <si>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</si>
  <si>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</si>
  <si>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</si>
  <si>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</si>
  <si>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</si>
  <si>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</si>
  <si>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</si>
  <si>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</si>
  <si>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</si>
  <si>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</si>
  <si>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</si>
  <si>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</si>
  <si>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</si>
  <si>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</si>
  <si>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</si>
  <si>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</si>
  <si>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</si>
  <si>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</si>
  <si>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</si>
  <si>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</si>
  <si>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</si>
  <si>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</si>
  <si>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</si>
  <si>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</si>
  <si>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</si>
  <si>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</si>
  <si>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</si>
  <si>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</si>
  <si>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</si>
  <si>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</si>
  <si>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</si>
  <si>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</si>
  <si>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</si>
  <si>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</si>
  <si>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</si>
  <si>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</si>
  <si>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</si>
  <si>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</si>
  <si>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</si>
  <si>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</si>
  <si>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</si>
  <si>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</si>
  <si>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</si>
  <si>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</si>
  <si>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</si>
  <si>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</si>
  <si>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</si>
  <si>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</si>
  <si>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</si>
  <si>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</si>
  <si>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</si>
  <si>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</si>
  <si>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</si>
  <si>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</si>
  <si>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</si>
  <si>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</si>
  <si>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</si>
  <si>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</si>
  <si>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</si>
  <si>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</si>
  <si>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</si>
  <si>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</si>
  <si>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</si>
  <si>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</si>
  <si>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</si>
  <si>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</si>
  <si>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</si>
  <si>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</si>
  <si>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</si>
  <si>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</si>
  <si>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</si>
  <si>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</si>
  <si>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</si>
  <si>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</si>
  <si>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</si>
  <si>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</si>
  <si>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</si>
  <si>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</si>
  <si>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</si>
  <si>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</si>
  <si>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</si>
  <si>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</si>
  <si>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</si>
  <si>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</si>
  <si>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</si>
  <si>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</si>
  <si>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</si>
  <si>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</si>
  <si>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</si>
  <si>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</si>
  <si>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</si>
  <si>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</si>
  <si>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</si>
  <si>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</si>
  <si>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</si>
  <si>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</si>
  <si>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</si>
  <si>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</si>
  <si>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</si>
  <si>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</si>
  <si>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</si>
  <si>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</si>
  <si>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</si>
  <si>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</si>
  <si>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</si>
  <si>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</si>
  <si>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</si>
  <si>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</si>
  <si>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</si>
  <si>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</si>
  <si>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</si>
  <si>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</si>
  <si>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</si>
  <si>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</si>
  <si>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</si>
  <si>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</si>
  <si>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</si>
  <si>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</si>
  <si>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</si>
  <si>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</si>
  <si>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</si>
  <si>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</si>
  <si>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</si>
  <si>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</si>
  <si>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</si>
  <si>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</si>
  <si>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</si>
  <si>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</si>
  <si>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</si>
  <si>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</si>
  <si>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</si>
  <si>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</si>
  <si>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</si>
  <si>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</si>
  <si>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</si>
  <si>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</si>
  <si>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</si>
  <si>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</si>
  <si>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</si>
  <si>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</si>
  <si>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</si>
  <si>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</si>
  <si>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</si>
  <si>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</si>
  <si>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</si>
  <si>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</si>
  <si>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</si>
  <si>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</si>
  <si>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</si>
  <si>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</si>
  <si>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</si>
  <si>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</si>
  <si>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</si>
  <si>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</si>
  <si>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</si>
  <si>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</si>
  <si>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</si>
  <si>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</si>
  <si>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</si>
  <si>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</si>
  <si>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</si>
  <si>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</si>
  <si>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</si>
  <si>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</si>
  <si>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</si>
  <si>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</si>
  <si>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</si>
  <si>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</si>
  <si>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</si>
  <si>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</si>
  <si>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</si>
  <si>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</si>
  <si>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</si>
  <si>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</si>
  <si>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</si>
  <si>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</si>
  <si>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</si>
  <si>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</si>
  <si>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</si>
  <si>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</si>
  <si>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</si>
  <si>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</si>
  <si>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</si>
  <si>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</si>
  <si>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</si>
  <si>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</si>
  <si>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</si>
  <si>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</si>
  <si>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</si>
  <si>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</si>
  <si>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</si>
  <si>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</si>
  <si>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</si>
  <si>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</si>
  <si>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</si>
  <si>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</si>
  <si>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</si>
  <si>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</si>
  <si>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</si>
  <si>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</si>
  <si>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</si>
  <si>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</si>
  <si>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</si>
  <si>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</si>
  <si>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</si>
  <si>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</si>
  <si>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</si>
  <si>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</si>
  <si>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</si>
  <si>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</si>
  <si>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</si>
  <si>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</si>
  <si>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</si>
  <si>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</si>
  <si>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</si>
  <si>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</si>
  <si>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</si>
  <si>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</si>
  <si>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</si>
  <si>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</si>
  <si>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</si>
  <si>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</si>
  <si>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</si>
  <si>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</si>
  <si>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</si>
  <si>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</si>
  <si>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</si>
  <si>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</si>
  <si>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</si>
  <si>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</si>
  <si>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</si>
  <si>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</si>
  <si>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</si>
  <si>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</si>
  <si>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</si>
  <si>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</si>
  <si>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</si>
  <si>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</si>
  <si>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</si>
  <si>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</si>
  <si>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</si>
  <si>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</si>
  <si>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</si>
  <si>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</si>
  <si>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</si>
  <si>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</si>
  <si>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</si>
  <si>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</si>
  <si>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</si>
  <si>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</si>
  <si>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</si>
  <si>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</si>
  <si>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</si>
  <si>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</si>
  <si>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</si>
  <si>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</si>
  <si>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</si>
  <si>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</si>
  <si>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</si>
  <si>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</si>
  <si>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</si>
  <si>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</si>
  <si>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</si>
  <si>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</si>
  <si>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</si>
  <si>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</si>
  <si>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</si>
  <si>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</si>
  <si>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</si>
  <si>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</si>
  <si>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</si>
  <si>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</si>
  <si>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</si>
  <si>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</si>
  <si>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</si>
  <si>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</si>
  <si>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</si>
  <si>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</si>
  <si>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</si>
  <si>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</si>
  <si>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</si>
  <si>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</si>
  <si>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</si>
  <si>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</si>
  <si>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</si>
  <si>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</si>
  <si>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</si>
  <si>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</si>
  <si>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</si>
  <si>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</si>
  <si>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</si>
  <si>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</si>
  <si>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</si>
  <si>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</si>
  <si>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</si>
  <si>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</si>
  <si>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</si>
  <si>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</si>
  <si>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</si>
  <si>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</si>
  <si>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</si>
  <si>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</si>
  <si>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</si>
  <si>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</si>
  <si>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</si>
  <si>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</si>
  <si>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</si>
  <si>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</si>
  <si>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</si>
  <si>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</si>
  <si>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</si>
  <si>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</si>
  <si>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</si>
  <si>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</si>
  <si>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</si>
  <si>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</si>
  <si>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</si>
  <si>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</si>
  <si>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</si>
  <si>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</si>
  <si>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</si>
  <si>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</si>
  <si>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</si>
  <si>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</si>
  <si>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</si>
  <si>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</si>
  <si>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</si>
  <si>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</si>
  <si>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</si>
  <si>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</si>
  <si>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</si>
  <si>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</si>
  <si>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</si>
  <si>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</si>
  <si>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</si>
  <si>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</si>
  <si>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</si>
  <si>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</si>
  <si>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</si>
  <si>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</si>
  <si>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</si>
  <si>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</si>
  <si>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</si>
  <si>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</si>
  <si>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</si>
  <si>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</si>
  <si>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</si>
  <si>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</si>
  <si>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</si>
  <si>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</si>
  <si>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</si>
  <si>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</si>
  <si>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</si>
  <si>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</si>
  <si>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</si>
  <si>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</si>
  <si>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</si>
  <si>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</si>
  <si>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</si>
  <si>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</si>
  <si>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</si>
  <si>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</si>
  <si>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</si>
  <si>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</si>
  <si>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</si>
  <si>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</si>
  <si>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</si>
  <si>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</si>
  <si>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</si>
  <si>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</si>
  <si>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</si>
  <si>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</si>
  <si>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</si>
  <si>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</si>
  <si>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</si>
  <si>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</si>
  <si>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</si>
  <si>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</si>
  <si>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</si>
  <si>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</si>
  <si>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</si>
  <si>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</si>
  <si>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</si>
  <si>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</si>
  <si>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</si>
  <si>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</si>
  <si>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</si>
  <si>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</si>
  <si>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</si>
  <si>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</si>
  <si>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</si>
  <si>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</si>
  <si>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</si>
  <si>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</si>
  <si>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</si>
  <si>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</si>
  <si>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</si>
  <si>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</si>
  <si>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</si>
  <si>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</si>
  <si>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</si>
  <si>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</si>
  <si>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</si>
  <si>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</si>
  <si>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</si>
  <si>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</si>
  <si>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</si>
  <si>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</si>
  <si>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</si>
  <si>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</si>
  <si>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</si>
  <si>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</si>
  <si>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</si>
  <si>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</si>
  <si>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</si>
  <si>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</si>
  <si>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</si>
  <si>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</si>
  <si>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</si>
  <si>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</si>
  <si>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</si>
  <si>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</si>
  <si>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</si>
  <si>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</si>
  <si>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</si>
  <si>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</si>
  <si>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</si>
  <si>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</si>
  <si>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</si>
  <si>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</si>
  <si>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</si>
  <si>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</si>
  <si>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</si>
  <si>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</si>
  <si>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</si>
  <si>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</si>
  <si>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</si>
  <si>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</si>
  <si>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</si>
  <si>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</si>
  <si>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</si>
  <si>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</si>
  <si>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</si>
  <si>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</si>
  <si>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</si>
  <si>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</si>
  <si>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</si>
  <si>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</si>
  <si>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</si>
  <si>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</si>
  <si>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</si>
  <si>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</si>
  <si>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</si>
  <si>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</si>
  <si>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</si>
  <si>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</si>
  <si>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</si>
  <si>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</si>
  <si>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</si>
  <si>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</si>
  <si>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</si>
  <si>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</si>
  <si>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</si>
  <si>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</si>
  <si>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</si>
  <si>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</si>
  <si>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</si>
  <si>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</si>
  <si>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</si>
  <si>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</si>
  <si>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</si>
  <si>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</si>
  <si>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</si>
  <si>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</si>
  <si>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</si>
  <si>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</si>
  <si>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</si>
  <si>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</si>
  <si>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</si>
  <si>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</si>
  <si>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</si>
  <si>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</si>
  <si>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</si>
  <si>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</si>
  <si>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</si>
  <si>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</si>
  <si>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</si>
  <si>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</si>
  <si>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</si>
  <si>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</si>
  <si>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</si>
  <si>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</si>
  <si>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</si>
  <si>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</si>
  <si>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</si>
  <si>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</si>
  <si>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</si>
  <si>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</si>
  <si>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</si>
  <si>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</si>
  <si>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</si>
  <si>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</si>
  <si>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</si>
  <si>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</si>
  <si>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</si>
  <si>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</si>
  <si>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</si>
  <si>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</si>
  <si>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</si>
  <si>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</si>
  <si>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</si>
  <si>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</si>
  <si>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</si>
  <si>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</si>
  <si>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</si>
  <si>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</si>
  <si>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</si>
  <si>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</si>
  <si>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</si>
  <si>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</si>
  <si>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</si>
  <si>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</si>
  <si>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</si>
  <si>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</si>
  <si>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</si>
  <si>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</si>
  <si>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</si>
  <si>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</si>
  <si>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</si>
  <si>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</si>
  <si>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</si>
  <si>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</si>
  <si>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</si>
  <si>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</si>
  <si>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</si>
  <si>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</si>
  <si>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</si>
  <si>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</si>
  <si>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</si>
  <si>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</si>
  <si>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</si>
  <si>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</si>
  <si>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</si>
  <si>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</si>
  <si>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</si>
  <si>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</si>
  <si>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</si>
  <si>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</si>
  <si>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</si>
  <si>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</si>
  <si>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</si>
  <si>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</si>
  <si>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</si>
  <si>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</si>
  <si>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</si>
  <si>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</si>
  <si>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</si>
  <si>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</si>
  <si>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</si>
  <si>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</si>
  <si>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</si>
  <si>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</si>
  <si>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</si>
  <si>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</si>
  <si>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</si>
  <si>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</si>
  <si>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</si>
  <si>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</si>
  <si>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</si>
  <si>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</si>
  <si>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</si>
  <si>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</si>
  <si>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</si>
  <si>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</si>
  <si>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</si>
  <si>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</si>
  <si>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</si>
  <si>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</si>
  <si>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</si>
  <si>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</si>
  <si>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</si>
  <si>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</si>
  <si>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</si>
  <si>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</si>
  <si>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</si>
  <si>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</si>
  <si>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</si>
  <si>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</si>
  <si>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</si>
  <si>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</si>
  <si>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</si>
  <si>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</si>
  <si>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</si>
  <si>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</si>
  <si>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</si>
  <si>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</si>
  <si>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</si>
  <si>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</si>
  <si>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</si>
  <si>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</si>
  <si>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</si>
  <si>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</si>
  <si>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</si>
  <si>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</si>
  <si>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</si>
  <si>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</si>
  <si>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</si>
  <si>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</si>
  <si>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</si>
  <si>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</si>
  <si>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</si>
  <si>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</si>
  <si>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</si>
  <si>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</si>
  <si>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</si>
  <si>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</si>
  <si>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</si>
  <si>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</si>
  <si>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</si>
  <si>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</si>
  <si>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</si>
  <si>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</si>
  <si>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</si>
  <si>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</si>
  <si>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</si>
  <si>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</si>
  <si>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</si>
  <si>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</si>
  <si>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</si>
  <si>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</si>
  <si>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</si>
  <si>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</si>
  <si>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</si>
  <si>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</si>
  <si>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</si>
  <si>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</si>
  <si>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</si>
  <si>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</si>
  <si>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</si>
  <si>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</si>
  <si>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</si>
  <si>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</si>
  <si>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</si>
  <si>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</si>
  <si>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</si>
  <si>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</si>
  <si>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</si>
  <si>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</si>
  <si>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</si>
  <si>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</si>
  <si>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</si>
  <si>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</si>
  <si>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</si>
  <si>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</si>
  <si>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</si>
  <si>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</si>
  <si>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</si>
  <si>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</si>
  <si>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</si>
  <si>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</si>
  <si>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</si>
  <si>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</si>
  <si>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</si>
  <si>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</si>
  <si>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</si>
  <si>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</si>
  <si>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</si>
  <si>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</si>
  <si>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</si>
  <si>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</si>
  <si>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</si>
  <si>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</si>
  <si>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</si>
  <si>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</si>
  <si>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</si>
  <si>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</si>
  <si>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</si>
  <si>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</si>
  <si>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</si>
  <si>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</si>
  <si>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</si>
  <si>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</si>
  <si>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</si>
  <si>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</si>
  <si>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</si>
  <si>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</si>
  <si>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</si>
  <si>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</si>
  <si>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</si>
  <si>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</si>
  <si>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</si>
  <si>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</si>
  <si>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</si>
  <si>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</si>
  <si>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</si>
  <si>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</si>
  <si>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</si>
  <si>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</si>
  <si>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</si>
  <si>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</si>
  <si>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</si>
  <si>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</si>
  <si>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</si>
  <si>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</si>
  <si>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</si>
  <si>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</si>
  <si>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</si>
  <si>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</si>
  <si>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</si>
  <si>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</si>
  <si>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</si>
  <si>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</si>
  <si>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</si>
  <si>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</si>
  <si>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</si>
  <si>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</si>
  <si>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</si>
  <si>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</si>
  <si>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</si>
  <si>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</si>
  <si>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</si>
  <si>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</si>
  <si>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</si>
  <si>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</si>
  <si>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</si>
  <si>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</si>
  <si>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</si>
  <si>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</si>
  <si>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</si>
  <si>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</si>
  <si>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</si>
  <si>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</si>
  <si>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</si>
  <si>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</si>
  <si>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</si>
  <si>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</si>
  <si>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</si>
  <si>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</si>
  <si>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</si>
  <si>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</si>
  <si>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</si>
  <si>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</si>
  <si>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</si>
  <si>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</si>
  <si>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</si>
  <si>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</si>
  <si>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</si>
  <si>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</si>
  <si>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</si>
  <si>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</si>
  <si>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</si>
  <si>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</si>
  <si>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</si>
  <si>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</si>
  <si>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</si>
  <si>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</si>
  <si>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</si>
  <si>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</si>
  <si>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</si>
  <si>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</si>
  <si>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</si>
  <si>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</si>
  <si>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</si>
  <si>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</si>
  <si>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</si>
  <si>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</si>
  <si>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</si>
  <si>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</si>
  <si>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</si>
  <si>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</si>
  <si>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</si>
  <si>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</si>
  <si>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</si>
  <si>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</si>
  <si>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</si>
  <si>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</si>
  <si>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</si>
  <si>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</si>
  <si>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</si>
  <si>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</si>
  <si>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</si>
  <si>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</si>
  <si>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</si>
  <si>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</si>
  <si>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</si>
  <si>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</si>
  <si>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</si>
  <si>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</si>
  <si>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</si>
  <si>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</si>
  <si>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</si>
  <si>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</si>
  <si>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</si>
  <si>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</si>
  <si>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</si>
  <si>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</si>
  <si>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</si>
  <si>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</si>
  <si>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</si>
  <si>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</si>
  <si>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</si>
  <si>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</si>
  <si>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</si>
  <si>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</si>
  <si>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</si>
  <si>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</si>
  <si>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</si>
  <si>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</si>
  <si>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</si>
  <si>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</si>
  <si>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</si>
  <si>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</si>
  <si>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</si>
  <si>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</si>
  <si>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</si>
  <si>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</si>
  <si>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</si>
  <si>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</si>
  <si>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</si>
  <si>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</si>
  <si>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</si>
  <si>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</si>
  <si>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</si>
  <si>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</si>
  <si>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</si>
  <si>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</si>
  <si>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</si>
  <si>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</si>
  <si>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</si>
  <si>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</si>
  <si>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</si>
  <si>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</si>
  <si>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</si>
  <si>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</si>
  <si>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</si>
  <si>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</si>
  <si>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</si>
  <si>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</si>
  <si>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</si>
  <si>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</si>
  <si>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</si>
  <si>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</si>
  <si>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</si>
  <si>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</si>
  <si>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</si>
  <si>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</si>
  <si>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</si>
  <si>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</si>
  <si>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</si>
  <si>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</si>
  <si>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</si>
  <si>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</si>
  <si>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</si>
  <si>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</si>
  <si>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</si>
  <si>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</si>
  <si>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</si>
  <si>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</si>
  <si>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</si>
  <si>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</si>
  <si>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</si>
  <si>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</si>
  <si>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</si>
  <si>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</si>
  <si>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</si>
  <si>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</si>
  <si>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</si>
  <si>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</si>
  <si>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</si>
  <si>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</si>
  <si>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</si>
  <si>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</si>
  <si>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</si>
  <si>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</si>
  <si>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</si>
  <si>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</si>
  <si>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</si>
  <si>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</si>
  <si>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</si>
  <si>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</si>
  <si>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</si>
  <si>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</si>
  <si>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</si>
  <si>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</si>
  <si>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</si>
  <si>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</si>
  <si>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</si>
  <si>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</si>
  <si>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</si>
  <si>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</si>
  <si>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</si>
  <si>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</si>
  <si>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</si>
  <si>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</si>
  <si>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</si>
  <si>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</si>
  <si>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</si>
  <si>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</si>
  <si>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</si>
  <si>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</si>
  <si>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</si>
  <si>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</si>
  <si>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</si>
  <si>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</si>
  <si>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</si>
  <si>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</si>
  <si>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</si>
  <si>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</si>
  <si>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</si>
  <si>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</si>
  <si>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</si>
  <si>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</si>
  <si>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</si>
  <si>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</si>
  <si>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</si>
  <si>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</si>
  <si>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</si>
  <si>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</si>
  <si>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</si>
  <si>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</si>
  <si>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</si>
  <si>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</si>
  <si>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</si>
  <si>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</si>
  <si>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</si>
  <si>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</si>
  <si>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</si>
  <si>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</si>
  <si>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</si>
  <si>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</si>
  <si>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</si>
  <si>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</si>
  <si>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</si>
  <si>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</si>
  <si>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</si>
  <si>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</si>
  <si>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</si>
  <si>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</si>
  <si>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</si>
  <si>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</si>
  <si>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</si>
  <si>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</si>
  <si>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</si>
  <si>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</si>
  <si>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</si>
  <si>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</si>
  <si>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</si>
  <si>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</si>
  <si>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</si>
  <si>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</si>
  <si>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</si>
  <si>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</si>
  <si>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</si>
  <si>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</si>
  <si>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</si>
  <si>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</si>
  <si>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</si>
  <si>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</si>
  <si>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</si>
  <si>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</si>
  <si>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</si>
  <si>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</si>
  <si>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</si>
  <si>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</si>
  <si>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</si>
  <si>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</si>
  <si>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</si>
  <si>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</si>
  <si>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</si>
  <si>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</si>
  <si>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</si>
  <si>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</si>
  <si>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</si>
  <si>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</si>
  <si>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</si>
  <si>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</si>
  <si>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</si>
  <si>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</si>
  <si>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</si>
  <si>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</si>
  <si>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</si>
  <si>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</si>
  <si>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</si>
  <si>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</si>
  <si>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</si>
  <si>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</si>
  <si>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</si>
  <si>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</si>
  <si>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</si>
  <si>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</si>
  <si>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</si>
  <si>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</si>
  <si>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</si>
  <si>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</si>
  <si>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</si>
  <si>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</si>
  <si>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</si>
  <si>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</si>
  <si>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</si>
  <si>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</si>
  <si>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</si>
  <si>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</si>
  <si>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</si>
  <si>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</si>
  <si>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</si>
  <si>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</si>
  <si>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</si>
  <si>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</si>
  <si>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</si>
  <si>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</si>
  <si>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</si>
  <si>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</si>
  <si>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</si>
  <si>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</si>
  <si>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</si>
  <si>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</si>
  <si>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</si>
  <si>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</si>
  <si>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</si>
  <si>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</si>
  <si>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</si>
  <si>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</si>
  <si>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</si>
  <si>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</si>
  <si>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</si>
  <si>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</si>
  <si>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</si>
  <si>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</si>
  <si>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</si>
  <si>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</si>
  <si>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</si>
  <si>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</si>
  <si>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</si>
  <si>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</si>
  <si>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</si>
  <si>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</si>
  <si>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</si>
  <si>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</si>
  <si>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</si>
  <si>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</si>
  <si>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</si>
  <si>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</si>
  <si>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</si>
  <si>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</si>
  <si>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</si>
  <si>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</si>
  <si>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</si>
  <si>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</si>
  <si>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</si>
  <si>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</si>
  <si>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</si>
  <si>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</si>
  <si>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</si>
  <si>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</si>
  <si>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</si>
  <si>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</si>
  <si>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</si>
  <si>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</si>
  <si>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</si>
  <si>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</si>
  <si>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</si>
  <si>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</si>
  <si>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</si>
  <si>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</si>
  <si>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</si>
  <si>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</si>
  <si>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</si>
  <si>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</si>
  <si>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</si>
  <si>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</si>
  <si>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</si>
  <si>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</si>
  <si>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</si>
  <si>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</si>
  <si>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</si>
  <si>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</si>
  <si>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</si>
  <si>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</si>
  <si>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</si>
  <si>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</si>
  <si>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</si>
  <si>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</si>
  <si>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</si>
  <si>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</si>
  <si>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</si>
  <si>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</si>
  <si>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</si>
  <si>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</si>
  <si>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</si>
  <si>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</si>
  <si>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</si>
  <si>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</si>
  <si>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</si>
  <si>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</si>
  <si>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</si>
  <si>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</si>
  <si>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</si>
  <si>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</si>
  <si>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</si>
  <si>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</si>
  <si>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</si>
  <si>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</si>
  <si>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</si>
  <si>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</si>
  <si>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</si>
  <si>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</si>
  <si>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</si>
  <si>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</si>
  <si>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</si>
  <si>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</si>
  <si>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</si>
  <si>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</si>
  <si>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</si>
  <si>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</si>
  <si>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</si>
  <si>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</si>
  <si>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</si>
  <si>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</si>
  <si>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</si>
  <si>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</si>
  <si>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</si>
  <si>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</si>
  <si>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</si>
  <si>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</si>
  <si>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</si>
  <si>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</si>
  <si>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</si>
  <si>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</si>
  <si>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</si>
  <si>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</si>
  <si>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</si>
  <si>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</si>
  <si>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</si>
  <si>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</si>
  <si>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</si>
  <si>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</si>
  <si>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</si>
  <si>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</si>
  <si>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</si>
  <si>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</si>
  <si>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</si>
  <si>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</si>
  <si>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</si>
  <si>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</si>
  <si>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</si>
  <si>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</si>
  <si>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</si>
  <si>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</si>
  <si>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</si>
  <si>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</si>
  <si>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</si>
  <si>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</si>
  <si>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</si>
  <si>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</si>
  <si>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</si>
  <si>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</si>
  <si>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</si>
  <si>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</si>
  <si>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</si>
  <si>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</si>
  <si>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</si>
  <si>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</si>
  <si>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</si>
  <si>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</si>
  <si>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</si>
  <si>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</si>
  <si>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</si>
  <si>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</si>
  <si>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</si>
  <si>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</si>
  <si>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</si>
  <si>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</si>
  <si>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</si>
  <si>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</si>
  <si>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</si>
  <si>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</si>
  <si>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</si>
  <si>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</si>
  <si>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</si>
  <si>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</si>
  <si>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</si>
  <si>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</si>
  <si>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</si>
  <si>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</si>
  <si>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</si>
  <si>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</si>
  <si>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</si>
  <si>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</si>
  <si>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</si>
  <si>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</si>
  <si>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</si>
  <si>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</si>
  <si>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</si>
  <si>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</si>
  <si>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</si>
  <si>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</si>
  <si>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</si>
  <si>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</si>
  <si>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</si>
  <si>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</si>
  <si>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</si>
  <si>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</si>
  <si>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</si>
  <si>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</si>
  <si>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</si>
  <si>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</si>
  <si>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</si>
  <si>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</si>
  <si>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</si>
  <si>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</si>
  <si>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</si>
  <si>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</si>
  <si>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</si>
  <si>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</si>
  <si>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</si>
  <si>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</si>
  <si>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</si>
  <si>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</si>
  <si>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</si>
  <si>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</si>
  <si>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</si>
  <si>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</si>
  <si>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</si>
  <si>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</si>
  <si>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</si>
  <si>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</si>
  <si>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</si>
  <si>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</si>
  <si>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</si>
  <si>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</si>
  <si>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</si>
  <si>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</si>
  <si>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</si>
  <si>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</si>
  <si>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</si>
  <si>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</si>
  <si>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</si>
  <si>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</si>
  <si>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</si>
  <si>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</si>
  <si>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</si>
  <si>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</si>
  <si>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</si>
  <si>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</si>
  <si>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</si>
  <si>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</si>
  <si>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</si>
  <si>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</si>
  <si>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</si>
  <si>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</si>
  <si>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</si>
  <si>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</si>
  <si>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</si>
  <si>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</si>
  <si>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</si>
  <si>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</si>
  <si>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</si>
  <si>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</si>
  <si>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</si>
  <si>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</si>
  <si>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</si>
  <si>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</si>
  <si>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</si>
  <si>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</si>
  <si>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</si>
  <si>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</si>
  <si>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</si>
  <si>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</si>
  <si>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</si>
  <si>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</si>
  <si>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</si>
  <si>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</si>
  <si>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</si>
  <si>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</si>
  <si>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</si>
  <si>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</si>
  <si>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</si>
  <si>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</si>
  <si>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</si>
  <si>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</si>
  <si>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</si>
  <si>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</si>
  <si>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</si>
  <si>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</si>
  <si>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</si>
  <si>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</si>
  <si>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</si>
  <si>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</si>
  <si>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</si>
  <si>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</si>
  <si>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</si>
  <si>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</si>
  <si>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</si>
  <si>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</si>
  <si>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</si>
  <si>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</si>
  <si>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</si>
  <si>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</si>
  <si>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</si>
  <si>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</si>
  <si>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</si>
  <si>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</si>
  <si>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</si>
  <si>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</si>
  <si>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</si>
  <si>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</si>
  <si>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</si>
  <si>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</si>
  <si>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</si>
  <si>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</si>
  <si>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</si>
  <si>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</si>
  <si>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</si>
  <si>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</si>
  <si>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</si>
  <si>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</si>
  <si>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</si>
  <si>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</si>
  <si>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</si>
  <si>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</si>
  <si>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</si>
  <si>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</si>
  <si>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</si>
  <si>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</si>
  <si>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</si>
  <si>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</si>
  <si>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</si>
  <si>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</si>
  <si>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</si>
  <si>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</si>
  <si>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</si>
  <si>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</si>
  <si>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</si>
  <si>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</si>
  <si>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</si>
  <si>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</si>
  <si>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</si>
  <si>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</si>
  <si>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</si>
  <si>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</si>
  <si>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</si>
  <si>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</si>
  <si>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</si>
  <si>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</si>
  <si>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</si>
  <si>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</si>
  <si>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</si>
  <si>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</si>
  <si>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</si>
  <si>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</si>
  <si>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</si>
  <si>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</si>
  <si>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</si>
  <si>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</si>
  <si>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</si>
  <si>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</si>
  <si>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</si>
  <si>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</si>
  <si>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</si>
  <si>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</si>
  <si>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</si>
  <si>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</si>
  <si>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</si>
  <si>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</si>
  <si>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</si>
  <si>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</si>
  <si>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</si>
  <si>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</si>
  <si>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</si>
  <si>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</si>
  <si>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</si>
  <si>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</si>
  <si>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</si>
  <si>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</si>
  <si>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</si>
  <si>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</si>
  <si>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</si>
  <si>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</si>
  <si>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</si>
  <si>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</si>
  <si>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</si>
  <si>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</si>
  <si>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</si>
  <si>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</si>
  <si>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</si>
  <si>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</si>
  <si>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</si>
  <si>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</si>
  <si>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</si>
  <si>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</si>
  <si>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</si>
  <si>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</si>
  <si>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</si>
  <si>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</si>
  <si>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</si>
  <si>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</si>
  <si>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</si>
  <si>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</si>
  <si>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</si>
  <si>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</si>
  <si>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</si>
  <si>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</si>
  <si>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</si>
  <si>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</si>
  <si>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</si>
  <si>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</si>
  <si>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</si>
  <si>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</si>
  <si>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</si>
  <si>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</si>
  <si>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</si>
  <si>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</si>
  <si>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</si>
  <si>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</si>
  <si>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</si>
  <si>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</si>
  <si>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</si>
  <si>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</si>
  <si>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</si>
  <si>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</si>
  <si>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</si>
  <si>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</si>
  <si>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</si>
  <si>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</si>
  <si>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</si>
  <si>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</si>
  <si>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</si>
  <si>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</si>
  <si>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</si>
  <si>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</si>
  <si>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</si>
  <si>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</si>
  <si>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</si>
  <si>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</si>
  <si>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</si>
  <si>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</si>
  <si>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</si>
  <si>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</si>
  <si>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</si>
  <si>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</si>
  <si>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</si>
  <si>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</si>
  <si>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</si>
  <si>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</si>
  <si>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</si>
  <si>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</si>
  <si>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</si>
  <si>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</si>
  <si>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</si>
  <si>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</si>
  <si>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</si>
  <si>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</si>
  <si>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</si>
  <si>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</si>
  <si>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</si>
  <si>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</si>
  <si>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</si>
  <si>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</si>
  <si>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</si>
  <si>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</si>
  <si>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</si>
  <si>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</si>
  <si>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</si>
  <si>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</si>
  <si>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</si>
  <si>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</si>
  <si>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</si>
  <si>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</si>
  <si>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</si>
  <si>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</si>
  <si>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</si>
  <si>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</si>
  <si>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</si>
  <si>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</si>
  <si>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</si>
  <si>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</si>
  <si>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</si>
  <si>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</si>
  <si>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</si>
  <si>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</si>
  <si>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</si>
  <si>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</si>
  <si>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</si>
  <si>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</si>
  <si>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</si>
  <si>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</si>
  <si>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</si>
  <si>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</si>
  <si>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</si>
  <si>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</si>
  <si>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</si>
  <si>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</si>
  <si>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</si>
  <si>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</si>
  <si>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</si>
  <si>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</si>
  <si>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</si>
  <si>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</si>
  <si>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</si>
  <si>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</si>
  <si>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</si>
  <si>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</si>
  <si>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</si>
  <si>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</si>
  <si>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</si>
  <si>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</si>
  <si>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</si>
  <si>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</si>
  <si>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</si>
  <si>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</si>
  <si>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</si>
  <si>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</si>
  <si>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</si>
  <si>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</si>
  <si>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</si>
  <si>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</si>
  <si>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</si>
  <si>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</si>
  <si>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</si>
  <si>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</si>
  <si>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</si>
  <si>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</si>
  <si>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</si>
  <si>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</si>
  <si>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</si>
  <si>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</si>
  <si>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</si>
  <si>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</si>
  <si>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</si>
  <si>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</si>
  <si>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</si>
  <si>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</si>
  <si>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</si>
  <si>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</si>
  <si>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</si>
  <si>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</si>
  <si>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</si>
  <si>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</si>
  <si>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</si>
  <si>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</si>
  <si>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</si>
  <si>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</si>
  <si>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</si>
  <si>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</si>
  <si>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</si>
  <si>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</si>
  <si>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</si>
  <si>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</si>
  <si>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</si>
  <si>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</si>
  <si>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</si>
  <si>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</si>
  <si>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</si>
  <si>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</si>
  <si>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</si>
  <si>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</si>
  <si>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</si>
  <si>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</si>
  <si>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</si>
  <si>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</si>
  <si>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</si>
  <si>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</si>
  <si>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</si>
  <si>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</si>
  <si>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</si>
  <si>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</si>
  <si>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</si>
  <si>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</si>
  <si>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</si>
  <si>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</si>
  <si>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</si>
  <si>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</si>
  <si>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</si>
  <si>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</si>
  <si>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</si>
  <si>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</si>
  <si>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</si>
  <si>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</si>
  <si>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</si>
  <si>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</si>
  <si>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</si>
  <si>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</si>
  <si>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</si>
  <si>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</si>
  <si>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</si>
  <si>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</si>
  <si>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</si>
  <si>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</si>
  <si>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</si>
  <si>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</si>
  <si>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</si>
  <si>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</si>
  <si>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</si>
  <si>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</si>
  <si>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</si>
  <si>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</si>
  <si>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</si>
  <si>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</si>
  <si>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</si>
  <si>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</si>
  <si>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</si>
  <si>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</si>
  <si>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</si>
  <si>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</si>
  <si>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</si>
  <si>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</si>
  <si>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</si>
  <si>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</si>
  <si>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</si>
  <si>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</si>
  <si>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</si>
  <si>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</si>
  <si>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</si>
  <si>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</si>
  <si>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</si>
  <si>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</si>
  <si>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</si>
  <si>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</si>
  <si>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</si>
  <si>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</si>
  <si>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</si>
  <si>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</si>
  <si>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</si>
  <si>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</si>
  <si>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</si>
  <si>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</si>
  <si>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</si>
  <si>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</si>
  <si>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</si>
  <si>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</si>
  <si>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</si>
  <si>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</si>
  <si>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</si>
  <si>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</si>
  <si>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</si>
  <si>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</si>
  <si>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</si>
  <si>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</si>
  <si>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</si>
  <si>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</si>
  <si>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</si>
  <si>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</si>
  <si>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</si>
  <si>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</si>
  <si>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</si>
  <si>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</si>
  <si>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</si>
  <si>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</si>
  <si>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</si>
  <si>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</si>
  <si>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</si>
  <si>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</si>
  <si>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</si>
  <si>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</si>
  <si>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</si>
  <si>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</si>
  <si>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</si>
  <si>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</si>
  <si>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</si>
  <si>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</si>
  <si>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</si>
  <si>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</si>
  <si>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</si>
  <si>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</si>
  <si>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</si>
  <si>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</si>
  <si>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</si>
  <si>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</si>
  <si>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</si>
  <si>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</si>
  <si>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</si>
  <si>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</si>
  <si>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</si>
  <si>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</si>
  <si>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</si>
  <si>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</si>
  <si>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</si>
  <si>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</si>
  <si>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</si>
  <si>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</si>
  <si>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</si>
  <si>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</si>
  <si>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</si>
  <si>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</si>
  <si>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</si>
  <si>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</si>
  <si>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</si>
  <si>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</si>
  <si>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</si>
  <si>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</si>
  <si>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</si>
  <si>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</si>
  <si>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</si>
  <si>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</si>
  <si>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</si>
  <si>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</si>
  <si>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</si>
  <si>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</si>
  <si>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</si>
  <si>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</si>
  <si>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</si>
  <si>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</si>
  <si>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</si>
  <si>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</si>
  <si>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</si>
  <si>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</si>
  <si>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</si>
  <si>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</si>
  <si>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</si>
  <si>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</si>
  <si>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</si>
  <si>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</si>
  <si>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</si>
  <si>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</si>
  <si>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</si>
  <si>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</si>
  <si>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</si>
  <si>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</si>
  <si>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</si>
  <si>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</si>
  <si>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</si>
  <si>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</si>
  <si>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</si>
  <si>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</si>
  <si>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</si>
  <si>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</si>
  <si>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</si>
  <si>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</si>
  <si>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</si>
  <si>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</si>
  <si>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</si>
  <si>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</si>
  <si>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</si>
  <si>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</si>
  <si>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</si>
  <si>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</si>
  <si>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</si>
  <si>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</si>
  <si>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</si>
  <si>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</si>
  <si>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</si>
  <si>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</si>
  <si>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</si>
  <si>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</si>
  <si>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</si>
  <si>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</si>
  <si>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</si>
  <si>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</si>
  <si>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</si>
  <si>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</si>
  <si>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</si>
  <si>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</si>
  <si>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</si>
  <si>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</si>
  <si>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</si>
  <si>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</si>
  <si>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</si>
  <si>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</si>
  <si>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</si>
  <si>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</si>
  <si>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</si>
  <si>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</si>
  <si>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</si>
  <si>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</si>
  <si>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</si>
  <si>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</si>
  <si>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</si>
  <si>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</si>
  <si>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</si>
  <si>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</si>
  <si>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</si>
  <si>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</si>
  <si>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</si>
  <si>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</si>
  <si>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</si>
  <si>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</si>
  <si>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</si>
  <si>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</si>
  <si>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</si>
  <si>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</si>
  <si>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</si>
  <si>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</si>
  <si>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</si>
  <si>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</si>
  <si>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</si>
  <si>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</si>
  <si>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</si>
  <si>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</si>
  <si>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</si>
  <si>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</si>
  <si>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</si>
  <si>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</si>
  <si>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</si>
  <si>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</si>
  <si>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</si>
  <si>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</si>
  <si>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</si>
  <si>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</si>
  <si>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</si>
  <si>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</si>
  <si>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</si>
  <si>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</si>
  <si>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</si>
  <si>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</si>
  <si>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</si>
  <si>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</si>
  <si>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</si>
  <si>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</si>
  <si>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</si>
  <si>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</si>
  <si>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</si>
  <si>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</si>
  <si>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</si>
  <si>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</si>
  <si>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</si>
  <si>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</si>
  <si>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</si>
  <si>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</si>
  <si>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</si>
  <si>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</si>
  <si>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</si>
  <si>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</si>
  <si>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</si>
  <si>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</si>
  <si>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</si>
  <si>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</si>
  <si>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</si>
  <si>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</si>
  <si>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</si>
  <si>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</si>
  <si>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</si>
  <si>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</si>
  <si>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</si>
  <si>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</si>
  <si>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</si>
  <si>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</si>
  <si>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</si>
  <si>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</si>
  <si>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</si>
  <si>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</si>
  <si>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</si>
  <si>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</si>
  <si>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</si>
  <si>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</si>
  <si>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</si>
  <si>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</si>
  <si>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</si>
  <si>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</si>
  <si>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</si>
  <si>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</si>
  <si>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</si>
  <si>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</si>
  <si>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</si>
  <si>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</si>
  <si>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</si>
  <si>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</si>
  <si>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</si>
  <si>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</si>
  <si>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</si>
  <si>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</si>
  <si>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</si>
  <si>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</si>
  <si>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</si>
  <si>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</si>
  <si>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</si>
  <si>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</si>
  <si>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</si>
  <si>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</si>
  <si>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</si>
  <si>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</si>
  <si>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</si>
  <si>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</si>
  <si>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</si>
  <si>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</si>
  <si>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</si>
  <si>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</si>
  <si>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</si>
  <si>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</si>
  <si>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</si>
  <si>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</si>
  <si>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</si>
  <si>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</si>
  <si>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</si>
  <si>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</si>
  <si>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</si>
  <si>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</si>
  <si>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</si>
  <si>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</si>
  <si>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</si>
  <si>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</si>
  <si>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</si>
  <si>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</si>
  <si>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</si>
  <si>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</si>
  <si>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</si>
  <si>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</si>
  <si>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</si>
  <si>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</si>
  <si>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</si>
  <si>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</si>
  <si>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</si>
  <si>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</si>
  <si>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</si>
  <si>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</si>
  <si>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</si>
  <si>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</si>
  <si>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</si>
  <si>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</si>
  <si>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</si>
  <si>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</si>
  <si>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</si>
  <si>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</si>
  <si>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</si>
  <si>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</si>
  <si>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</si>
  <si>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</si>
  <si>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</si>
  <si>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</si>
  <si>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</si>
  <si>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</si>
  <si>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</si>
  <si>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</si>
  <si>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</si>
  <si>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</si>
  <si>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</si>
  <si>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</si>
  <si>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</si>
  <si>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</si>
  <si>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</si>
  <si>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</si>
  <si>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</si>
  <si>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</si>
  <si>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</si>
  <si>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</si>
  <si>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</si>
  <si>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</si>
  <si>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</si>
  <si>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</si>
  <si>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</si>
  <si>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</si>
  <si>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</si>
  <si>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</si>
  <si>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</si>
  <si>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</si>
  <si>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</si>
  <si>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</si>
  <si>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</si>
  <si>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</si>
  <si>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</si>
  <si>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</si>
  <si>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</si>
  <si>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</si>
  <si>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</si>
  <si>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</si>
  <si>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</si>
  <si>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</si>
  <si>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</si>
  <si>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</si>
  <si>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</si>
  <si>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</si>
  <si>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</si>
  <si>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</si>
  <si>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</si>
  <si>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</si>
  <si>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</si>
  <si>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</si>
  <si>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</si>
  <si>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</si>
  <si>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</si>
  <si>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</si>
  <si>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</si>
  <si>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</si>
  <si>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</si>
  <si>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</si>
  <si>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</si>
  <si>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</si>
  <si>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</si>
  <si>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</si>
  <si>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</si>
  <si>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</si>
  <si>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</si>
  <si>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</si>
  <si>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</si>
  <si>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</si>
  <si>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</si>
  <si>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</si>
  <si>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</si>
  <si>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</si>
  <si>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</si>
  <si>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</si>
  <si>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</si>
  <si>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</si>
  <si>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</si>
  <si>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</si>
  <si>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</si>
  <si>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</si>
  <si>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</si>
  <si>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</si>
  <si>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</si>
  <si>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</si>
  <si>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</si>
  <si>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</si>
  <si>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</si>
  <si>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</si>
  <si>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</si>
  <si>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</si>
  <si>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</si>
  <si>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</si>
  <si>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</si>
  <si>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</si>
  <si>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</si>
  <si>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</si>
  <si>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</si>
  <si>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</si>
  <si>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</si>
  <si>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</si>
  <si>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</si>
  <si>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</si>
  <si>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</si>
  <si>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</si>
  <si>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</si>
  <si>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</si>
  <si>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</si>
  <si>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</si>
  <si>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</si>
  <si>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</si>
  <si>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</si>
  <si>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</si>
  <si>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</si>
  <si>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</si>
  <si>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</si>
  <si>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</si>
  <si>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</si>
  <si>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</si>
  <si>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</si>
  <si>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</si>
  <si>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</si>
  <si>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</si>
  <si>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</si>
  <si>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</si>
  <si>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</si>
  <si>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</si>
  <si>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</si>
  <si>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</si>
  <si>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</si>
  <si>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</si>
  <si>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</si>
  <si>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</si>
  <si>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</si>
  <si>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</si>
  <si>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</si>
  <si>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</si>
  <si>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</si>
  <si>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</si>
  <si>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</si>
  <si>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</si>
  <si>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</si>
  <si>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</si>
  <si>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</si>
  <si>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</si>
  <si>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</si>
  <si>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</si>
  <si>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</si>
  <si>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</si>
  <si>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</si>
  <si>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</si>
  <si>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</si>
  <si>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</si>
  <si>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</si>
  <si>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</si>
  <si>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</si>
  <si>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</si>
  <si>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</si>
  <si>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</si>
  <si>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</si>
  <si>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</si>
  <si>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</si>
  <si>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</si>
  <si>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</si>
  <si>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</si>
  <si>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</si>
  <si>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</si>
  <si>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</si>
  <si>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</si>
  <si>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</si>
  <si>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</si>
  <si>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</si>
  <si>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</si>
  <si>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</si>
  <si>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</si>
  <si>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</si>
  <si>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</si>
  <si>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</si>
  <si>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</si>
  <si>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</si>
  <si>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</si>
  <si>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</si>
  <si>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</si>
  <si>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</si>
  <si>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</si>
  <si>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</si>
  <si>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</si>
  <si>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</si>
  <si>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</si>
  <si>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</si>
  <si>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</si>
  <si>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</si>
  <si>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</si>
  <si>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</si>
  <si>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</si>
  <si>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</si>
  <si>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</si>
  <si>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</si>
  <si>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</si>
  <si>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</si>
  <si>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</si>
  <si>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</si>
  <si>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</si>
  <si>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</si>
  <si>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</si>
  <si>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</si>
  <si>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</si>
  <si>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</si>
  <si>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</si>
  <si>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</si>
  <si>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</si>
  <si>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</si>
  <si>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</si>
  <si>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</si>
  <si>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</si>
  <si>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</si>
  <si>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</si>
  <si>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</si>
  <si>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</si>
  <si>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</si>
  <si>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</si>
  <si>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</si>
  <si>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</si>
  <si>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</si>
  <si>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</si>
  <si>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</si>
  <si>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</si>
  <si>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</si>
  <si>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</si>
  <si>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</si>
  <si>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</si>
  <si>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</si>
  <si>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</si>
  <si>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</si>
  <si>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</si>
  <si>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</si>
  <si>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</si>
  <si>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</si>
  <si>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</si>
  <si>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</si>
  <si>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</si>
  <si>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</si>
  <si>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</si>
  <si>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</si>
  <si>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</si>
  <si>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</si>
  <si>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</si>
  <si>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</si>
  <si>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</si>
  <si>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</si>
  <si>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</si>
  <si>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</si>
  <si>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</si>
  <si>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</si>
  <si>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</si>
  <si>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</si>
  <si>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</si>
  <si>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</si>
  <si>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</si>
  <si>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</si>
  <si>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</si>
  <si>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</si>
  <si>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</si>
  <si>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</si>
  <si>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</si>
  <si>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</si>
  <si>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</si>
  <si>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</si>
  <si>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</si>
  <si>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</si>
  <si>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</si>
  <si>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</si>
  <si>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</si>
  <si>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</si>
  <si>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</si>
  <si>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</si>
  <si>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</si>
  <si>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</si>
  <si>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</si>
  <si>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</si>
  <si>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</si>
  <si>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</si>
  <si>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</si>
  <si>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</si>
  <si>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</si>
  <si>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</si>
  <si>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</si>
  <si>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</si>
  <si>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</si>
  <si>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</si>
  <si>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</si>
  <si>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</si>
  <si>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</si>
  <si>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</si>
  <si>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</si>
  <si>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</si>
  <si>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</si>
  <si>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</si>
  <si>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</si>
  <si>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</si>
  <si>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</si>
  <si>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</si>
  <si>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</si>
  <si>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</si>
  <si>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</si>
  <si>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</si>
  <si>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</si>
  <si>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</si>
  <si>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</si>
  <si>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</si>
  <si>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</si>
  <si>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</si>
  <si>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</si>
  <si>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</si>
  <si>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</si>
  <si>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</si>
  <si>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</si>
  <si>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</si>
  <si>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</si>
  <si>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</si>
  <si>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</si>
  <si>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</si>
  <si>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</si>
  <si>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</si>
  <si>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</si>
  <si>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</si>
  <si>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</si>
  <si>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</si>
  <si>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</si>
  <si>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</si>
  <si>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</si>
  <si>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</si>
  <si>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</si>
  <si>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</si>
  <si>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</si>
  <si>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</si>
  <si>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</si>
  <si>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</si>
  <si>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</si>
  <si>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</si>
  <si>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</si>
  <si>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</si>
  <si>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</si>
  <si>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</si>
  <si>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</si>
  <si>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</si>
  <si>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</si>
  <si>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</si>
  <si>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</si>
  <si>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</si>
  <si>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</si>
  <si>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</si>
  <si>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</si>
  <si>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</si>
  <si>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</si>
  <si>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</si>
  <si>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</si>
  <si>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</si>
  <si>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</si>
  <si>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</si>
  <si>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</si>
  <si>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</si>
  <si>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</si>
  <si>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</si>
  <si>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</si>
  <si>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</si>
  <si>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</si>
  <si>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</si>
  <si>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</si>
  <si>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</si>
  <si>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</si>
  <si>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</si>
  <si>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</si>
  <si>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</si>
  <si>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</si>
  <si>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</si>
  <si>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</si>
  <si>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</si>
  <si>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</si>
  <si>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</si>
  <si>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</si>
  <si>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</si>
  <si>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</si>
  <si>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</si>
  <si>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</si>
  <si>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</si>
  <si>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</si>
  <si>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</si>
  <si>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</si>
  <si>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</si>
  <si>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</si>
  <si>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</si>
  <si>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</si>
  <si>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</si>
  <si>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</si>
  <si>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</si>
  <si>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</si>
  <si>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</si>
  <si>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</si>
  <si>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</si>
  <si>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</si>
  <si>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</si>
  <si>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</si>
  <si>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</si>
  <si>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</si>
  <si>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</si>
  <si>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</si>
  <si>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</si>
  <si>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</si>
  <si>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</si>
  <si>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</si>
  <si>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</si>
  <si>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</si>
  <si>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</si>
  <si>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</si>
  <si>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</si>
  <si>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</si>
  <si>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</si>
  <si>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</si>
  <si>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</si>
  <si>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</si>
  <si>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</si>
  <si>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</si>
  <si>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</si>
  <si>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</si>
  <si>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</si>
  <si>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</si>
  <si>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</si>
  <si>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</si>
  <si>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</si>
  <si>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</si>
  <si>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</si>
  <si>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</si>
  <si>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</si>
  <si>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</si>
  <si>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</si>
  <si>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</si>
  <si>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</si>
  <si>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</si>
  <si>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</si>
  <si>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</si>
  <si>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</si>
  <si>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</si>
  <si>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</si>
  <si>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</si>
  <si>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</si>
  <si>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</si>
  <si>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</si>
  <si>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</si>
  <si>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</si>
  <si>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</si>
  <si>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</si>
  <si>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</si>
  <si>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</si>
  <si>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</si>
  <si>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</si>
  <si>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</si>
  <si>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</si>
  <si>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</si>
  <si>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</si>
  <si>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</si>
  <si>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</si>
  <si>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</si>
  <si>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</si>
  <si>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</si>
  <si>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</si>
  <si>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</si>
  <si>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</si>
  <si>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</si>
  <si>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</si>
  <si>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</si>
  <si>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</si>
  <si>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</si>
  <si>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</si>
  <si>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</si>
  <si>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</si>
  <si>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</si>
  <si>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</si>
  <si>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</si>
  <si>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</si>
  <si>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</si>
  <si>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</si>
  <si>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</si>
  <si>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</si>
  <si>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</si>
  <si>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</si>
  <si>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</si>
  <si>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</si>
  <si>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</si>
  <si>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</si>
  <si>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</si>
  <si>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</si>
  <si>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</si>
  <si>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</si>
  <si>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</si>
  <si>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</si>
  <si>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</si>
  <si>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</si>
  <si>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</si>
  <si>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</si>
  <si>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</si>
  <si>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</si>
  <si>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</si>
  <si>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</si>
  <si>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</si>
  <si>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</si>
  <si>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</si>
  <si>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</si>
  <si>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</si>
  <si>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</si>
  <si>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</si>
  <si>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</si>
  <si>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</si>
  <si>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</si>
  <si>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</si>
  <si>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</si>
  <si>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</si>
  <si>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</si>
  <si>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</si>
  <si>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</si>
  <si>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</si>
  <si>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</si>
  <si>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</si>
  <si>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</si>
  <si>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</si>
  <si>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</si>
  <si>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</si>
  <si>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</si>
  <si>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</si>
  <si>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</si>
  <si>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</si>
  <si>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</si>
  <si>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</si>
  <si>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</si>
  <si>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</si>
  <si>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</si>
  <si>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</si>
  <si>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</si>
  <si>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</si>
  <si>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</si>
  <si>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</si>
  <si>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</si>
  <si>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</si>
  <si>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</si>
  <si>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</si>
  <si>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</si>
  <si>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</si>
  <si>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</si>
  <si>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</si>
  <si>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</si>
  <si>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</si>
  <si>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</si>
  <si>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</si>
  <si>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</si>
  <si>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</si>
  <si>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</si>
  <si>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</si>
  <si>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</si>
  <si>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</si>
  <si>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</si>
  <si>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</si>
  <si>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</si>
  <si>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</si>
  <si>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</si>
  <si>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</si>
  <si>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</si>
  <si>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</si>
  <si>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</si>
  <si>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</si>
  <si>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</si>
  <si>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</si>
  <si>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</si>
  <si>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</si>
  <si>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</si>
  <si>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</si>
  <si>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</si>
  <si>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</si>
  <si>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</si>
  <si>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</si>
  <si>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</si>
  <si>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</si>
  <si>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</si>
  <si>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</si>
  <si>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</si>
  <si>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</si>
  <si>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</si>
  <si>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</si>
  <si>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</si>
  <si>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</si>
  <si>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</si>
  <si>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</si>
  <si>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</si>
  <si>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</si>
  <si>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</si>
  <si>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</si>
  <si>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</si>
  <si>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</si>
  <si>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</si>
  <si>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</si>
  <si>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</si>
  <si>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</si>
  <si>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</si>
  <si>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</si>
  <si>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</si>
  <si>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</si>
  <si>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</si>
  <si>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</si>
  <si>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</si>
  <si>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</si>
  <si>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</si>
  <si>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</si>
  <si>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</si>
  <si>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</si>
  <si>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</si>
  <si>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</si>
  <si>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</si>
  <si>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</si>
  <si>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</si>
  <si>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</si>
  <si>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</si>
  <si>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</si>
  <si>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</si>
  <si>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</si>
  <si>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</si>
  <si>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</si>
  <si>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</si>
  <si>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</si>
  <si>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</si>
  <si>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</si>
  <si>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</si>
  <si>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</si>
  <si>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</si>
  <si>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</si>
  <si>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</si>
  <si>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</si>
  <si>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</si>
  <si>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</si>
  <si>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</si>
  <si>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</si>
  <si>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</si>
  <si>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</si>
  <si>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</si>
  <si>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</si>
  <si>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</si>
  <si>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</si>
  <si>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</si>
  <si>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</si>
  <si>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</si>
  <si>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</si>
  <si>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</si>
  <si>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</si>
  <si>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</si>
  <si>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</si>
  <si>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</si>
  <si>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</si>
  <si>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</si>
  <si>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</si>
  <si>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</si>
  <si>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</si>
  <si>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</si>
  <si>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</si>
  <si>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</si>
  <si>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</si>
  <si>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</si>
  <si>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</si>
  <si>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</si>
  <si>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</si>
  <si>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</si>
  <si>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</si>
  <si>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</si>
  <si>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</si>
  <si>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</si>
  <si>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</si>
  <si>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</si>
  <si>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</si>
  <si>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</si>
  <si>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</si>
  <si>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</si>
  <si>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</si>
  <si>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</si>
  <si>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</si>
  <si>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</si>
  <si>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</si>
  <si>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</si>
  <si>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</si>
  <si>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</si>
  <si>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</si>
  <si>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</si>
  <si>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</si>
  <si>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</si>
  <si>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</si>
  <si>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</si>
  <si>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</si>
  <si>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</si>
  <si>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</si>
  <si>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</si>
  <si>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</si>
  <si>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</si>
  <si>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</si>
  <si>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</si>
  <si>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</si>
  <si>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</si>
  <si>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</si>
  <si>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</si>
  <si>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</si>
  <si>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</si>
  <si>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</si>
  <si>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</si>
  <si>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</si>
  <si>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</si>
  <si>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</si>
  <si>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</si>
  <si>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</si>
  <si>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</si>
  <si>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</si>
  <si>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</si>
  <si>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</si>
  <si>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</si>
  <si>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</si>
  <si>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</si>
  <si>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</si>
  <si>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</si>
  <si>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</si>
  <si>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</si>
  <si>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</si>
  <si>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</si>
  <si>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</si>
  <si>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</si>
  <si>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</si>
  <si>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</si>
  <si>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</si>
  <si>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</si>
  <si>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</si>
  <si>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</si>
  <si>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</si>
  <si>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</si>
  <si>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</si>
  <si>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</si>
  <si>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</si>
  <si>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</si>
  <si>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</si>
  <si>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</si>
  <si>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</si>
  <si>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</si>
  <si>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</si>
  <si>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</si>
  <si>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</si>
  <si>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</si>
  <si>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</si>
  <si>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</si>
  <si>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</si>
  <si>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</si>
  <si>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</si>
  <si>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</si>
  <si>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</si>
  <si>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</si>
  <si>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</si>
  <si>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</si>
  <si>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</si>
  <si>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</si>
  <si>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</si>
  <si>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</si>
  <si>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</si>
  <si>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</si>
  <si>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</si>
  <si>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</si>
  <si>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</si>
  <si>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</si>
  <si>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</si>
  <si>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</si>
  <si>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</si>
  <si>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</si>
  <si>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</si>
  <si>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</si>
  <si>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</si>
  <si>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</si>
  <si>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</si>
  <si>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</si>
  <si>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</si>
  <si>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</si>
  <si>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</si>
  <si>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</si>
  <si>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</si>
  <si>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</si>
  <si>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</si>
  <si>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</si>
  <si>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</si>
  <si>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</si>
  <si>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</si>
  <si>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</si>
  <si>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</si>
  <si>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</si>
  <si>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</si>
  <si>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</si>
  <si>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</si>
  <si>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</si>
  <si>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</si>
  <si>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</si>
  <si>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</si>
  <si>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</si>
  <si>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</si>
  <si>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</si>
  <si>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</si>
  <si>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</si>
  <si>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</si>
  <si>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</si>
  <si>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</si>
  <si>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</si>
  <si>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</si>
  <si>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</si>
  <si>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</si>
  <si>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</si>
  <si>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</si>
  <si>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</si>
  <si>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</si>
  <si>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</si>
  <si>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</si>
  <si>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</si>
  <si>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</si>
  <si>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</si>
  <si>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</si>
  <si>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</si>
  <si>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</si>
  <si>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</si>
  <si>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</si>
  <si>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</si>
  <si>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</si>
  <si>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</si>
  <si>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</si>
  <si>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</si>
  <si>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</si>
  <si>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</si>
  <si>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</si>
  <si>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</si>
  <si>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</si>
  <si>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</si>
  <si>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</si>
  <si>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</si>
  <si>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</si>
  <si>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</si>
  <si>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</si>
  <si>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</si>
  <si>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</si>
  <si>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</si>
  <si>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</si>
  <si>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</si>
  <si>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</si>
  <si>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</si>
  <si>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</si>
  <si>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</si>
  <si>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</si>
  <si>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</si>
  <si>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</si>
  <si>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</si>
  <si>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</si>
  <si>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</si>
  <si>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</si>
  <si>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</si>
  <si>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</si>
  <si>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</si>
  <si>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</si>
  <si>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</si>
  <si>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</si>
  <si>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</si>
  <si>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</si>
  <si>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</si>
  <si>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</si>
  <si>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</si>
  <si>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</si>
  <si>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</si>
  <si>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</si>
  <si>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</si>
  <si>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</si>
  <si>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</si>
  <si>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</si>
  <si>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</si>
  <si>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</si>
  <si>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</si>
  <si>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</si>
  <si>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</si>
  <si>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</si>
  <si>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</si>
  <si>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</si>
  <si>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</si>
  <si>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</si>
  <si>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</si>
  <si>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</si>
  <si>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</si>
  <si>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</si>
  <si>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</si>
  <si>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</si>
  <si>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</si>
  <si>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</si>
  <si>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</si>
  <si>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</si>
  <si>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</si>
  <si>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</si>
  <si>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</si>
  <si>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</si>
  <si>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</si>
  <si>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</si>
  <si>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</si>
  <si>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</si>
  <si>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</si>
  <si>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</si>
  <si>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</si>
  <si>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</si>
  <si>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</si>
  <si>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</si>
  <si>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</si>
  <si>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</si>
  <si>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</si>
  <si>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</si>
  <si>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</si>
  <si>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</si>
  <si>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</si>
  <si>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</si>
  <si>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</si>
  <si>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</si>
  <si>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</si>
  <si>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</si>
  <si>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</si>
  <si>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</si>
  <si>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</si>
  <si>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</si>
  <si>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</si>
  <si>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</si>
  <si>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</si>
  <si>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</si>
  <si>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</si>
  <si>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</si>
  <si>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</si>
  <si>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</si>
  <si>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</si>
  <si>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</si>
  <si>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</si>
  <si>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</si>
  <si>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</si>
  <si>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</si>
  <si>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</si>
  <si>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</si>
  <si>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</si>
  <si>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</si>
  <si>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</si>
  <si>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</si>
  <si>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</si>
  <si>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</si>
  <si>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</si>
  <si>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</si>
  <si>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</si>
  <si>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</si>
  <si>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</si>
  <si>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</si>
  <si>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</si>
  <si>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</si>
  <si>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</si>
  <si>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</si>
  <si>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</si>
  <si>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</si>
  <si>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</si>
  <si>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</si>
  <si>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</si>
  <si>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</si>
  <si>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</si>
  <si>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</si>
  <si>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</si>
  <si>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</si>
  <si>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</si>
  <si>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</si>
  <si>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</si>
  <si>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</si>
  <si>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</si>
  <si>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</si>
  <si>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</si>
  <si>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</si>
  <si>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</si>
  <si>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</si>
  <si>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</si>
  <si>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</si>
  <si>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</si>
  <si>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</si>
  <si>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</si>
  <si>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</si>
  <si>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</si>
  <si>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</si>
  <si>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</si>
  <si>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</si>
  <si>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</si>
  <si>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</si>
  <si>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</si>
  <si>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</si>
  <si>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</si>
  <si>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</si>
  <si>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</si>
  <si>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</si>
  <si>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</si>
  <si>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</si>
  <si>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</si>
  <si>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</si>
  <si>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</si>
  <si>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</si>
  <si>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</si>
  <si>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</si>
  <si>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</si>
  <si>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</si>
  <si>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</si>
  <si>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</si>
  <si>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</si>
  <si>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</si>
  <si>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</si>
  <si>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</si>
  <si>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</si>
  <si>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</si>
  <si>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</si>
  <si>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</si>
  <si>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</si>
  <si>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</si>
  <si>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</si>
  <si>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</si>
  <si>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</si>
  <si>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</si>
  <si>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</si>
  <si>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</si>
  <si>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</si>
  <si>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</si>
  <si>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</si>
  <si>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</si>
  <si>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</si>
  <si>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</si>
  <si>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</si>
  <si>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</si>
  <si>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</si>
  <si>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</si>
  <si>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</si>
  <si>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</si>
  <si>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</si>
  <si>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</si>
  <si>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</si>
  <si>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</si>
  <si>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</si>
  <si>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</si>
  <si>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</si>
  <si>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</si>
  <si>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</si>
  <si>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</si>
  <si>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</si>
  <si>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</si>
  <si>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</si>
  <si>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</si>
  <si>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</si>
  <si>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</si>
  <si>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</si>
  <si>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</si>
  <si>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</si>
  <si>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</si>
  <si>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</si>
  <si>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</si>
  <si>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</si>
  <si>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</si>
  <si>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</si>
  <si>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</si>
  <si>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</si>
  <si>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</si>
  <si>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</si>
  <si>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</si>
  <si>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</si>
  <si>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</si>
  <si>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</si>
  <si>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</si>
  <si>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</si>
  <si>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</si>
  <si>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</si>
  <si>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</si>
  <si>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</si>
  <si>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</si>
  <si>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</si>
  <si>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</si>
  <si>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</si>
  <si>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</si>
  <si>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</si>
  <si>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</si>
  <si>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</si>
  <si>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</si>
  <si>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</si>
  <si>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</si>
  <si>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</si>
  <si>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</si>
  <si>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</si>
  <si>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</si>
  <si>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</si>
  <si>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</si>
  <si>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</si>
  <si>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</si>
  <si>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</si>
  <si>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</si>
  <si>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</si>
  <si>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</si>
  <si>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</si>
  <si>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</si>
  <si>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</si>
  <si>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</si>
  <si>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</si>
  <si>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</si>
  <si>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</si>
  <si>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</si>
  <si>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</si>
  <si>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</si>
  <si>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</si>
  <si>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</si>
  <si>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</si>
  <si>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</si>
  <si>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</si>
  <si>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</si>
  <si>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</si>
  <si>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</si>
  <si>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</si>
  <si>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</si>
  <si>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</si>
  <si>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</si>
  <si>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</si>
  <si>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</si>
  <si>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</si>
  <si>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</si>
  <si>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</si>
  <si>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</si>
  <si>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</si>
  <si>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</si>
  <si>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</si>
  <si>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</si>
  <si>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</si>
  <si>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</si>
  <si>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</si>
  <si>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</si>
  <si>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</si>
  <si>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</si>
  <si>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</si>
  <si>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</si>
  <si>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</si>
  <si>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</si>
  <si>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</si>
  <si>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</si>
  <si>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</si>
  <si>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</si>
  <si>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</si>
  <si>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</si>
  <si>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</si>
  <si>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</si>
  <si>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</si>
  <si>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</si>
  <si>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</si>
  <si>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</si>
  <si>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</si>
  <si>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</si>
  <si>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</si>
  <si>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</si>
  <si>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</si>
  <si>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</si>
  <si>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</si>
  <si>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</si>
  <si>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</si>
  <si>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</si>
  <si>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</si>
  <si>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</si>
  <si>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</si>
  <si>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</si>
  <si>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</si>
  <si>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</si>
  <si>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</si>
  <si>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</si>
  <si>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</si>
  <si>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</si>
  <si>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</si>
  <si>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</si>
  <si>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</si>
  <si>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</si>
  <si>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</si>
  <si>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</si>
  <si>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</si>
  <si>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</si>
  <si>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</si>
  <si>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</si>
  <si>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</si>
  <si>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</si>
  <si>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</si>
  <si>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</si>
  <si>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</si>
  <si>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</si>
  <si>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</si>
  <si>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</si>
  <si>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</si>
  <si>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</si>
  <si>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</si>
  <si>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</si>
  <si>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</si>
  <si>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</si>
  <si>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</si>
  <si>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</si>
  <si>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</si>
  <si>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</si>
  <si>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</si>
  <si>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</si>
  <si>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</si>
  <si>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</si>
  <si>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</si>
  <si>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</si>
  <si>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</si>
  <si>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</si>
  <si>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</si>
  <si>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</si>
  <si>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</si>
  <si>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</si>
  <si>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</si>
  <si>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</si>
  <si>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</si>
  <si>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</si>
  <si>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</si>
  <si>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</si>
  <si>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</si>
  <si>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</si>
  <si>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</si>
  <si>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</si>
  <si>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</si>
  <si>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</si>
  <si>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</si>
  <si>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</si>
  <si>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</si>
  <si>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</si>
  <si>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</si>
  <si>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</si>
  <si>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</si>
  <si>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</si>
  <si>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</si>
  <si>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</si>
  <si>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</si>
  <si>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</si>
  <si>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</si>
  <si>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</si>
  <si>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</si>
  <si>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</si>
  <si>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</si>
  <si>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</si>
  <si>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</si>
  <si>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</si>
  <si>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</si>
  <si>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</si>
  <si>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</si>
  <si>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</si>
  <si>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</si>
  <si>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</si>
  <si>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</si>
  <si>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</si>
  <si>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</si>
  <si>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</si>
  <si>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</si>
  <si>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</si>
  <si>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</si>
  <si>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</si>
  <si>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</si>
  <si>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</si>
  <si>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</si>
  <si>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</si>
  <si>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</si>
  <si>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</si>
  <si>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</si>
  <si>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</si>
  <si>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</si>
  <si>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</si>
  <si>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</si>
  <si>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</si>
  <si>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</si>
  <si>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</si>
  <si>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</si>
  <si>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</si>
  <si>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</si>
  <si>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</si>
  <si>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</si>
  <si>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</si>
  <si>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</si>
  <si>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</si>
  <si>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</si>
  <si>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</si>
  <si>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</si>
  <si>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</si>
  <si>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</si>
  <si>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</si>
  <si>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</si>
  <si>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</si>
  <si>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</si>
  <si>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</si>
  <si>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</si>
  <si>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</si>
  <si>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</si>
  <si>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</si>
  <si>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</si>
  <si>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</si>
  <si>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</si>
  <si>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</si>
  <si>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</si>
  <si>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</si>
  <si>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</si>
  <si>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</si>
  <si>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</si>
  <si>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</si>
  <si>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</si>
  <si>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</si>
  <si>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</si>
  <si>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</si>
  <si>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</si>
  <si>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</si>
  <si>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</si>
  <si>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</si>
  <si>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</si>
  <si>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</si>
  <si>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</si>
  <si>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</si>
  <si>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</si>
  <si>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</si>
  <si>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</si>
  <si>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</si>
  <si>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</si>
  <si>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</si>
  <si>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</si>
  <si>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</si>
  <si>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</si>
  <si>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</si>
  <si>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</si>
  <si>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</si>
  <si>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</si>
  <si>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</si>
  <si>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</si>
  <si>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</si>
  <si>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</si>
  <si>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</si>
  <si>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</si>
  <si>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</si>
  <si>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</si>
  <si>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</si>
  <si>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</si>
  <si>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</si>
  <si>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</si>
  <si>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</si>
  <si>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</si>
  <si>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</si>
  <si>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</si>
  <si>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</si>
  <si>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</si>
  <si>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</si>
  <si>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</si>
  <si>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</si>
  <si>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</si>
  <si>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</si>
  <si>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</si>
  <si>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</si>
  <si>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</si>
  <si>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</si>
  <si>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</si>
  <si>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</si>
  <si>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</si>
  <si>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</si>
  <si>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</si>
  <si>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</si>
  <si>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</si>
  <si>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</si>
  <si>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</si>
  <si>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</si>
  <si>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</si>
  <si>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</si>
  <si>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</si>
  <si>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</si>
  <si>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</si>
  <si>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</si>
  <si>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</si>
  <si>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</si>
  <si>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</si>
  <si>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</si>
  <si>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</si>
  <si>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</si>
  <si>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</si>
  <si>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</si>
  <si>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</si>
  <si>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</si>
  <si>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</si>
  <si>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</si>
  <si>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</si>
  <si>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</si>
  <si>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</si>
  <si>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</si>
  <si>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</si>
  <si>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</si>
  <si>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</si>
  <si>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</si>
  <si>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</si>
  <si>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</si>
  <si>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</si>
  <si>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</si>
  <si>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</si>
  <si>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</si>
  <si>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</si>
  <si>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</si>
  <si>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</si>
  <si>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</si>
  <si>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</si>
  <si>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</si>
  <si>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</si>
  <si>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</si>
  <si>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</si>
  <si>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</si>
  <si>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</si>
  <si>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</si>
  <si>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</si>
  <si>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</si>
  <si>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</si>
  <si>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</si>
  <si>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</si>
  <si>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</si>
  <si>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</si>
  <si>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</si>
  <si>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</si>
  <si>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</si>
  <si>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</si>
  <si>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</si>
  <si>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</si>
  <si>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</si>
  <si>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</si>
  <si>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</si>
  <si>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</si>
  <si>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</si>
  <si>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</si>
  <si>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</si>
  <si>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</si>
  <si>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</si>
  <si>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</si>
  <si>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</si>
  <si>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</si>
  <si>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</si>
  <si>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</si>
  <si>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</si>
  <si>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</si>
  <si>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</si>
  <si>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</si>
  <si>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</si>
  <si>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</si>
  <si>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</si>
  <si>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</si>
  <si>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</si>
  <si>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</si>
  <si>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</si>
  <si>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</si>
  <si>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</si>
  <si>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</si>
  <si>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</si>
  <si>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</si>
  <si>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</si>
  <si>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</si>
  <si>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</si>
  <si>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</si>
  <si>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</si>
  <si>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</si>
  <si>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</si>
  <si>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</si>
  <si>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</si>
  <si>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</si>
  <si>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</si>
  <si>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</si>
  <si>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</si>
  <si>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</si>
  <si>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</si>
  <si>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</si>
  <si>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</si>
  <si>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</si>
  <si>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</si>
  <si>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</si>
  <si>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</si>
  <si>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</si>
  <si>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</si>
  <si>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</si>
  <si>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</si>
  <si>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</si>
  <si>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</si>
  <si>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</si>
  <si>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</si>
  <si>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</si>
  <si>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</si>
  <si>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</si>
  <si>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</si>
  <si>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</si>
  <si>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</si>
  <si>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</si>
  <si>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</si>
  <si>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</si>
  <si>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</si>
  <si>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</si>
  <si>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</si>
  <si>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</si>
  <si>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</si>
  <si>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</si>
  <si>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</si>
  <si>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</si>
  <si>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</si>
  <si>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</si>
  <si>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</si>
  <si>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</si>
  <si>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</si>
  <si>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</si>
  <si>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</si>
  <si>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</si>
  <si>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</si>
  <si>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</si>
  <si>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</si>
  <si>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</si>
  <si>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</si>
  <si>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</si>
  <si>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</si>
  <si>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</si>
  <si>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</si>
  <si>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</si>
  <si>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</si>
  <si>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</si>
  <si>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</si>
  <si>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</si>
  <si>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</si>
  <si>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</si>
  <si>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</si>
  <si>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</si>
  <si>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</si>
  <si>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</si>
  <si>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</si>
  <si>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</si>
  <si>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</si>
  <si>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</si>
  <si>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</si>
  <si>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</si>
  <si>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</si>
  <si>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</si>
  <si>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</si>
  <si>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</si>
  <si>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</si>
  <si>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</si>
  <si>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</si>
  <si>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</si>
  <si>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</si>
  <si>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</si>
  <si>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</si>
  <si>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</si>
  <si>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</si>
  <si>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</si>
  <si>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</si>
  <si>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</si>
  <si>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</si>
  <si>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</si>
  <si>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</si>
  <si>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</si>
  <si>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</si>
  <si>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</si>
  <si>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</si>
  <si>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</si>
  <si>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</si>
  <si>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</si>
  <si>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</si>
  <si>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</si>
  <si>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</si>
  <si>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</si>
  <si>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</si>
  <si>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</si>
  <si>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</si>
  <si>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</si>
  <si>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</si>
  <si>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</si>
  <si>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</si>
  <si>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</si>
  <si>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</si>
  <si>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</si>
  <si>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</si>
  <si>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</si>
  <si>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</si>
  <si>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</si>
  <si>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</si>
  <si>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</si>
  <si>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</si>
  <si>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</si>
  <si>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</si>
  <si>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</si>
  <si>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</si>
  <si>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</si>
  <si>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</si>
  <si>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</si>
  <si>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</si>
  <si>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</si>
  <si>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</si>
  <si>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</si>
  <si>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</si>
  <si>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</si>
  <si>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</si>
  <si>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</si>
  <si>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</si>
  <si>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</si>
  <si>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</si>
  <si>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</si>
  <si>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</si>
  <si>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</si>
  <si>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</si>
  <si>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</si>
  <si>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</si>
  <si>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</si>
  <si>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</si>
  <si>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</si>
  <si>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</si>
  <si>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</si>
  <si>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</si>
  <si>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</si>
  <si>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</si>
  <si>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</si>
  <si>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</si>
  <si>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</si>
  <si>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</si>
  <si>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</si>
  <si>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</si>
  <si>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</si>
  <si>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</si>
  <si>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</si>
  <si>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</si>
  <si>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</si>
  <si>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</si>
  <si>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</si>
  <si>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</si>
  <si>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</si>
  <si>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</si>
  <si>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</si>
  <si>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</si>
  <si>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</si>
  <si>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</si>
  <si>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</si>
  <si>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</si>
  <si>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</si>
  <si>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</si>
  <si>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</si>
  <si>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</si>
  <si>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</si>
  <si>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</si>
  <si>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</si>
  <si>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</si>
  <si>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</si>
  <si>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</si>
  <si>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</si>
  <si>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</si>
  <si>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</si>
  <si>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</si>
  <si>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</si>
  <si>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</si>
  <si>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</si>
  <si>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</si>
  <si>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</si>
  <si>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</si>
  <si>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</si>
  <si>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</si>
  <si>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</si>
  <si>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</si>
  <si>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</si>
  <si>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</si>
  <si>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</si>
  <si>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</si>
  <si>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</si>
  <si>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</si>
  <si>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</si>
  <si>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</si>
  <si>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</si>
  <si>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</si>
  <si>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</si>
  <si>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</si>
  <si>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</si>
  <si>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</si>
  <si>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</si>
  <si>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</si>
  <si>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</si>
  <si>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</si>
  <si>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</si>
  <si>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</si>
  <si>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</si>
  <si>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</si>
  <si>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</si>
  <si>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</si>
  <si>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</si>
  <si>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</si>
  <si>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</si>
  <si>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</si>
  <si>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</si>
  <si>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</si>
  <si>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</si>
  <si>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</si>
  <si>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</si>
  <si>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</si>
  <si>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</si>
  <si>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</si>
  <si>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</si>
  <si>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</si>
  <si>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</si>
  <si>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</si>
  <si>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</si>
  <si>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</si>
  <si>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</si>
  <si>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</si>
  <si>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</si>
  <si>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</si>
  <si>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</si>
  <si>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</si>
  <si>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</si>
  <si>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</si>
  <si>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</si>
  <si>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</si>
  <si>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</si>
  <si>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</si>
  <si>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</si>
  <si>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</si>
  <si>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</si>
  <si>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</si>
  <si>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</si>
  <si>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</si>
  <si>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</si>
  <si>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</si>
  <si>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</si>
  <si>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</si>
  <si>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</si>
  <si>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</si>
  <si>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</si>
  <si>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</si>
  <si>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</si>
  <si>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</si>
  <si>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</si>
  <si>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</si>
  <si>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</si>
  <si>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</si>
  <si>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</si>
  <si>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</si>
  <si>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</si>
  <si>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</si>
  <si>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</si>
  <si>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</si>
  <si>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</si>
  <si>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</si>
  <si>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</si>
  <si>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</si>
  <si>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</si>
  <si>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</si>
  <si>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</si>
  <si>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</si>
  <si>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</si>
  <si>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</si>
  <si>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</si>
  <si>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</si>
  <si>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</si>
  <si>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</si>
  <si>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</si>
  <si>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</si>
  <si>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</si>
  <si>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</si>
  <si>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</si>
  <si>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</si>
  <si>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</si>
  <si>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</si>
  <si>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</si>
  <si>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</si>
  <si>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</si>
  <si>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</si>
  <si>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</si>
  <si>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</si>
  <si>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</si>
  <si>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</si>
  <si>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</si>
  <si>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</si>
  <si>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</si>
  <si>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</si>
  <si>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</si>
  <si>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</si>
  <si>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</si>
  <si>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</si>
  <si>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</si>
  <si>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</si>
  <si>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</si>
  <si>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</si>
  <si>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</si>
  <si>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</si>
  <si>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</si>
  <si>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</si>
  <si>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</si>
  <si>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</si>
  <si>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</si>
  <si>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</si>
  <si>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</si>
  <si>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</si>
  <si>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</si>
  <si>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</si>
  <si>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</si>
  <si>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</si>
  <si>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</si>
  <si>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</si>
  <si>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</si>
  <si>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</si>
  <si>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</si>
  <si>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</si>
  <si>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</si>
  <si>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</si>
  <si>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</si>
  <si>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</si>
  <si>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</si>
  <si>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</si>
  <si>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</si>
  <si>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</si>
  <si>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</si>
  <si>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</si>
  <si>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</si>
  <si>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</si>
  <si>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</si>
  <si>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</si>
  <si>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</si>
  <si>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</si>
  <si>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</si>
  <si>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</si>
  <si>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</si>
  <si>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</si>
  <si>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</si>
  <si>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</si>
  <si>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</si>
  <si>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</si>
  <si>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</si>
  <si>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</si>
  <si>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</si>
  <si>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</si>
  <si>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</si>
  <si>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</si>
  <si>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</si>
  <si>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</si>
  <si>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</si>
  <si>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</si>
  <si>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</si>
  <si>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</si>
  <si>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</si>
  <si>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</si>
  <si>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</si>
  <si>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</si>
  <si>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</si>
  <si>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</si>
  <si>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</si>
  <si>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</si>
  <si>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</si>
  <si>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</si>
  <si>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</si>
  <si>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</si>
  <si>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</si>
  <si>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</si>
  <si>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</si>
  <si>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</si>
  <si>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</si>
  <si>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</si>
  <si>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</si>
  <si>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</si>
  <si>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</si>
  <si>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</si>
  <si>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</si>
  <si>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</si>
  <si>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</si>
  <si>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</si>
  <si>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</si>
  <si>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</si>
  <si>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</si>
  <si>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</si>
  <si>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</si>
  <si>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</si>
  <si>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</si>
  <si>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</si>
  <si>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</si>
  <si>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</si>
  <si>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</si>
  <si>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</si>
  <si>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</si>
  <si>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</si>
  <si>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</si>
  <si>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</si>
  <si>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</si>
  <si>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</si>
  <si>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</si>
  <si>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</si>
  <si>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</si>
  <si>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</si>
  <si>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</si>
  <si>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</si>
  <si>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</si>
  <si>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</si>
  <si>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</si>
  <si>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</si>
  <si>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</si>
  <si>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</si>
  <si>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</si>
  <si>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</si>
  <si>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</si>
  <si>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</si>
  <si>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</si>
  <si>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</si>
  <si>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</si>
  <si>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</si>
  <si>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</si>
  <si>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</si>
  <si>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</si>
  <si>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</si>
  <si>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</si>
  <si>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</si>
  <si>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</si>
  <si>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</si>
  <si>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</si>
  <si>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</si>
  <si>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</si>
  <si>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</si>
  <si>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</si>
  <si>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</si>
  <si>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</si>
  <si>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</si>
  <si>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</si>
  <si>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</si>
  <si>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</si>
  <si>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</si>
  <si>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</si>
  <si>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</si>
  <si>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</si>
  <si>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</si>
  <si>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</si>
  <si>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</si>
  <si>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</si>
  <si>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</si>
  <si>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</si>
  <si>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</si>
  <si>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</si>
  <si>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</si>
  <si>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</si>
  <si>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</si>
  <si>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</si>
  <si>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</si>
  <si>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</si>
  <si>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</si>
  <si>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</si>
  <si>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</si>
  <si>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</si>
  <si>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</si>
  <si>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</si>
  <si>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</si>
  <si>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</si>
  <si>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</si>
  <si>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</si>
  <si>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</si>
  <si>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</si>
  <si>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</si>
  <si>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</si>
  <si>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</si>
  <si>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</si>
  <si>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</si>
  <si>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</si>
  <si>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</si>
  <si>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</si>
  <si>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</si>
  <si>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</si>
  <si>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</si>
  <si>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</si>
  <si>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</si>
  <si>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</si>
  <si>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</si>
  <si>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</si>
  <si>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</si>
  <si>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</si>
  <si>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</si>
  <si>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</si>
  <si>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</si>
  <si>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</si>
  <si>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</si>
  <si>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</si>
  <si>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</si>
  <si>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</si>
  <si>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</si>
  <si>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</si>
  <si>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</si>
  <si>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</si>
  <si>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</si>
  <si>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</si>
  <si>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</si>
  <si>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</si>
  <si>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</si>
  <si>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</si>
  <si>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</si>
  <si>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</si>
  <si>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</si>
  <si>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</si>
  <si>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</si>
  <si>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</si>
  <si>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</si>
  <si>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</si>
  <si>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</si>
  <si>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</si>
  <si>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</si>
  <si>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</si>
  <si>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</si>
  <si>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</si>
  <si>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</si>
  <si>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</si>
  <si>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</si>
  <si>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</si>
  <si>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</si>
  <si>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</si>
  <si>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</si>
  <si>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</si>
  <si>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</si>
  <si>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</si>
  <si>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</si>
  <si>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</si>
  <si>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</si>
  <si>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</si>
  <si>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</si>
  <si>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</si>
  <si>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</si>
  <si>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</si>
  <si>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</si>
  <si>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</si>
  <si>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</si>
  <si>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</si>
  <si>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</si>
  <si>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</si>
  <si>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</si>
  <si>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</si>
  <si>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</si>
  <si>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</si>
  <si>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</si>
  <si>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</si>
  <si>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</si>
  <si>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</si>
  <si>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</si>
  <si>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</si>
  <si>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</si>
  <si>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</si>
  <si>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</si>
  <si>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</si>
  <si>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</si>
  <si>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</si>
  <si>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</si>
  <si>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</si>
  <si>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</si>
  <si>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</si>
  <si>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</si>
  <si>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</si>
  <si>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</si>
  <si>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</si>
  <si>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</si>
  <si>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</si>
  <si>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</si>
  <si>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</si>
  <si>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</si>
  <si>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</si>
  <si>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</si>
  <si>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</si>
  <si>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</si>
  <si>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</si>
  <si>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</si>
  <si>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</si>
  <si>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</si>
  <si>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</si>
  <si>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</si>
  <si>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</si>
  <si>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</si>
  <si>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</si>
  <si>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</si>
  <si>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</si>
  <si>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</si>
  <si>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</si>
  <si>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</si>
  <si>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</si>
  <si>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</si>
  <si>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</si>
  <si>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</si>
  <si>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</si>
  <si>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</si>
  <si>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</si>
  <si>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</si>
  <si>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</si>
  <si>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</si>
  <si>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</si>
  <si>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</si>
  <si>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</si>
  <si>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</si>
  <si>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</si>
  <si>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</si>
  <si>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</si>
  <si>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</si>
  <si>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</si>
  <si>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</si>
  <si>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</si>
  <si>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</si>
  <si>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</si>
  <si>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</si>
  <si>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</si>
  <si>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</si>
  <si>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</si>
  <si>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</si>
  <si>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</si>
  <si>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</si>
  <si>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</si>
  <si>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</si>
  <si>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</si>
  <si>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</si>
  <si>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</si>
  <si>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</si>
  <si>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</si>
  <si>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</si>
  <si>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</si>
  <si>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</si>
  <si>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</si>
  <si>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</si>
  <si>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</si>
  <si>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</si>
  <si>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</si>
  <si>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</si>
  <si>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</si>
  <si>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</si>
  <si>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</si>
  <si>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</si>
  <si>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</si>
  <si>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</si>
  <si>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</si>
  <si>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</si>
  <si>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</si>
  <si>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</si>
  <si>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</si>
  <si>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</si>
  <si>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</si>
  <si>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</si>
  <si>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</si>
  <si>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</si>
  <si>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</si>
  <si>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</si>
  <si>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</si>
  <si>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</si>
  <si>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</si>
  <si>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</si>
  <si>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</si>
  <si>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</si>
  <si>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</si>
  <si>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</si>
  <si>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</si>
  <si>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</si>
  <si>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</si>
  <si>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</si>
  <si>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</si>
  <si>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</si>
  <si>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</si>
  <si>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</si>
  <si>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</si>
  <si>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</si>
  <si>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</si>
  <si>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</si>
  <si>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</si>
  <si>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</si>
  <si>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</si>
  <si>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</si>
  <si>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</si>
  <si>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</si>
  <si>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</si>
  <si>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</si>
  <si>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</si>
  <si>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</si>
  <si>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</si>
  <si>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</si>
  <si>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</si>
  <si>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</si>
  <si>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</si>
  <si>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</si>
  <si>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</si>
  <si>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</si>
  <si>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</si>
  <si>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</si>
  <si>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</si>
  <si>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</si>
  <si>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</si>
  <si>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</si>
  <si>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</si>
  <si>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</si>
  <si>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</si>
  <si>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</si>
  <si>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</si>
  <si>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</si>
  <si>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</si>
  <si>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</si>
  <si>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</si>
  <si>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</si>
  <si>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</si>
  <si>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</si>
  <si>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</si>
  <si>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</si>
  <si>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</si>
  <si>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</si>
  <si>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</si>
  <si>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</si>
  <si>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</si>
  <si>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</si>
  <si>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</si>
  <si>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</si>
  <si>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</si>
  <si>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</si>
  <si>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</si>
  <si>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</si>
  <si>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</si>
  <si>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</si>
  <si>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</si>
  <si>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</si>
  <si>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</si>
  <si>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</si>
  <si>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</si>
  <si>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</si>
  <si>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</si>
  <si>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</si>
  <si>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</si>
  <si>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</si>
  <si>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</si>
  <si>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</si>
  <si>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</si>
  <si>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</si>
  <si>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</si>
  <si>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</si>
  <si>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</si>
  <si>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</si>
  <si>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</si>
  <si>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</si>
  <si>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</si>
  <si>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</si>
  <si>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</si>
  <si>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</si>
  <si>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</si>
  <si>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</si>
  <si>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</si>
  <si>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</si>
  <si>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</si>
  <si>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</si>
  <si>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</si>
  <si>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</si>
  <si>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</si>
  <si>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</si>
  <si>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</si>
  <si>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</si>
  <si>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</si>
  <si>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</si>
  <si>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</si>
  <si>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</si>
  <si>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</si>
  <si>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</si>
  <si>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</si>
  <si>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</si>
  <si>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</si>
  <si>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</si>
  <si>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</si>
  <si>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</si>
  <si>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</si>
  <si>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</si>
  <si>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</si>
  <si>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</si>
  <si>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</si>
  <si>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</si>
  <si>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</si>
  <si>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</si>
  <si>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</si>
  <si>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</si>
  <si>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</si>
  <si>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</si>
  <si>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</si>
  <si>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</si>
  <si>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</si>
  <si>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</si>
  <si>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</si>
  <si>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</si>
  <si>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</si>
  <si>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</si>
  <si>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</si>
  <si>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</si>
  <si>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</si>
  <si>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</si>
  <si>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</si>
  <si>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</si>
  <si>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</si>
  <si>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</si>
  <si>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</si>
  <si>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</si>
  <si>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</si>
  <si>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</si>
  <si>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</si>
  <si>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</si>
  <si>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</si>
  <si>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</si>
  <si>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</si>
  <si>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</si>
  <si>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</si>
  <si>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</si>
  <si>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</si>
  <si>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</si>
  <si>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</si>
  <si>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</si>
  <si>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</si>
  <si>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</si>
  <si>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</si>
  <si>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</si>
  <si>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</si>
  <si>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</si>
  <si>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</si>
  <si>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</si>
  <si>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</si>
  <si>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</si>
  <si>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</si>
  <si>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</si>
  <si>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</si>
  <si>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</si>
  <si>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</si>
  <si>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</si>
  <si>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</si>
  <si>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</si>
  <si>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</si>
  <si>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</si>
  <si>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</si>
  <si>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</si>
  <si>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</si>
  <si>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</si>
  <si>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</si>
  <si>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</si>
  <si>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</si>
  <si>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</si>
  <si>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</si>
  <si>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</si>
  <si>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</si>
  <si>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</si>
  <si>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</si>
  <si>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</si>
  <si>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</si>
  <si>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</si>
  <si>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</si>
  <si>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</si>
  <si>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</si>
  <si>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</si>
  <si>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</si>
  <si>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</si>
  <si>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</si>
  <si>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</si>
  <si>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</si>
  <si>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</si>
  <si>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</si>
  <si>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</si>
  <si>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</si>
  <si>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</si>
  <si>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</si>
  <si>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</si>
  <si>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</si>
  <si>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</si>
  <si>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</si>
  <si>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</si>
  <si>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</si>
  <si>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</si>
  <si>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</si>
  <si>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</si>
  <si>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</si>
  <si>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</si>
  <si>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</si>
  <si>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</si>
  <si>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</si>
  <si>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</si>
  <si>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</si>
  <si>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</si>
  <si>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</si>
  <si>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</si>
  <si>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</si>
  <si>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</si>
  <si>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</si>
  <si>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</si>
  <si>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</si>
  <si>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</si>
  <si>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</si>
  <si>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</si>
  <si>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</si>
  <si>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</si>
  <si>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</si>
  <si>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</si>
  <si>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</si>
  <si>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</si>
  <si>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</si>
  <si>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</si>
  <si>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</si>
  <si>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</si>
  <si>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</si>
  <si>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</si>
  <si>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</si>
  <si>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</si>
  <si>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</si>
  <si>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</si>
  <si>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</si>
  <si>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</si>
  <si>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</si>
  <si>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</si>
  <si>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</si>
  <si>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</si>
  <si>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</si>
  <si>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</si>
  <si>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</si>
  <si>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</si>
  <si>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</si>
  <si>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</si>
  <si>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</si>
  <si>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</si>
  <si>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</si>
  <si>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</si>
  <si>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</si>
  <si>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</si>
  <si>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</si>
  <si>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</si>
  <si>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</si>
  <si>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</si>
  <si>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</si>
  <si>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</si>
  <si>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</si>
  <si>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</si>
  <si>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</si>
  <si>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</si>
  <si>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</si>
  <si>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</si>
  <si>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</si>
  <si>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</si>
  <si>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</si>
  <si>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</si>
  <si>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</si>
  <si>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</si>
  <si>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</si>
  <si>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</si>
  <si>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</si>
  <si>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</si>
  <si>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</si>
  <si>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</si>
  <si>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</si>
  <si>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</si>
  <si>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</si>
  <si>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</si>
  <si>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</si>
  <si>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</si>
  <si>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</si>
  <si>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</si>
  <si>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</si>
  <si>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</si>
  <si>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</si>
  <si>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</si>
  <si>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</si>
  <si>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</si>
  <si>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</si>
  <si>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</si>
  <si>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</si>
  <si>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</si>
  <si>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</si>
  <si>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</si>
  <si>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</si>
  <si>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</si>
  <si>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</si>
  <si>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</si>
  <si>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</si>
  <si>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</si>
  <si>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</si>
  <si>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</si>
  <si>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</si>
  <si>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</si>
  <si>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</si>
  <si>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</si>
  <si>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</si>
  <si>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</si>
  <si>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</si>
  <si>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</si>
  <si>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</si>
  <si>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</si>
  <si>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</si>
  <si>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</si>
  <si>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</si>
  <si>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</si>
  <si>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</si>
  <si>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</si>
  <si>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</si>
  <si>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</si>
  <si>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</si>
  <si>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</si>
  <si>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</si>
  <si>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</si>
  <si>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</si>
  <si>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</si>
  <si>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</si>
  <si>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</si>
  <si>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</si>
  <si>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</si>
  <si>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</si>
  <si>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</si>
  <si>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</si>
  <si>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</si>
  <si>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</si>
  <si>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</si>
  <si>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</si>
  <si>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</si>
  <si>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</si>
  <si>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</si>
  <si>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</si>
  <si>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</si>
  <si>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</si>
  <si>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</si>
  <si>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</si>
  <si>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</si>
  <si>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</si>
  <si>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</si>
  <si>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</si>
  <si>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</si>
  <si>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</si>
  <si>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</si>
  <si>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</si>
  <si>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</si>
  <si>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</si>
  <si>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</si>
  <si>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</si>
  <si>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</si>
  <si>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</si>
  <si>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</si>
  <si>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</si>
  <si>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</si>
  <si>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</si>
  <si>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</si>
  <si>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</si>
  <si>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</si>
  <si>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</si>
  <si>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</si>
  <si>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</si>
  <si>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</si>
  <si>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</si>
  <si>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</si>
  <si>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</si>
  <si>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</si>
  <si>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</si>
  <si>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</si>
  <si>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</si>
  <si>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</si>
  <si>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</si>
  <si>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</si>
  <si>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</si>
  <si>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</si>
  <si>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</si>
  <si>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</si>
  <si>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</si>
  <si>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</si>
  <si>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</si>
  <si>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</si>
  <si>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</si>
  <si>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</si>
  <si>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</si>
  <si>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</si>
  <si>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</si>
  <si>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</si>
  <si>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</si>
  <si>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</si>
  <si>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</si>
  <si>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</si>
  <si>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</si>
  <si>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</si>
  <si>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</si>
  <si>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</si>
  <si>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</si>
  <si>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</si>
  <si>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</si>
  <si>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</si>
  <si>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</si>
  <si>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</si>
  <si>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</si>
  <si>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</si>
  <si>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</si>
  <si>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</si>
  <si>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</si>
  <si>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</si>
  <si>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</si>
  <si>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</si>
  <si>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</si>
  <si>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</si>
  <si>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</si>
  <si>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</si>
  <si>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</si>
  <si>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</si>
  <si>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</si>
  <si>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</si>
  <si>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</si>
  <si>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</si>
  <si>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</si>
  <si>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</si>
  <si>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</si>
  <si>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</si>
  <si>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</si>
  <si>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</si>
  <si>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</si>
  <si>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</si>
  <si>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</si>
  <si>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</si>
  <si>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</si>
  <si>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</si>
  <si>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</si>
  <si>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</si>
  <si>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</si>
  <si>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</si>
  <si>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</si>
  <si>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</si>
  <si>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</si>
  <si>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</si>
  <si>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</si>
  <si>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</si>
  <si>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</si>
  <si>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</si>
  <si>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</si>
  <si>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</si>
  <si>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</si>
  <si>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</si>
  <si>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</si>
  <si>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</si>
  <si>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</si>
  <si>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</si>
  <si>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</si>
  <si>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</si>
  <si>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</si>
  <si>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</si>
  <si>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</si>
  <si>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</si>
  <si>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</si>
  <si>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</si>
  <si>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</si>
  <si>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</si>
  <si>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</si>
  <si>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</si>
  <si>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</si>
  <si>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</si>
  <si>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</si>
  <si>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</si>
  <si>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</si>
  <si>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</si>
  <si>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</si>
  <si>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</si>
  <si>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</si>
  <si>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</si>
  <si>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</si>
  <si>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</si>
  <si>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</si>
  <si>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</si>
  <si>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</si>
  <si>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</si>
  <si>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</si>
  <si>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</si>
  <si>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</si>
  <si>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</si>
  <si>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</si>
  <si>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</si>
  <si>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</si>
  <si>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</si>
  <si>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</si>
  <si>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</si>
  <si>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</si>
  <si>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</si>
  <si>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</si>
  <si>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</si>
  <si>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</si>
  <si>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</si>
  <si>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</si>
  <si>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</si>
  <si>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</si>
  <si>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</si>
  <si>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</si>
  <si>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</si>
  <si>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</si>
  <si>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</si>
  <si>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</si>
  <si>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</si>
  <si>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</si>
  <si>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</si>
  <si>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</si>
  <si>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</si>
  <si>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</si>
  <si>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</si>
  <si>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</si>
  <si>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</si>
  <si>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</si>
  <si>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</si>
  <si>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</si>
  <si>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</si>
  <si>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</si>
  <si>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</si>
  <si>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</si>
  <si>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</si>
  <si>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</si>
  <si>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</si>
  <si>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</si>
  <si>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</si>
  <si>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</si>
  <si>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</si>
  <si>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</si>
  <si>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</si>
  <si>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</si>
  <si>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</si>
  <si>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</si>
  <si>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</si>
  <si>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</si>
  <si>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</si>
  <si>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</si>
  <si>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</si>
  <si>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</si>
  <si>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</si>
  <si>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</si>
  <si>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</si>
  <si>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</si>
  <si>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</si>
  <si>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</si>
  <si>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</si>
  <si>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</si>
  <si>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</si>
  <si>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</si>
  <si>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</si>
  <si>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</si>
  <si>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</si>
  <si>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</si>
  <si>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</si>
  <si>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</si>
  <si>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</si>
  <si>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</si>
  <si>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</si>
  <si>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</si>
  <si>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</si>
  <si>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</si>
  <si>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</si>
  <si>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</si>
  <si>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</si>
  <si>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</si>
  <si>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</si>
  <si>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</si>
  <si>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</si>
  <si>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</si>
  <si>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</si>
  <si>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</si>
  <si>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</si>
  <si>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</si>
  <si>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</si>
  <si>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</si>
  <si>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</si>
  <si>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</si>
  <si>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</si>
  <si>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</si>
  <si>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</si>
  <si>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</si>
  <si>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</si>
  <si>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</si>
  <si>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</si>
  <si>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</si>
  <si>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</si>
  <si>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</si>
  <si>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</si>
  <si>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</si>
  <si>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</si>
  <si>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</si>
  <si>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</si>
  <si>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</si>
  <si>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</si>
  <si>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</si>
  <si>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</si>
  <si>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</si>
  <si>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</si>
  <si>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</si>
  <si>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</si>
  <si>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</si>
  <si>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</si>
  <si>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</si>
  <si>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</si>
  <si>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</si>
  <si>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</si>
  <si>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</si>
  <si>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</si>
  <si>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</si>
  <si>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</si>
  <si>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</si>
  <si>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</si>
  <si>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</si>
  <si>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</si>
  <si>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</si>
  <si>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</si>
  <si>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</si>
  <si>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</si>
  <si>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</si>
  <si>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</si>
  <si>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</si>
  <si>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</si>
  <si>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</si>
  <si>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</si>
  <si>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</si>
  <si>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</si>
  <si>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</si>
  <si>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</si>
  <si>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</si>
  <si>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</si>
  <si>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</si>
  <si>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</si>
  <si>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</si>
  <si>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</si>
  <si>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</si>
  <si>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</si>
  <si>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</si>
  <si>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</si>
  <si>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</si>
  <si>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</si>
  <si>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</si>
  <si>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</si>
  <si>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</si>
  <si>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</si>
  <si>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</si>
  <si>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</si>
  <si>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</si>
  <si>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</si>
  <si>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</si>
  <si>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</si>
  <si>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</si>
  <si>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</si>
  <si>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</si>
  <si>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</si>
  <si>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</si>
  <si>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</si>
  <si>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</si>
  <si>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</si>
  <si>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</si>
  <si>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</si>
  <si>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</si>
  <si>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</si>
  <si>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</si>
  <si>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</si>
  <si>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</si>
  <si>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</si>
  <si>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</si>
  <si>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</si>
  <si>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</si>
  <si>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</si>
  <si>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</si>
  <si>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</si>
  <si>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</si>
  <si>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</si>
  <si>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</si>
  <si>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</si>
  <si>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</si>
  <si>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</si>
  <si>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</si>
  <si>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</si>
  <si>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</si>
  <si>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</si>
  <si>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</si>
  <si>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</si>
  <si>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</si>
  <si>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</si>
  <si>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</si>
  <si>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</si>
  <si>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</si>
  <si>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</si>
  <si>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</si>
  <si>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</si>
  <si>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</si>
  <si>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</si>
  <si>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</si>
  <si>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</si>
  <si>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</si>
  <si>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</si>
  <si>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</si>
  <si>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</si>
  <si>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</si>
  <si>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</si>
  <si>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</si>
  <si>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</si>
  <si>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</si>
  <si>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</si>
  <si>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</si>
  <si>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</si>
  <si>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</si>
  <si>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</si>
  <si>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</si>
  <si>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</si>
  <si>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</si>
  <si>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</si>
  <si>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</si>
  <si>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</si>
  <si>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</si>
  <si>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</si>
  <si>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</si>
  <si>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</si>
  <si>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</si>
  <si>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</si>
  <si>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</si>
  <si>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</si>
  <si>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</si>
  <si>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</si>
  <si>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</si>
  <si>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</si>
  <si>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</si>
  <si>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</si>
  <si>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</si>
  <si>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</si>
  <si>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</si>
  <si>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</si>
  <si>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</si>
  <si>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</si>
  <si>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</si>
  <si>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</si>
  <si>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</si>
  <si>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</si>
  <si>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</si>
  <si>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</si>
  <si>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</si>
  <si>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</si>
  <si>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</si>
  <si>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</si>
  <si>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</si>
  <si>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</si>
  <si>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</si>
  <si>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</si>
  <si>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</si>
  <si>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</si>
  <si>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</si>
  <si>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</si>
  <si>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</si>
  <si>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</si>
  <si>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</si>
  <si>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</si>
  <si>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</si>
  <si>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</si>
  <si>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</si>
  <si>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</si>
  <si>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</si>
  <si>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</si>
  <si>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</si>
  <si>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</si>
  <si>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</si>
  <si>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</si>
  <si>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</si>
  <si>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</si>
  <si>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</si>
  <si>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</si>
  <si>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</si>
  <si>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</si>
  <si>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</si>
  <si>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</si>
  <si>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</si>
  <si>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</si>
  <si>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</si>
  <si>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</si>
  <si>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</si>
  <si>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</si>
  <si>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</si>
  <si>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</si>
  <si>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</si>
  <si>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</si>
  <si>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</si>
  <si>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</si>
  <si>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</si>
  <si>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</si>
  <si>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</si>
  <si>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</si>
  <si>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</si>
  <si>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</si>
  <si>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</si>
  <si>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</si>
  <si>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</si>
  <si>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</si>
  <si>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</si>
  <si>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</si>
  <si>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</si>
  <si>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</si>
  <si>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</si>
  <si>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</si>
  <si>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</si>
  <si>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</si>
  <si>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</si>
  <si>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</si>
  <si>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</si>
  <si>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</si>
  <si>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</si>
  <si>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</si>
  <si>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</si>
  <si>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</si>
  <si>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</si>
  <si>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</si>
  <si>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</si>
  <si>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</si>
  <si>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</si>
  <si>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</si>
  <si>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</si>
  <si>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</si>
  <si>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</si>
  <si>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</si>
  <si>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</si>
  <si>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</si>
  <si>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</si>
  <si>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</si>
  <si>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</si>
  <si>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</si>
  <si>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</si>
  <si>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</si>
  <si>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</si>
  <si>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</si>
  <si>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</si>
  <si>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</si>
  <si>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</si>
  <si>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</si>
  <si>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</si>
  <si>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</si>
  <si>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</si>
  <si>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</si>
  <si>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</si>
  <si>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</si>
  <si>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</si>
  <si>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</si>
  <si>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</si>
  <si>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</si>
  <si>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</si>
  <si>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</si>
  <si>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</si>
  <si>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</si>
  <si>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</si>
  <si>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</si>
  <si>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</si>
  <si>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</si>
  <si>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</si>
  <si>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</si>
  <si>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</si>
  <si>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</si>
  <si>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</si>
  <si>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</si>
  <si>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</si>
  <si>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</si>
  <si>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</si>
  <si>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</si>
  <si>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</si>
  <si>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</si>
  <si>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</si>
  <si>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</si>
  <si>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</si>
  <si>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</si>
  <si>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</si>
  <si>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</si>
  <si>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</si>
  <si>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</si>
  <si>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</si>
  <si>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</si>
  <si>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</si>
  <si>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</si>
  <si>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</si>
  <si>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</si>
  <si>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</si>
  <si>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</si>
  <si>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</si>
  <si>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</si>
  <si>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</si>
  <si>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</si>
  <si>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</si>
  <si>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</si>
  <si>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</si>
  <si>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</si>
  <si>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</si>
  <si>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</si>
  <si>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</si>
  <si>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</si>
  <si>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</si>
  <si>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</si>
  <si>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</si>
  <si>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</si>
  <si>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</si>
  <si>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</si>
  <si>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</si>
  <si>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</si>
  <si>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</si>
  <si>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</si>
  <si>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</si>
  <si>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</si>
  <si>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</si>
  <si>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</si>
  <si>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</si>
  <si>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</si>
  <si>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</si>
  <si>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</si>
  <si>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</si>
  <si>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</si>
  <si>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</si>
  <si>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</si>
  <si>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</si>
  <si>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</si>
  <si>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</si>
  <si>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</si>
  <si>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</si>
  <si>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</si>
  <si>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</si>
  <si>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</si>
  <si>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</si>
  <si>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</si>
  <si>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</si>
  <si>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</si>
  <si>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</si>
  <si>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</si>
  <si>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</si>
  <si>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</si>
  <si>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</si>
  <si>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</si>
  <si>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</si>
  <si>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</si>
  <si>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</si>
  <si>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</si>
  <si>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</si>
  <si>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</si>
  <si>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</si>
  <si>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</si>
  <si>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</si>
  <si>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</si>
  <si>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</si>
  <si>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</si>
  <si>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</si>
  <si>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</si>
  <si>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</si>
  <si>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</si>
  <si>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</si>
  <si>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</si>
  <si>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</si>
  <si>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</si>
  <si>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</si>
  <si>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</si>
  <si>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</si>
  <si>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</si>
  <si>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</si>
  <si>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</si>
  <si>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</si>
  <si>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</si>
  <si>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</si>
  <si>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</si>
  <si>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</si>
  <si>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</si>
  <si>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</si>
  <si>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</si>
  <si>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</si>
  <si>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</si>
  <si>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</si>
  <si>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</si>
  <si>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</si>
  <si>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</si>
  <si>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</si>
  <si>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</si>
  <si>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</si>
  <si>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</si>
  <si>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</si>
  <si>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</si>
  <si>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</si>
  <si>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</si>
  <si>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</si>
  <si>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</si>
  <si>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</si>
  <si>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</si>
  <si>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</si>
  <si>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</si>
  <si>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</si>
  <si>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</si>
  <si>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</si>
  <si>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</si>
  <si>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</si>
  <si>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</si>
  <si>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</si>
  <si>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</si>
  <si>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</si>
  <si>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</si>
  <si>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</si>
  <si>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</si>
  <si>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</si>
  <si>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</si>
  <si>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</si>
  <si>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</si>
  <si>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</si>
  <si>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</si>
  <si>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</si>
  <si>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</si>
  <si>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</si>
  <si>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</si>
  <si>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</si>
  <si>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</si>
  <si>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</si>
  <si>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</si>
  <si>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</si>
  <si>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</si>
  <si>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</si>
  <si>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</si>
  <si>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</si>
  <si>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</si>
  <si>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</si>
  <si>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</si>
  <si>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</si>
  <si>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</si>
  <si>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</si>
  <si>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</si>
  <si>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</si>
  <si>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</si>
  <si>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</si>
  <si>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</si>
  <si>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</si>
  <si>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</si>
  <si>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</si>
  <si>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</si>
  <si>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</si>
  <si>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</si>
  <si>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</si>
  <si>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</si>
  <si>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</si>
  <si>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</si>
  <si>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</si>
  <si>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</si>
  <si>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</si>
  <si>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</si>
  <si>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</si>
  <si>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</si>
  <si>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</si>
  <si>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</si>
  <si>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</si>
  <si>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</si>
  <si>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</si>
  <si>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</si>
  <si>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</si>
  <si>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</si>
  <si>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</si>
  <si>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</si>
  <si>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</si>
  <si>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</si>
  <si>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</si>
  <si>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</si>
  <si>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</si>
  <si>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</si>
  <si>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</si>
  <si>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</si>
  <si>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</si>
  <si>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</si>
  <si>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</si>
  <si>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</si>
  <si>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</si>
  <si>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</si>
  <si>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</si>
  <si>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</si>
  <si>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</si>
  <si>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</si>
  <si>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</si>
  <si>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</si>
  <si>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</si>
  <si>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</si>
  <si>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</si>
  <si>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</si>
  <si>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</si>
  <si>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</si>
  <si>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</si>
  <si>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</si>
  <si>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</si>
  <si>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</si>
  <si>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</si>
  <si>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</si>
  <si>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</si>
  <si>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</si>
  <si>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</si>
  <si>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</si>
  <si>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</si>
  <si>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</si>
  <si>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</si>
  <si>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</si>
  <si>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</si>
  <si>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</si>
  <si>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</si>
  <si>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</si>
  <si>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</si>
  <si>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</si>
  <si>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</si>
  <si>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</si>
  <si>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</si>
  <si>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</si>
  <si>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</si>
  <si>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</si>
  <si>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</si>
  <si>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</si>
  <si>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</si>
  <si>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</si>
  <si>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</si>
  <si>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</si>
  <si>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</si>
  <si>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</si>
  <si>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</si>
  <si>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</si>
  <si>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</si>
  <si>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</si>
  <si>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</si>
  <si>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</si>
  <si>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</si>
  <si>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</si>
  <si>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</si>
  <si>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</si>
  <si>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</si>
  <si>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</si>
  <si>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</si>
  <si>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</si>
  <si>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</si>
  <si>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</si>
  <si>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</si>
  <si>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</si>
  <si>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</si>
  <si>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</si>
  <si>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</si>
  <si>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</si>
  <si>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</si>
  <si>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</si>
  <si>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</si>
  <si>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</si>
  <si>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</si>
  <si>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</si>
  <si>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</si>
  <si>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</si>
  <si>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</si>
  <si>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</si>
  <si>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</si>
  <si>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</si>
  <si>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</si>
  <si>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</si>
  <si>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</si>
  <si>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</si>
  <si>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</si>
  <si>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</si>
  <si>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</si>
  <si>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</si>
  <si>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</si>
  <si>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</si>
  <si>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</si>
  <si>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</si>
  <si>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</si>
  <si>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</si>
  <si>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</si>
  <si>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</si>
  <si>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</si>
  <si>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</si>
  <si>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</si>
  <si>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</si>
  <si>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</si>
  <si>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</si>
  <si>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</si>
  <si>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</si>
  <si>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</si>
  <si>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</si>
  <si>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</si>
  <si>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</si>
  <si>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</si>
  <si>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</si>
  <si>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</si>
  <si>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</si>
  <si>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</si>
  <si>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</si>
  <si>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</si>
  <si>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</si>
  <si>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</si>
  <si>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</si>
  <si>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</si>
  <si>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</si>
  <si>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</si>
  <si>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</si>
  <si>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</si>
  <si>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</si>
  <si>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</si>
  <si>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</si>
  <si>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</si>
  <si>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</si>
  <si>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</si>
  <si>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</si>
  <si>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</si>
  <si>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</si>
  <si>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</si>
  <si>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</si>
  <si>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</si>
  <si>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</si>
  <si>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</si>
  <si>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</si>
  <si>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</si>
  <si>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</si>
  <si>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</si>
  <si>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</si>
  <si>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</si>
  <si>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</si>
  <si>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</si>
  <si>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</si>
  <si>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</si>
  <si>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</si>
  <si>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</si>
  <si>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</si>
  <si>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</si>
  <si>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</si>
  <si>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</si>
  <si>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</si>
  <si>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</si>
  <si>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</si>
  <si>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</si>
  <si>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</si>
  <si>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</si>
  <si>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</si>
  <si>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</si>
  <si>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</si>
  <si>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</si>
  <si>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</si>
  <si>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</si>
  <si>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</si>
  <si>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</si>
  <si>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</si>
  <si>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</si>
  <si>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</si>
  <si>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</si>
  <si>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</si>
  <si>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</si>
  <si>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</si>
  <si>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</si>
  <si>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</si>
  <si>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</si>
  <si>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</si>
  <si>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</si>
  <si>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</si>
  <si>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</si>
  <si>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</si>
  <si>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</si>
  <si>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</si>
  <si>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</si>
  <si>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</si>
  <si>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</si>
  <si>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</si>
  <si>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</si>
  <si>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</si>
  <si>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</si>
  <si>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</si>
  <si>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</si>
  <si>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</si>
  <si>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</si>
  <si>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</si>
  <si>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</si>
  <si>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</si>
  <si>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</si>
  <si>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</si>
  <si>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</si>
  <si>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</si>
  <si>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</si>
  <si>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</si>
  <si>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</si>
  <si>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</si>
  <si>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</si>
  <si>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</si>
  <si>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</si>
  <si>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</si>
  <si>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</si>
  <si>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</si>
  <si>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</si>
  <si>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</si>
  <si>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</si>
  <si>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</si>
  <si>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</si>
  <si>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</si>
  <si>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</si>
  <si>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</si>
  <si>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</si>
  <si>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</si>
  <si>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</si>
  <si>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</si>
  <si>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</si>
  <si>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</si>
  <si>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</si>
  <si>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</si>
  <si>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</si>
  <si>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</si>
  <si>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</si>
  <si>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</si>
  <si>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</si>
  <si>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</si>
  <si>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</si>
  <si>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</si>
  <si>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</si>
  <si>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</si>
  <si>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</si>
  <si>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</si>
  <si>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</si>
  <si>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</si>
  <si>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</si>
  <si>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</si>
  <si>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</si>
  <si>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</si>
  <si>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</si>
  <si>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</si>
  <si>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</si>
  <si>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</si>
  <si>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</si>
  <si>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</si>
  <si>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</si>
  <si>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</si>
  <si>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</si>
  <si>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</si>
  <si>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</si>
  <si>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</si>
  <si>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</si>
  <si>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</si>
  <si>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</si>
  <si>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</si>
  <si>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</si>
  <si>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</si>
  <si>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</si>
  <si>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</si>
  <si>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</si>
  <si>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</si>
  <si>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</si>
  <si>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</si>
  <si>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</si>
  <si>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</si>
  <si>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</si>
  <si>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</si>
  <si>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</si>
  <si>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</si>
  <si>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</si>
  <si>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</si>
  <si>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</si>
  <si>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</si>
  <si>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</si>
  <si>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</si>
  <si>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</si>
  <si>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</si>
  <si>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</si>
  <si>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</si>
  <si>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</si>
  <si>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</si>
  <si>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</si>
  <si>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</si>
  <si>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</si>
  <si>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</si>
  <si>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</si>
  <si>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</si>
  <si>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</si>
  <si>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</si>
  <si>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</si>
  <si>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</si>
  <si>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</si>
  <si>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</si>
  <si>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</si>
  <si>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</si>
  <si>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</si>
  <si>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</si>
  <si>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</si>
  <si>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</si>
  <si>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</si>
  <si>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</si>
  <si>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</si>
  <si>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</si>
  <si>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</si>
  <si>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</si>
  <si>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</si>
  <si>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</si>
  <si>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</si>
  <si>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</si>
  <si>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</si>
  <si>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</si>
  <si>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</si>
  <si>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</si>
  <si>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</si>
  <si>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</si>
  <si>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</si>
  <si>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</si>
  <si>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</si>
  <si>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</si>
  <si>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</si>
  <si>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</si>
  <si>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</si>
  <si>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</si>
  <si>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</si>
  <si>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</si>
  <si>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</si>
  <si>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</si>
  <si>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</si>
  <si>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</si>
  <si>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</si>
  <si>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</si>
  <si>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</si>
  <si>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</si>
  <si>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</si>
  <si>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</si>
  <si>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</si>
  <si>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</si>
  <si>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</si>
  <si>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</si>
  <si>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</si>
  <si>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</si>
  <si>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</si>
  <si>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</si>
  <si>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</si>
  <si>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</si>
  <si>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</si>
  <si>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</si>
  <si>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</si>
  <si>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</si>
  <si>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</si>
  <si>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</si>
  <si>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</si>
  <si>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</si>
  <si>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</si>
  <si>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</si>
  <si>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</si>
  <si>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</si>
  <si>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</si>
  <si>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</si>
  <si>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</si>
  <si>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</si>
  <si>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</si>
  <si>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</si>
  <si>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</si>
  <si>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</si>
  <si>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</si>
  <si>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</si>
  <si>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</si>
  <si>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</si>
  <si>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</si>
  <si>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</si>
  <si>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</si>
  <si>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</si>
  <si>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</si>
  <si>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</si>
  <si>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</si>
  <si>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</si>
  <si>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</si>
  <si>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</si>
  <si>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</si>
  <si>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</si>
  <si>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</si>
  <si>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</si>
  <si>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</si>
  <si>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</si>
  <si>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</si>
  <si>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</si>
  <si>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</si>
  <si>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</si>
  <si>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</si>
  <si>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</si>
  <si>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</si>
  <si>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</si>
  <si>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</si>
  <si>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</si>
  <si>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</si>
  <si>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</si>
  <si>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</si>
  <si>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</si>
  <si>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</si>
  <si>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</si>
  <si>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</si>
  <si>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</si>
  <si>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</si>
  <si>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</si>
  <si>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</si>
  <si>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</si>
  <si>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</si>
  <si>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</si>
  <si>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</si>
  <si>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</si>
  <si>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</si>
  <si>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</si>
  <si>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</si>
  <si>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</si>
  <si>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</si>
  <si>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</si>
  <si>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</si>
  <si>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</si>
  <si>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</si>
  <si>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</si>
  <si>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</si>
  <si>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</si>
  <si>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</si>
  <si>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</si>
  <si>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</si>
  <si>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</si>
  <si>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</si>
  <si>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</si>
  <si>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</si>
  <si>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</si>
  <si>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</si>
  <si>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</si>
  <si>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</si>
  <si>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</si>
  <si>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</si>
  <si>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</si>
  <si>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</si>
  <si>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</si>
  <si>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</si>
  <si>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</si>
  <si>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</si>
  <si>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</si>
  <si>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</si>
  <si>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</si>
  <si>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</si>
  <si>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</si>
  <si>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</si>
  <si>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</si>
  <si>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</si>
  <si>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</si>
  <si>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</si>
  <si>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</si>
  <si>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</si>
  <si>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</si>
  <si>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</si>
  <si>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</si>
  <si>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</si>
  <si>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</si>
  <si>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</si>
  <si>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</si>
  <si>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</si>
  <si>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</si>
  <si>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</si>
  <si>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</si>
  <si>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</si>
  <si>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</si>
  <si>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</si>
  <si>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</si>
  <si>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</si>
  <si>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</si>
  <si>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</si>
  <si>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</si>
  <si>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</si>
  <si>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</si>
  <si>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</si>
  <si>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</si>
  <si>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</si>
  <si>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</si>
  <si>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</si>
  <si>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</si>
  <si>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</si>
  <si>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</si>
  <si>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</si>
  <si>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</si>
  <si>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</si>
  <si>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</si>
  <si>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</si>
  <si>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</si>
  <si>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</si>
  <si>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</si>
  <si>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</si>
  <si>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</si>
  <si>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</si>
  <si>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</si>
  <si>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</si>
  <si>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</si>
  <si>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</si>
  <si>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</si>
  <si>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</si>
  <si>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</si>
  <si>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</si>
  <si>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</si>
  <si>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</si>
  <si>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</si>
  <si>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</si>
  <si>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</si>
  <si>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</si>
  <si>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</si>
  <si>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</si>
  <si>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</si>
  <si>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</si>
  <si>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</si>
  <si>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</si>
  <si>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</si>
  <si>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</si>
  <si>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</si>
  <si>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</si>
  <si>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</si>
  <si>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</si>
  <si>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</si>
  <si>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</si>
  <si>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</si>
  <si>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</si>
  <si>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</si>
  <si>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</si>
  <si>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</si>
  <si>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</si>
  <si>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</si>
  <si>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</si>
  <si>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</si>
  <si>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</si>
  <si>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</si>
  <si>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</si>
  <si>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</si>
  <si>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</si>
  <si>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</si>
  <si>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</si>
  <si>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</si>
  <si>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</si>
  <si>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</si>
  <si>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</si>
  <si>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</si>
  <si>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</si>
  <si>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</si>
  <si>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</si>
  <si>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</si>
  <si>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</si>
  <si>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</si>
  <si>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</si>
  <si>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</si>
  <si>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</si>
  <si>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</si>
  <si>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</si>
  <si>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</si>
  <si>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</si>
  <si>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</si>
  <si>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</si>
  <si>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</si>
  <si>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</si>
  <si>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</si>
  <si>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</si>
  <si>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</si>
  <si>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</si>
  <si>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</si>
  <si>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</si>
  <si>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</si>
  <si>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</si>
  <si>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</si>
  <si>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</si>
  <si>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</si>
  <si>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</si>
  <si>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</si>
  <si>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</si>
  <si>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</si>
  <si>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</si>
  <si>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</si>
  <si>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</si>
  <si>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</si>
  <si>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</si>
  <si>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</si>
  <si>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</si>
  <si>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</si>
  <si>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</si>
  <si>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</si>
  <si>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</si>
  <si>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</si>
  <si>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</si>
  <si>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</si>
  <si>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</si>
  <si>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</si>
  <si>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</si>
  <si>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</si>
  <si>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</si>
  <si>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</si>
  <si>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</si>
  <si>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</si>
  <si>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</si>
  <si>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</si>
  <si>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</si>
  <si>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</si>
  <si>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</si>
  <si>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</si>
  <si>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</si>
  <si>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</si>
  <si>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</si>
  <si>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</si>
  <si>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</si>
  <si>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</si>
  <si>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</si>
  <si>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</si>
  <si>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</si>
  <si>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</si>
  <si>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</si>
  <si>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</si>
  <si>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</si>
  <si>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</si>
  <si>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</si>
  <si>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</si>
  <si>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</si>
  <si>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</si>
  <si>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</si>
  <si>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</si>
  <si>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</si>
  <si>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</si>
  <si>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</si>
  <si>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</si>
  <si>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</si>
  <si>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</si>
  <si>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</si>
  <si>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</si>
  <si>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</si>
  <si>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</si>
  <si>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</si>
  <si>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</si>
  <si>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</si>
  <si>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</si>
  <si>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</si>
  <si>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</si>
  <si>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</si>
  <si>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</si>
  <si>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</si>
  <si>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</si>
  <si>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</si>
  <si>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</si>
  <si>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</si>
  <si>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</si>
  <si>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</si>
  <si>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</si>
  <si>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</si>
  <si>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</si>
  <si>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</si>
  <si>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</si>
  <si>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</si>
  <si>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</si>
  <si>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</si>
  <si>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</si>
  <si>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</si>
  <si>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</si>
  <si>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</si>
  <si>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</si>
  <si>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</si>
  <si>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</si>
  <si>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</si>
  <si>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</si>
  <si>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</si>
  <si>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</si>
  <si>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</si>
  <si>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</si>
  <si>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</si>
  <si>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</si>
  <si>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</si>
  <si>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</si>
  <si>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</si>
  <si>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</si>
  <si>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</si>
  <si>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</si>
  <si>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</si>
  <si>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</si>
  <si>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</si>
  <si>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</si>
  <si>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</si>
  <si>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</si>
  <si>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</si>
  <si>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</si>
  <si>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</si>
  <si>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</si>
  <si>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</si>
  <si>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</si>
  <si>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</si>
  <si>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</si>
  <si>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</si>
  <si>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</si>
  <si>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</si>
  <si>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</si>
  <si>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</si>
  <si>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</si>
  <si>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</si>
  <si>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</si>
  <si>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</si>
  <si>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</si>
  <si>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</si>
  <si>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</si>
  <si>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</si>
  <si>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</si>
  <si>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</si>
  <si>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</si>
  <si>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</si>
  <si>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</si>
  <si>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</si>
  <si>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</si>
  <si>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</si>
  <si>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</si>
  <si>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</si>
  <si>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</si>
  <si>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</si>
  <si>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</si>
  <si>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</si>
  <si>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</si>
  <si>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</si>
  <si>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</si>
  <si>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</si>
  <si>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</si>
  <si>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</si>
  <si>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</si>
  <si>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</si>
  <si>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</si>
  <si>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</si>
  <si>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</si>
  <si>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</si>
  <si>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</si>
  <si>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</si>
  <si>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</si>
  <si>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</si>
  <si>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</si>
  <si>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</si>
  <si>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</si>
  <si>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</si>
  <si>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</si>
  <si>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</si>
  <si>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</si>
  <si>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</si>
  <si>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</si>
  <si>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</si>
  <si>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</si>
  <si>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</si>
  <si>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</si>
  <si>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</si>
  <si>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</si>
  <si>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</si>
  <si>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</si>
  <si>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</si>
  <si>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</si>
  <si>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</si>
  <si>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</si>
  <si>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</si>
  <si>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</si>
  <si>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</si>
  <si>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</si>
  <si>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</si>
  <si>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</si>
  <si>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</si>
  <si>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</si>
  <si>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</si>
  <si>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</si>
  <si>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</si>
  <si>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</si>
  <si>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</si>
  <si>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</si>
  <si>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</si>
  <si>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</si>
  <si>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</si>
  <si>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</si>
  <si>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</si>
  <si>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</si>
  <si>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</si>
  <si>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</si>
  <si>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</si>
  <si>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</si>
  <si>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</si>
  <si>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</si>
  <si>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</si>
  <si>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</si>
  <si>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</si>
  <si>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</si>
  <si>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</si>
  <si>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</si>
  <si>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</si>
  <si>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</si>
  <si>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</si>
  <si>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</si>
  <si>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</si>
  <si>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</si>
  <si>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</si>
  <si>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</si>
  <si>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</si>
  <si>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</si>
  <si>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</si>
  <si>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</si>
  <si>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</si>
  <si>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</si>
  <si>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</si>
  <si>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</si>
  <si>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</si>
  <si>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</si>
  <si>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</si>
  <si>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</si>
  <si>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</si>
  <si>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</si>
  <si>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</si>
  <si>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</si>
  <si>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</si>
  <si>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</si>
  <si>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</si>
  <si>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</si>
  <si>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</si>
  <si>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</si>
  <si>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</si>
  <si>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</si>
  <si>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</si>
  <si>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</si>
  <si>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</si>
  <si>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</si>
  <si>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</si>
  <si>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</si>
  <si>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</si>
  <si>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</si>
  <si>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</si>
  <si>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</si>
  <si>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</si>
  <si>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</si>
  <si>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</si>
  <si>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</si>
  <si>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</si>
  <si>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</si>
  <si>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</si>
  <si>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</si>
  <si>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</si>
  <si>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</si>
  <si>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</si>
  <si>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</si>
  <si>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</si>
  <si>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</si>
  <si>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</si>
  <si>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</si>
  <si>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</si>
  <si>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</si>
  <si>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</si>
  <si>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</si>
  <si>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</si>
  <si>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</si>
  <si>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</si>
  <si>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</si>
  <si>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</si>
  <si>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</si>
  <si>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</si>
  <si>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</si>
  <si>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</si>
  <si>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</si>
  <si>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</si>
  <si>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</si>
  <si>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</si>
  <si>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</si>
  <si>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</si>
  <si>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</si>
  <si>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</si>
  <si>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</si>
  <si>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</si>
  <si>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</si>
  <si>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</si>
  <si>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</si>
  <si>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</si>
  <si>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</si>
  <si>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</si>
  <si>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</si>
  <si>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</si>
  <si>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</si>
  <si>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</si>
  <si>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</si>
  <si>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</si>
  <si>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</si>
  <si>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</si>
  <si>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</si>
  <si>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</si>
  <si>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</si>
  <si>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</si>
  <si>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</si>
  <si>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</si>
  <si>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</si>
  <si>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</si>
  <si>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</si>
  <si>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</si>
  <si>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</si>
  <si>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</si>
  <si>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</si>
  <si>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</si>
  <si>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</si>
  <si>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</si>
  <si>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</si>
  <si>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</si>
  <si>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</si>
  <si>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</si>
  <si>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</si>
  <si>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</si>
  <si>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</si>
  <si>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</si>
  <si>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</si>
  <si>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</si>
  <si>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</si>
  <si>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</si>
  <si>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</si>
  <si>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</si>
  <si>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</si>
  <si>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</si>
  <si>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</si>
  <si>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</si>
  <si>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</si>
  <si>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</si>
  <si>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</si>
  <si>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</si>
  <si>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</si>
  <si>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</si>
  <si>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</si>
  <si>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</si>
  <si>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</si>
  <si>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</si>
  <si>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</si>
  <si>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</si>
  <si>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</si>
  <si>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</si>
  <si>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</si>
  <si>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</si>
  <si>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</si>
  <si>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</si>
  <si>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</si>
  <si>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</si>
  <si>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</si>
  <si>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</si>
  <si>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</si>
  <si>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</si>
  <si>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</si>
  <si>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</si>
  <si>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</si>
  <si>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</si>
  <si>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</si>
  <si>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</si>
  <si>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</si>
  <si>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</si>
  <si>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</si>
  <si>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</si>
  <si>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</si>
  <si>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</si>
  <si>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</si>
  <si>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</si>
  <si>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</si>
  <si>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</si>
  <si>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</si>
  <si>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</si>
  <si>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</si>
  <si>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</si>
  <si>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</si>
  <si>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</si>
  <si>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</si>
  <si>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</si>
  <si>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</si>
  <si>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</si>
  <si>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</si>
  <si>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</si>
  <si>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</si>
  <si>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</si>
  <si>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</si>
  <si>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</si>
  <si>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</si>
  <si>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</si>
  <si>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</si>
  <si>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</si>
  <si>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</si>
  <si>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</si>
  <si>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</si>
  <si>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</si>
  <si>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</si>
  <si>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</si>
  <si>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</si>
  <si>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</si>
  <si>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</si>
  <si>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</si>
  <si>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</si>
  <si>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</si>
  <si>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</si>
  <si>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</si>
  <si>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</si>
  <si>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</si>
  <si>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</si>
  <si>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</si>
  <si>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</si>
  <si>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</si>
  <si>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</si>
  <si>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</si>
  <si>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</si>
  <si>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</si>
  <si>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</si>
  <si>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</si>
  <si>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</si>
  <si>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</si>
  <si>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</si>
  <si>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</si>
  <si>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</si>
  <si>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</si>
  <si>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</si>
  <si>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</si>
  <si>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</si>
  <si>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</si>
  <si>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</si>
  <si>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</si>
  <si>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</si>
  <si>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</si>
  <si>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</si>
  <si>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</si>
  <si>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</si>
  <si>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</si>
  <si>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</si>
  <si>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</si>
  <si>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</si>
  <si>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</si>
  <si>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</si>
  <si>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</si>
  <si>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</si>
  <si>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</si>
  <si>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</si>
  <si>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</si>
  <si>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</si>
  <si>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</si>
  <si>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</si>
  <si>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</si>
  <si>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</si>
  <si>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</si>
  <si>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</si>
  <si>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</si>
  <si>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</si>
  <si>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</si>
  <si>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</si>
  <si>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</si>
  <si>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</si>
  <si>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</si>
  <si>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</si>
  <si>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</si>
  <si>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</si>
  <si>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</si>
  <si>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</si>
  <si>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</si>
  <si>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</si>
  <si>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</si>
  <si>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</si>
  <si>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</si>
  <si>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</si>
  <si>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</si>
  <si>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</si>
  <si>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</si>
  <si>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</si>
  <si>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</si>
  <si>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</si>
  <si>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</si>
  <si>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</si>
  <si>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</si>
  <si>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</si>
  <si>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</si>
  <si>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</si>
  <si>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</si>
  <si>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</si>
  <si>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</si>
  <si>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</si>
  <si>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</si>
  <si>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</si>
  <si>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</si>
  <si>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</si>
  <si>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</si>
  <si>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</si>
  <si>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</si>
  <si>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</si>
  <si>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</si>
  <si>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</si>
  <si>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</si>
  <si>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</si>
  <si>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</si>
  <si>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</si>
  <si>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</si>
  <si>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</si>
  <si>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</si>
  <si>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</si>
  <si>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</si>
  <si>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</si>
  <si>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</si>
  <si>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</si>
  <si>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</si>
  <si>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</si>
  <si>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</si>
  <si>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</si>
  <si>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</si>
  <si>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</si>
  <si>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</si>
  <si>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</si>
  <si>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</si>
  <si>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</si>
  <si>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</si>
  <si>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</si>
  <si>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</si>
  <si>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</si>
  <si>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</si>
  <si>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</si>
  <si>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</si>
  <si>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</si>
  <si>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</si>
  <si>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</si>
  <si>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</si>
  <si>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</si>
  <si>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</si>
  <si>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</si>
  <si>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</si>
  <si>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</si>
  <si>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</si>
  <si>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</si>
  <si>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</si>
  <si>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</si>
  <si>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</si>
  <si>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</si>
  <si>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</si>
  <si>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</si>
  <si>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</si>
  <si>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</si>
  <si>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</si>
  <si>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</si>
  <si>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</si>
  <si>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</si>
  <si>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</si>
  <si>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</si>
  <si>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</si>
  <si>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</si>
  <si>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</si>
  <si>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</si>
  <si>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</si>
  <si>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</si>
  <si>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</si>
  <si>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</si>
  <si>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</si>
  <si>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</si>
  <si>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</si>
  <si>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</si>
  <si>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</si>
  <si>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</si>
  <si>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</si>
  <si>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</si>
  <si>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</si>
  <si>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</si>
  <si>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</si>
  <si>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</si>
  <si>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</si>
  <si>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</si>
  <si>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</si>
  <si>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</si>
  <si>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</si>
  <si>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</si>
  <si>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</si>
  <si>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</si>
  <si>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</si>
  <si>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</si>
  <si>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</si>
  <si>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</si>
  <si>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</si>
  <si>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</si>
  <si>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</si>
  <si>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</si>
  <si>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</si>
  <si>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</si>
  <si>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</si>
  <si>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</si>
  <si>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</si>
  <si>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</si>
  <si>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</si>
  <si>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</si>
  <si>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</si>
  <si>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</si>
  <si>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</si>
  <si>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</si>
  <si>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</si>
  <si>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</si>
  <si>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</si>
  <si>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</si>
  <si>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</si>
  <si>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</si>
  <si>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</si>
  <si>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</si>
  <si>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</si>
  <si>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</si>
  <si>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</si>
  <si>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</si>
  <si>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</si>
  <si>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</si>
  <si>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</si>
  <si>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</si>
  <si>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</si>
  <si>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</si>
  <si>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</si>
  <si>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</si>
  <si>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</si>
  <si>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</si>
  <si>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</si>
  <si>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</si>
  <si>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</si>
  <si>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</si>
  <si>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</si>
  <si>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</si>
  <si>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</si>
  <si>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</si>
  <si>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</si>
  <si>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</si>
  <si>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</si>
  <si>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</si>
  <si>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</si>
  <si>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</si>
  <si>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</si>
  <si>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</si>
  <si>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</si>
  <si>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</si>
  <si>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</si>
  <si>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</si>
  <si>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</si>
  <si>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</si>
  <si>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</si>
  <si>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</si>
  <si>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</si>
  <si>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</si>
  <si>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</si>
  <si>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</si>
  <si>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</si>
  <si>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</si>
  <si>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</si>
  <si>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</si>
  <si>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</si>
  <si>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</si>
  <si>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</si>
  <si>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</si>
  <si>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</si>
  <si>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</si>
  <si>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</si>
  <si>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</si>
  <si>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</si>
  <si>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</si>
  <si>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</si>
  <si>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</si>
  <si>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</si>
  <si>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</si>
  <si>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</si>
  <si>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</si>
  <si>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</si>
  <si>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</si>
  <si>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</si>
  <si>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</si>
  <si>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</si>
  <si>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</si>
  <si>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</si>
  <si>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</si>
  <si>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</si>
  <si>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</si>
  <si>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</si>
  <si>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</si>
  <si>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</si>
  <si>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</si>
  <si>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</si>
  <si>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</si>
  <si>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</si>
  <si>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</si>
  <si>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</si>
  <si>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</si>
  <si>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</si>
  <si>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</si>
  <si>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</si>
  <si>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</si>
  <si>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</si>
  <si>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</si>
  <si>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</si>
  <si>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</si>
  <si>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</si>
  <si>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</si>
  <si>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</si>
  <si>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</si>
  <si>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</si>
  <si>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</si>
  <si>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</si>
  <si>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</si>
  <si>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</si>
  <si>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</si>
  <si>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</si>
  <si>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</si>
  <si>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</si>
  <si>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</si>
  <si>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</si>
  <si>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</si>
  <si>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</si>
  <si>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</si>
  <si>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</si>
  <si>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</si>
  <si>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</si>
  <si>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</si>
  <si>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</si>
  <si>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</si>
  <si>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</si>
  <si>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</si>
  <si>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</si>
  <si>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</si>
  <si>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</si>
  <si>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</si>
  <si>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</si>
  <si>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</si>
  <si>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</si>
  <si>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</si>
  <si>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</si>
  <si>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</si>
  <si>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</si>
  <si>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</si>
  <si>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</si>
  <si>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</si>
  <si>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</si>
  <si>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</si>
  <si>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</si>
  <si>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</si>
  <si>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</si>
  <si>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</si>
  <si>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</si>
  <si>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</si>
  <si>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</si>
  <si>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</si>
  <si>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</si>
  <si>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</si>
  <si>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</si>
  <si>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</si>
  <si>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</si>
  <si>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</si>
  <si>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</si>
  <si>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</si>
  <si>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</si>
  <si>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</si>
  <si>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</si>
  <si>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</si>
  <si>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</si>
  <si>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</si>
  <si>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</si>
  <si>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</si>
  <si>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</si>
  <si>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</si>
  <si>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</si>
  <si>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</si>
  <si>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</si>
  <si>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</si>
  <si>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</si>
  <si>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</si>
  <si>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</si>
  <si>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</si>
  <si>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</si>
  <si>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</si>
  <si>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</si>
  <si>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</si>
  <si>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</si>
  <si>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</si>
  <si>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</si>
  <si>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</si>
  <si>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</si>
  <si>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</si>
  <si>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</si>
  <si>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</si>
  <si>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</si>
  <si>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</si>
  <si>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</si>
  <si>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</si>
  <si>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</si>
  <si>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</si>
  <si>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</si>
  <si>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</si>
  <si>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</si>
  <si>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</si>
  <si>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</si>
  <si>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</si>
  <si>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</si>
  <si>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</si>
  <si>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</si>
  <si>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</si>
  <si>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</si>
  <si>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</si>
  <si>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</si>
  <si>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</si>
  <si>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</si>
  <si>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</si>
  <si>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</si>
  <si>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</si>
  <si>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</si>
  <si>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</si>
  <si>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</si>
  <si>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</si>
  <si>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</si>
  <si>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</si>
  <si>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</si>
  <si>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</si>
  <si>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</si>
  <si>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</si>
  <si>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</si>
  <si>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</si>
  <si>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</si>
  <si>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</si>
  <si>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</si>
  <si>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</si>
  <si>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</si>
  <si>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</si>
  <si>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</si>
  <si>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</si>
  <si>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</si>
  <si>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</si>
  <si>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</si>
  <si>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</si>
  <si>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</si>
  <si>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</si>
  <si>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</si>
  <si>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</si>
  <si>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</si>
  <si>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</si>
  <si>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</si>
  <si>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</si>
  <si>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</si>
  <si>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</si>
  <si>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</si>
  <si>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</si>
  <si>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</si>
  <si>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</si>
  <si>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</si>
  <si>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</si>
  <si>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</si>
  <si>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</si>
  <si>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</si>
  <si>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</si>
  <si>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</si>
  <si>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</si>
  <si>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</si>
  <si>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</si>
  <si>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</si>
  <si>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</si>
  <si>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</si>
  <si>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</si>
  <si>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</si>
  <si>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</si>
  <si>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</si>
  <si>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</si>
  <si>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</si>
  <si>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</si>
  <si>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</si>
  <si>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</si>
  <si>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</si>
  <si>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</si>
  <si>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</si>
  <si>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</si>
  <si>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</si>
  <si>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</si>
  <si>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</si>
  <si>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</si>
  <si>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</si>
  <si>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</si>
  <si>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</si>
  <si>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</si>
  <si>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</si>
  <si>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</si>
  <si>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</si>
  <si>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</si>
  <si>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</si>
  <si>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</si>
  <si>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</si>
  <si>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</si>
  <si>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</si>
  <si>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</si>
  <si>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</si>
  <si>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</si>
  <si>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</si>
  <si>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</si>
  <si>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</si>
  <si>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</si>
  <si>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</si>
  <si>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</si>
  <si>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</si>
  <si>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</si>
  <si>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</si>
  <si>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</si>
  <si>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</si>
  <si>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</si>
  <si>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</si>
  <si>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</si>
  <si>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</si>
  <si>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</si>
  <si>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</si>
  <si>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</si>
  <si>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</si>
  <si>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</si>
  <si>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</si>
  <si>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</si>
  <si>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</si>
  <si>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</si>
  <si>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</si>
  <si>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</si>
  <si>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</si>
  <si>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</si>
  <si>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</si>
  <si>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</si>
  <si>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</si>
  <si>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</si>
  <si>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</si>
  <si>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</si>
  <si>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</si>
  <si>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</si>
  <si>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</si>
  <si>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</si>
  <si>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</si>
  <si>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</si>
  <si>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</si>
  <si>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</si>
  <si>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</si>
  <si>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</si>
  <si>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</si>
  <si>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</si>
  <si>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</si>
  <si>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</si>
  <si>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</si>
  <si>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</si>
  <si>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</si>
  <si>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</si>
  <si>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</si>
  <si>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</si>
  <si>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</si>
  <si>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</si>
  <si>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</si>
  <si>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</si>
  <si>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</si>
  <si>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</si>
  <si>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</si>
  <si>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</si>
  <si>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</si>
  <si>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</si>
  <si>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</si>
  <si>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</si>
  <si>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</si>
  <si>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</si>
  <si>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</si>
  <si>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</si>
  <si>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</si>
  <si>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</si>
  <si>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</si>
  <si>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</si>
  <si>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</si>
  <si>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</si>
  <si>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</si>
  <si>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</si>
  <si>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</si>
  <si>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</si>
  <si>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</si>
  <si>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</si>
  <si>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</si>
  <si>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</si>
  <si>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</si>
  <si>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</si>
  <si>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</si>
  <si>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</si>
  <si>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</si>
  <si>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</si>
  <si>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</si>
  <si>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</si>
  <si>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</si>
  <si>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</si>
  <si>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</si>
  <si>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</si>
  <si>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</si>
  <si>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</si>
  <si>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</si>
  <si>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</si>
  <si>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</si>
  <si>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</si>
  <si>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</si>
  <si>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</si>
  <si>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</si>
  <si>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</si>
  <si>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</si>
  <si>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</si>
  <si>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</si>
  <si>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</si>
  <si>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</si>
  <si>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</si>
  <si>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</si>
  <si>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</si>
  <si>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</si>
  <si>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</si>
  <si>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</si>
  <si>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</si>
  <si>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</si>
  <si>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</si>
  <si>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</si>
  <si>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</si>
  <si>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</si>
  <si>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</si>
  <si>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</si>
  <si>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</si>
  <si>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</si>
  <si>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</si>
  <si>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</si>
  <si>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</si>
  <si>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</si>
  <si>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</si>
  <si>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</si>
  <si>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</si>
  <si>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</si>
  <si>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</si>
  <si>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</si>
  <si>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</si>
  <si>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</si>
  <si>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</si>
  <si>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</si>
  <si>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</si>
  <si>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</si>
  <si>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</si>
  <si>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</si>
  <si>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</si>
  <si>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</si>
  <si>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</si>
  <si>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</si>
  <si>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</si>
  <si>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</si>
  <si>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</si>
  <si>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</si>
  <si>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</si>
  <si>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</si>
  <si>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</si>
  <si>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</si>
  <si>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</si>
  <si>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</si>
  <si>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</si>
  <si>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</si>
  <si>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</si>
  <si>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</si>
  <si>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</si>
  <si>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</si>
  <si>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</si>
  <si>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</si>
  <si>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</si>
  <si>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</si>
  <si>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</si>
  <si>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</si>
  <si>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</si>
  <si>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</si>
  <si>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</si>
  <si>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</si>
  <si>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</si>
  <si>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</si>
  <si>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</si>
  <si>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</si>
  <si>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</si>
  <si>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</si>
  <si>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</si>
  <si>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</si>
  <si>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</si>
  <si>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</si>
  <si>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</si>
  <si>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</si>
  <si>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</si>
  <si>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</si>
  <si>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</si>
  <si>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</si>
  <si>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</si>
  <si>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</si>
  <si>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</si>
  <si>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</si>
  <si>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</si>
  <si>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</si>
  <si>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</si>
  <si>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</si>
  <si>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</si>
  <si>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</si>
  <si>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</si>
  <si>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</si>
  <si>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</si>
  <si>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</si>
  <si>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</si>
  <si>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</si>
  <si>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</si>
  <si>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</si>
  <si>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</si>
  <si>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</si>
  <si>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</si>
  <si>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</si>
  <si>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</si>
  <si>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</si>
  <si>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</si>
  <si>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</si>
  <si>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</si>
  <si>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</si>
  <si>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</si>
  <si>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</si>
  <si>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</si>
  <si>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</si>
  <si>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</si>
  <si>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</si>
  <si>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</si>
  <si>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</si>
  <si>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</si>
  <si>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</si>
  <si>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</si>
  <si>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</si>
  <si>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</si>
  <si>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</si>
  <si>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</si>
  <si>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</si>
  <si>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</si>
  <si>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</si>
  <si>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</si>
  <si>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</si>
  <si>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</si>
  <si>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</si>
  <si>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</si>
  <si>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</si>
  <si>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</si>
  <si>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</si>
  <si>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</si>
  <si>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</si>
  <si>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</si>
  <si>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</si>
  <si>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</si>
  <si>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</si>
  <si>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</si>
  <si>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</si>
  <si>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</si>
  <si>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</si>
  <si>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</si>
  <si>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</si>
  <si>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</si>
  <si>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</si>
  <si>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</si>
  <si>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</si>
  <si>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</si>
  <si>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</si>
  <si>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</si>
  <si>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</si>
  <si>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</si>
  <si>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</si>
  <si>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</si>
  <si>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</si>
  <si>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</si>
  <si>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</si>
  <si>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</si>
  <si>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</si>
  <si>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</si>
  <si>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</si>
  <si>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</si>
  <si>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</si>
  <si>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</si>
  <si>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</si>
  <si>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</si>
  <si>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</si>
  <si>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</si>
  <si>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</si>
  <si>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</si>
  <si>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</si>
  <si>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</si>
  <si>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</si>
  <si>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</si>
  <si>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</si>
  <si>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</si>
  <si>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</si>
  <si>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</si>
  <si>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</si>
  <si>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</si>
  <si>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</si>
  <si>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</si>
  <si>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</si>
  <si>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</si>
  <si>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</si>
  <si>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</si>
  <si>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</si>
  <si>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</si>
  <si>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</si>
  <si>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</si>
  <si>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</si>
  <si>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</si>
  <si>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</si>
  <si>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</si>
  <si>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</si>
  <si>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</si>
  <si>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</si>
  <si>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</si>
  <si>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</si>
  <si>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</si>
  <si>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</si>
  <si>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</si>
  <si>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</si>
  <si>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</si>
  <si>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</si>
  <si>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</si>
  <si>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</si>
  <si>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</si>
  <si>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</si>
  <si>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</si>
  <si>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</si>
  <si>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</si>
  <si>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</si>
  <si>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</si>
  <si>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</si>
  <si>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</si>
  <si>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</si>
  <si>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</si>
  <si>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</si>
  <si>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</si>
  <si>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</si>
  <si>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</si>
  <si>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</si>
  <si>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</si>
  <si>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</si>
  <si>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</si>
  <si>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</si>
  <si>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</si>
  <si>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</si>
  <si>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</si>
  <si>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</si>
  <si>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</si>
  <si>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</si>
  <si>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</si>
  <si>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</si>
  <si>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</si>
  <si>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</si>
  <si>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</si>
  <si>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</si>
  <si>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</si>
  <si>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</si>
  <si>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</si>
  <si>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</si>
  <si>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</si>
  <si>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</si>
  <si>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</si>
  <si>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</si>
  <si>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</si>
  <si>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</si>
  <si>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</si>
  <si>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</si>
  <si>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</si>
  <si>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</si>
  <si>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</si>
  <si>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</si>
  <si>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</si>
  <si>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</si>
  <si>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</si>
  <si>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</si>
  <si>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</si>
  <si>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</si>
  <si>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</si>
  <si>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</si>
  <si>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</si>
  <si>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</si>
  <si>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</si>
  <si>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</si>
  <si>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</si>
  <si>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</si>
  <si>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</si>
  <si>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</si>
  <si>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</si>
  <si>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</si>
  <si>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</si>
  <si>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</si>
  <si>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</si>
  <si>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</si>
  <si>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</si>
  <si>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</si>
  <si>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</si>
  <si>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</si>
  <si>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</si>
  <si>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</si>
  <si>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</si>
  <si>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</si>
  <si>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</si>
  <si>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</si>
  <si>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</si>
  <si>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</si>
  <si>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</si>
  <si>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</si>
  <si>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</si>
  <si>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</si>
  <si>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</si>
  <si>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</si>
  <si>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</si>
  <si>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</si>
  <si>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</si>
  <si>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</si>
  <si>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</si>
  <si>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</si>
  <si>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</si>
  <si>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</si>
  <si>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</si>
  <si>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</si>
  <si>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</si>
  <si>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</si>
  <si>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</si>
  <si>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</si>
  <si>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</si>
  <si>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</si>
  <si>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</si>
  <si>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</si>
  <si>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</si>
  <si>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</si>
  <si>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</si>
  <si>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</si>
  <si>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</si>
  <si>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</si>
  <si>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</si>
  <si>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</si>
  <si>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</si>
  <si>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</si>
  <si>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</si>
  <si>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</si>
  <si>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</si>
  <si>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</si>
  <si>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</si>
  <si>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</si>
  <si>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</si>
  <si>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</si>
  <si>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</si>
  <si>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</si>
  <si>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</si>
  <si>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</si>
  <si>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</si>
  <si>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</si>
  <si>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</si>
  <si>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</si>
  <si>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</si>
  <si>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</si>
  <si>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</si>
  <si>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</si>
  <si>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</si>
  <si>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</si>
  <si>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</si>
  <si>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</si>
  <si>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</si>
  <si>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</si>
  <si>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</si>
  <si>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</si>
  <si>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</si>
  <si>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</si>
  <si>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</si>
  <si>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</si>
  <si>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</si>
  <si>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</si>
  <si>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</si>
  <si>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</si>
  <si>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</si>
  <si>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</si>
  <si>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</si>
  <si>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</si>
  <si>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</si>
  <si>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</si>
  <si>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</si>
  <si>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</si>
  <si>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</si>
  <si>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</si>
  <si>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</si>
  <si>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</si>
  <si>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</si>
  <si>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</si>
  <si>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</si>
  <si>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</si>
  <si>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</si>
  <si>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</si>
  <si>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</si>
  <si>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</si>
  <si>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</si>
  <si>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</si>
  <si>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</si>
  <si>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</si>
  <si>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</si>
  <si>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</si>
  <si>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</si>
  <si>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</si>
  <si>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</si>
  <si>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</si>
  <si>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</si>
  <si>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</si>
  <si>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</si>
  <si>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</si>
  <si>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</si>
  <si>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</si>
  <si>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</si>
  <si>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</si>
  <si>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</si>
  <si>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</si>
  <si>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</si>
  <si>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</si>
  <si>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</si>
  <si>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</si>
  <si>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</si>
  <si>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</si>
  <si>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</si>
  <si>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</si>
  <si>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</si>
  <si>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</si>
  <si>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</si>
  <si>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</si>
  <si>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</si>
  <si>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</si>
  <si>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</si>
  <si>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</si>
  <si>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</si>
  <si>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</si>
  <si>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</si>
  <si>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</si>
  <si>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</si>
  <si>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</si>
  <si>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</si>
  <si>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</si>
  <si>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</si>
  <si>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</si>
  <si>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</si>
  <si>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</si>
  <si>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</si>
  <si>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</si>
  <si>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</si>
  <si>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</si>
  <si>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</si>
  <si>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</si>
  <si>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</si>
  <si>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</si>
  <si>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</si>
  <si>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</si>
  <si>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</si>
  <si>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</si>
  <si>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</si>
  <si>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</si>
  <si>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</si>
  <si>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</si>
  <si>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</si>
  <si>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</si>
  <si>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</si>
  <si>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</si>
  <si>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</si>
  <si>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</si>
  <si>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</si>
  <si>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</si>
  <si>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</si>
  <si>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</si>
  <si>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</si>
  <si>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</si>
  <si>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</si>
  <si>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</si>
  <si>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</si>
  <si>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</si>
  <si>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</si>
  <si>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</si>
  <si>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</si>
  <si>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</si>
  <si>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</si>
  <si>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</si>
  <si>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</si>
  <si>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</si>
  <si>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</si>
  <si>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</si>
  <si>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</si>
  <si>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</si>
  <si>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</si>
  <si>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</si>
  <si>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</si>
  <si>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</si>
  <si>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</si>
  <si>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</si>
  <si>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</si>
  <si>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</si>
  <si>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</si>
  <si>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</si>
  <si>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</si>
  <si>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</si>
  <si>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</si>
  <si>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</si>
  <si>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</si>
  <si>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</si>
  <si>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</si>
  <si>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</si>
  <si>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</si>
  <si>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</si>
  <si>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</si>
  <si>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</si>
  <si>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</si>
  <si>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</si>
  <si>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</si>
  <si>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</si>
  <si>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</si>
  <si>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</si>
  <si>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</si>
  <si>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</si>
  <si>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</si>
  <si>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</si>
  <si>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</si>
  <si>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</si>
  <si>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</si>
  <si>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</si>
  <si>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</si>
  <si>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</si>
  <si>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</si>
  <si>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</si>
  <si>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</si>
  <si>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</si>
  <si>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</si>
  <si>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</si>
  <si>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</si>
  <si>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</si>
  <si>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</si>
  <si>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</si>
  <si>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</si>
  <si>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</si>
  <si>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</si>
  <si>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</si>
  <si>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</si>
  <si>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</si>
  <si>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</si>
  <si>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</si>
  <si>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</si>
  <si>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</si>
  <si>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</si>
  <si>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</si>
  <si>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</si>
  <si>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</si>
  <si>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</si>
  <si>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</si>
  <si>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</si>
  <si>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</si>
  <si>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</si>
  <si>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</si>
  <si>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</si>
  <si>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</si>
  <si>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</si>
  <si>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</si>
  <si>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</si>
  <si>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</si>
  <si>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</si>
  <si>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</si>
  <si>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</si>
  <si>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</si>
  <si>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</si>
  <si>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</si>
  <si>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</si>
  <si>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</si>
  <si>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</si>
  <si>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</si>
  <si>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</si>
  <si>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</si>
  <si>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</si>
  <si>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</si>
  <si>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</si>
  <si>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</si>
  <si>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</si>
  <si>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</si>
  <si>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</si>
  <si>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</si>
  <si>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</si>
  <si>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</si>
  <si>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</si>
  <si>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</si>
  <si>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</si>
  <si>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</si>
  <si>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</si>
  <si>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</si>
  <si>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</si>
  <si>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</si>
  <si>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</si>
  <si>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</si>
  <si>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</si>
  <si>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</si>
  <si>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</si>
  <si>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</si>
  <si>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</si>
  <si>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</si>
  <si>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</si>
  <si>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</si>
  <si>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</si>
  <si>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</si>
  <si>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</si>
  <si>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</si>
  <si>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</si>
  <si>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</si>
  <si>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</si>
  <si>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</si>
  <si>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</si>
  <si>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</si>
  <si>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</si>
  <si>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</si>
  <si>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</si>
  <si>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</si>
  <si>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</si>
  <si>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</si>
  <si>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</si>
  <si>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</si>
  <si>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</si>
  <si>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</si>
  <si>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</si>
  <si>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</si>
  <si>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</si>
  <si>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</si>
  <si>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</si>
  <si>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</si>
  <si>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</si>
  <si>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</si>
  <si>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</si>
  <si>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</si>
  <si>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</si>
  <si>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</si>
  <si>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</si>
  <si>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</si>
  <si>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</si>
  <si>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</si>
  <si>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</si>
  <si>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</si>
  <si>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</si>
  <si>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</si>
  <si>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</si>
  <si>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</si>
  <si>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</si>
  <si>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</si>
  <si>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</si>
  <si>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</si>
  <si>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</si>
  <si>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</si>
  <si>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</si>
  <si>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</si>
  <si>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</si>
  <si>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</si>
  <si>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</si>
  <si>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</si>
  <si>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</si>
  <si>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</si>
  <si>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</si>
  <si>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</si>
  <si>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</si>
  <si>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</si>
  <si>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</si>
  <si>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</si>
  <si>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</si>
  <si>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</si>
  <si>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</si>
  <si>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</si>
  <si>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</si>
  <si>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</si>
  <si>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</si>
  <si>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</si>
  <si>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</si>
  <si>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</si>
  <si>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</si>
  <si>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</si>
  <si>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</si>
  <si>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</si>
  <si>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</si>
  <si>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</si>
  <si>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</si>
  <si>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</si>
  <si>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</si>
  <si>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</si>
  <si>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</si>
  <si>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</si>
  <si>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</si>
  <si>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</si>
  <si>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</si>
  <si>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</si>
  <si>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</si>
  <si>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</si>
  <si>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</si>
  <si>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</si>
  <si>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</si>
  <si>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</si>
  <si>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</si>
  <si>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</si>
  <si>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</si>
  <si>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</si>
  <si>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</si>
  <si>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</si>
  <si>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</si>
  <si>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</si>
  <si>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</si>
  <si>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</si>
  <si>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</si>
  <si>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</si>
  <si>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</si>
  <si>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</si>
  <si>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</si>
  <si>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</si>
  <si>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</si>
  <si>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</si>
  <si>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</si>
  <si>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</si>
  <si>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</si>
  <si>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</si>
  <si>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</si>
  <si>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</si>
  <si>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</si>
  <si>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</si>
  <si>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</si>
  <si>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</si>
  <si>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</si>
  <si>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</si>
  <si>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</si>
  <si>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</si>
  <si>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</si>
  <si>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</si>
  <si>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</si>
  <si>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</si>
  <si>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</si>
  <si>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</si>
  <si>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</si>
  <si>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</si>
  <si>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</si>
  <si>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</si>
  <si>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</si>
  <si>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</si>
  <si>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</si>
  <si>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</si>
  <si>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</si>
  <si>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</si>
  <si>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</si>
  <si>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</si>
  <si>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</si>
  <si>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</si>
  <si>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</si>
  <si>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</si>
  <si>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</si>
  <si>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</si>
  <si>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</si>
  <si>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</si>
  <si>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</si>
  <si>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</si>
  <si>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</si>
  <si>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</si>
  <si>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</si>
  <si>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</si>
  <si>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</si>
  <si>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</si>
  <si>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</si>
  <si>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</si>
  <si>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</si>
  <si>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</si>
  <si>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</si>
  <si>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</si>
  <si>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</si>
  <si>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</si>
  <si>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</si>
  <si>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</si>
  <si>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</si>
  <si>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</si>
  <si>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</si>
  <si>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</si>
  <si>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</si>
  <si>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</si>
  <si>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</si>
  <si>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</si>
  <si>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</si>
  <si>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</si>
  <si>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</si>
  <si>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</si>
  <si>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</si>
  <si>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</si>
  <si>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</si>
  <si>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</si>
  <si>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</si>
  <si>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</si>
  <si>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</si>
  <si>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</si>
  <si>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</si>
  <si>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</si>
  <si>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</si>
  <si>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</si>
  <si>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</si>
  <si>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</si>
  <si>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</si>
  <si>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</si>
  <si>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</si>
  <si>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</si>
  <si>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</si>
  <si>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</si>
  <si>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</si>
  <si>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</si>
  <si>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</si>
  <si>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</si>
  <si>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</si>
  <si>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</si>
  <si>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</si>
  <si>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</si>
  <si>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</si>
  <si>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</si>
  <si>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</si>
  <si>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</si>
  <si>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</si>
  <si>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</si>
  <si>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</si>
  <si>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</si>
  <si>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</si>
  <si>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</si>
  <si>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</si>
  <si>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</si>
  <si>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</si>
  <si>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</si>
  <si>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</si>
  <si>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</si>
  <si>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</si>
  <si>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</si>
  <si>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</si>
  <si>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</si>
  <si>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</si>
  <si>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</si>
  <si>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</si>
  <si>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</si>
  <si>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</si>
  <si>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</si>
  <si>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</si>
  <si>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</si>
  <si>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</si>
  <si>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</si>
  <si>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</si>
  <si>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</si>
  <si>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</si>
  <si>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</si>
  <si>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</si>
  <si>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</si>
  <si>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</si>
  <si>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</si>
  <si>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</si>
  <si>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</si>
  <si>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</si>
  <si>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</si>
  <si>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</si>
  <si>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</si>
  <si>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</si>
  <si>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</si>
  <si>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</si>
  <si>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</si>
  <si>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</si>
  <si>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</si>
  <si>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</si>
  <si>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</si>
  <si>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</si>
  <si>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</si>
  <si>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</si>
  <si>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</si>
  <si>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</si>
  <si>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</si>
  <si>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</si>
  <si>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</si>
  <si>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</si>
  <si>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</si>
  <si>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</si>
  <si>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</si>
  <si>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</si>
  <si>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</si>
  <si>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</si>
  <si>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</si>
  <si>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</si>
  <si>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</si>
  <si>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</si>
  <si>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</si>
  <si>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</si>
  <si>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</si>
  <si>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</si>
  <si>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</si>
  <si>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</si>
  <si>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</si>
  <si>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</si>
  <si>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</si>
  <si>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</si>
  <si>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</si>
  <si>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</si>
  <si>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</si>
  <si>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</si>
  <si>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</si>
  <si>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</si>
  <si>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</si>
  <si>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</si>
  <si>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</si>
  <si>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</si>
  <si>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</si>
  <si>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</si>
  <si>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</si>
  <si>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</si>
  <si>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</si>
  <si>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</si>
  <si>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</si>
  <si>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</si>
  <si>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</si>
  <si>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</si>
  <si>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</si>
  <si>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</si>
  <si>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</si>
  <si>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</si>
  <si>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</si>
  <si>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</si>
  <si>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</si>
  <si>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</si>
  <si>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</si>
  <si>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</si>
  <si>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</si>
  <si>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</si>
  <si>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</si>
  <si>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</si>
  <si>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</si>
  <si>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</si>
  <si>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</si>
  <si>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</si>
  <si>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</si>
  <si>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</si>
  <si>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</si>
  <si>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</si>
  <si>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</si>
  <si>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</si>
  <si>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</si>
  <si>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</si>
  <si>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</si>
  <si>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</si>
  <si>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</si>
  <si>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</si>
  <si>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</si>
  <si>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</si>
  <si>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</si>
  <si>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</si>
  <si>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</si>
  <si>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</si>
  <si>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</si>
  <si>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</si>
  <si>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</si>
  <si>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</si>
  <si>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</si>
  <si>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</si>
  <si>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</si>
  <si>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</si>
  <si>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</si>
  <si>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</si>
  <si>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</si>
  <si>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</si>
  <si>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</si>
  <si>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</si>
  <si>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</si>
  <si>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</si>
  <si>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</si>
  <si>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</si>
  <si>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</si>
  <si>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</si>
  <si>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</si>
  <si>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</si>
  <si>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</si>
  <si>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</si>
  <si>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</si>
  <si>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</si>
  <si>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</si>
  <si>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</si>
  <si>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</si>
  <si>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</si>
  <si>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</si>
  <si>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</si>
  <si>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</si>
  <si>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</si>
  <si>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</si>
  <si>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</si>
  <si>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</si>
  <si>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</si>
  <si>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</si>
  <si>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</si>
  <si>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</si>
  <si>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</si>
  <si>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</si>
  <si>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</si>
  <si>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</si>
  <si>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</si>
  <si>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</si>
  <si>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</si>
  <si>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</si>
  <si>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</si>
  <si>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</si>
  <si>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</si>
  <si>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</si>
  <si>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</si>
  <si>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</si>
  <si>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</si>
  <si>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</si>
  <si>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</si>
  <si>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</si>
  <si>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</si>
  <si>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</si>
  <si>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</si>
  <si>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</si>
  <si>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</si>
  <si>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</si>
  <si>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</si>
  <si>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</si>
  <si>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</si>
  <si>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</si>
  <si>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</si>
  <si>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</si>
  <si>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</si>
  <si>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</si>
  <si>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</si>
  <si>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</si>
  <si>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</si>
  <si>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</si>
  <si>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</si>
  <si>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</si>
  <si>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</si>
  <si>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</si>
  <si>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</si>
  <si>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</si>
  <si>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</si>
  <si>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</si>
  <si>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</si>
  <si>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</si>
  <si>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</si>
  <si>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</si>
  <si>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</si>
  <si>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</si>
  <si>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</si>
  <si>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</si>
  <si>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</si>
  <si>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</si>
  <si>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</si>
  <si>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</si>
  <si>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</si>
  <si>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</si>
  <si>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</si>
  <si>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</si>
  <si>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</si>
  <si>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</si>
  <si>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</si>
  <si>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</si>
  <si>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</si>
  <si>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</si>
  <si>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</si>
  <si>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</si>
  <si>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</si>
  <si>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</si>
  <si>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</si>
  <si>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</si>
  <si>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</si>
  <si>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</si>
  <si>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</si>
  <si>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</si>
  <si>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</si>
  <si>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</si>
  <si>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</si>
  <si>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</si>
  <si>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</si>
  <si>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</si>
  <si>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</si>
  <si>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</si>
  <si>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</si>
  <si>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</si>
  <si>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</si>
  <si>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</si>
  <si>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</si>
  <si>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</si>
  <si>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</si>
  <si>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</si>
  <si>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</si>
  <si>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</si>
  <si>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</si>
  <si>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</si>
  <si>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</si>
  <si>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</si>
  <si>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</si>
  <si>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</si>
  <si>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</si>
  <si>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</si>
  <si>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</si>
  <si>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</si>
  <si>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</si>
  <si>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</si>
  <si>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</si>
  <si>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</si>
  <si>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</si>
  <si>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</si>
  <si>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</si>
  <si>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</si>
  <si>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</si>
  <si>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</si>
  <si>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</si>
  <si>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</si>
  <si>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</si>
  <si>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</si>
  <si>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</si>
  <si>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</si>
  <si>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</si>
  <si>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</si>
  <si>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</si>
  <si>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</si>
  <si>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</si>
  <si>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</si>
  <si>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</si>
  <si>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</si>
  <si>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</si>
  <si>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</si>
  <si>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</si>
  <si>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</si>
  <si>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</si>
  <si>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</si>
  <si>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</si>
  <si>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</si>
  <si>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</si>
  <si>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</si>
  <si>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</si>
  <si>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</si>
  <si>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</si>
  <si>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</si>
  <si>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</si>
  <si>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</si>
  <si>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</si>
  <si>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</si>
  <si>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</si>
  <si>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</si>
  <si>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</si>
  <si>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</si>
  <si>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</si>
  <si>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</si>
  <si>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</si>
  <si>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</si>
  <si>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</si>
  <si>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</si>
  <si>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</si>
  <si>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</si>
  <si>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</si>
  <si>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</si>
  <si>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</si>
  <si>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</si>
  <si>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</si>
  <si>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</si>
  <si>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</si>
  <si>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</si>
  <si>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</si>
  <si>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</si>
  <si>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</si>
  <si>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</si>
  <si>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</si>
  <si>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</si>
  <si>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</si>
  <si>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</si>
  <si>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</si>
  <si>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</si>
  <si>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</si>
  <si>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</si>
  <si>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</si>
  <si>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</si>
  <si>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</si>
  <si>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</si>
  <si>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</si>
  <si>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</si>
  <si>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</si>
  <si>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</si>
  <si>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</si>
  <si>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</si>
  <si>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</si>
  <si>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</si>
  <si>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</si>
  <si>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</si>
  <si>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</si>
  <si>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</si>
  <si>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</si>
  <si>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</si>
  <si>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</si>
  <si>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</si>
  <si>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</si>
  <si>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</si>
  <si>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</si>
  <si>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</si>
  <si>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</si>
  <si>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</si>
  <si>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</si>
  <si>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</si>
  <si>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</si>
  <si>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</si>
  <si>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</si>
  <si>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</si>
  <si>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</si>
  <si>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</si>
  <si>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</si>
  <si>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</si>
  <si>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</si>
  <si>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</si>
  <si>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</si>
  <si>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</si>
  <si>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</si>
  <si>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</si>
  <si>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</si>
  <si>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</si>
  <si>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</si>
  <si>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</si>
  <si>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</si>
  <si>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</si>
  <si>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</si>
  <si>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</si>
  <si>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</si>
  <si>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</si>
  <si>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</si>
  <si>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</si>
  <si>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</si>
  <si>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</si>
  <si>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</si>
  <si>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</si>
  <si>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</si>
  <si>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</si>
  <si>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</si>
  <si>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</si>
  <si>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</si>
  <si>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</si>
  <si>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</si>
  <si>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</si>
  <si>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</si>
  <si>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</si>
  <si>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</si>
  <si>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</si>
  <si>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</si>
  <si>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</si>
  <si>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</si>
  <si>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</si>
  <si>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</si>
  <si>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</si>
  <si>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</si>
  <si>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</si>
  <si>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</si>
  <si>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</si>
  <si>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</si>
  <si>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</si>
  <si>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</si>
  <si>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</si>
  <si>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</si>
  <si>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</si>
  <si>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</si>
  <si>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</si>
  <si>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</si>
  <si>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</si>
  <si>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</si>
  <si>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</si>
  <si>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</si>
  <si>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</si>
  <si>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</si>
  <si>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</si>
  <si>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</si>
  <si>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</si>
  <si>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</si>
  <si>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</si>
  <si>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</si>
  <si>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</si>
  <si>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</si>
  <si>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</si>
  <si>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</si>
  <si>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</si>
  <si>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</si>
  <si>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</si>
  <si>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</si>
  <si>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</si>
  <si>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</si>
  <si>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</si>
  <si>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</si>
  <si>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</si>
  <si>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</si>
  <si>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</si>
  <si>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</si>
  <si>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</si>
  <si>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</si>
  <si>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</si>
  <si>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</si>
  <si>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</si>
  <si>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</si>
  <si>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</si>
  <si>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</si>
  <si>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</si>
  <si>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</si>
  <si>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</si>
  <si>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</si>
  <si>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</si>
  <si>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</si>
  <si>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</si>
  <si>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</si>
  <si>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</si>
  <si>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</si>
  <si>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</si>
  <si>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</si>
  <si>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</si>
  <si>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</si>
  <si>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</si>
  <si>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</si>
  <si>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</si>
  <si>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</si>
  <si>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</si>
  <si>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</si>
  <si>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</si>
  <si>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</si>
  <si>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</si>
  <si>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</si>
  <si>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</si>
  <si>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</si>
  <si>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</si>
  <si>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</si>
  <si>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</si>
  <si>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</si>
  <si>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</si>
  <si>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</si>
  <si>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</si>
  <si>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</si>
  <si>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</si>
  <si>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</si>
  <si>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</si>
  <si>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</si>
  <si>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</si>
  <si>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</si>
  <si>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</si>
  <si>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</si>
  <si>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</si>
  <si>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</si>
  <si>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</si>
  <si>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</si>
  <si>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</si>
  <si>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</si>
  <si>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</si>
  <si>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</si>
  <si>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</si>
  <si>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</si>
  <si>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</si>
  <si>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</si>
  <si>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</si>
  <si>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</si>
  <si>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</si>
  <si>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</si>
  <si>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</si>
  <si>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</si>
  <si>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</si>
  <si>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</si>
  <si>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</si>
  <si>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</si>
  <si>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</si>
  <si>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</si>
  <si>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</si>
  <si>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</si>
  <si>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</si>
  <si>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</si>
  <si>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</si>
  <si>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</si>
  <si>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</si>
  <si>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</si>
  <si>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</si>
  <si>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</si>
  <si>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</si>
  <si>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</si>
  <si>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</si>
  <si>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</si>
  <si>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</si>
  <si>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</si>
  <si>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</si>
  <si>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</si>
  <si>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</si>
  <si>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</si>
  <si>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</si>
  <si>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</si>
  <si>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</si>
  <si>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Standard</t>
  </si>
  <si>
    <t>X</t>
  </si>
  <si>
    <t>KR00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</si>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</sst>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71.315766550928" createdVersion="7" refreshedVersion="7" minRefreshableVersion="3" recordCount="3369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369"/>
    </cacheField>
    <cacheField name="Forecast?" numFmtId="0">
      <sharedItems/>
    </cacheField>
    <cacheField name="Ticket" numFmtId="0">
      <sharedItems containsBlank="1" count="19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69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1"/>
    <x v="0"/>
    <s v="MGF"/>
    <m/>
    <m/>
    <s v="Jojeff Tagnong"/>
  </r>
  <r>
    <n v="3341"/>
    <s v="F2"/>
    <x v="102"/>
    <s v="G000000495"/>
    <s v="FS Decomissioned Bldgs"/>
    <m/>
    <s v="Rename"/>
    <x v="1"/>
    <x v="0"/>
    <s v="MGF"/>
    <m/>
    <m/>
    <s v="Nadine Anic"/>
  </r>
  <r>
    <n v="3342"/>
    <s v="F2"/>
    <x v="103"/>
    <s v="G000001677"/>
    <s v="EF-DS-DE EF Data &amp; AI Organization"/>
    <s v="G000001118"/>
    <s v="New"/>
    <x v="1"/>
    <x v="0"/>
    <s v="LS"/>
    <m/>
    <m/>
    <s v="Jay-R Lizardo"/>
  </r>
  <r>
    <n v="3343"/>
    <s v="F2"/>
    <x v="103"/>
    <s v="G000001123"/>
    <m/>
    <s v="G000001677"/>
    <s v="Move"/>
    <x v="1"/>
    <x v="0"/>
    <s v="LS"/>
    <m/>
    <m/>
    <s v="Jay-R Lizardo"/>
  </r>
  <r>
    <n v="3344"/>
    <s v="F2"/>
    <x v="104"/>
    <s v="G000001029"/>
    <s v="LH Gebaude LS Site Operations DA"/>
    <m/>
    <s v="Rename"/>
    <x v="1"/>
    <x v="3"/>
    <e v="#N/A"/>
    <m/>
    <m/>
    <s v="Marcin Kuskowski"/>
  </r>
  <r>
    <n v="3345"/>
    <s v="F2"/>
    <x v="104"/>
    <s v="G000001030"/>
    <s v="LH Gebaude LS Warehouse DA"/>
    <m/>
    <s v="Rename"/>
    <x v="1"/>
    <x v="3"/>
    <e v="#N/A"/>
    <m/>
    <m/>
    <s v="Marcin Kuskowski"/>
  </r>
  <r>
    <n v="3346"/>
    <s v="F2"/>
    <x v="104"/>
    <s v="G000001031"/>
    <s v="SM-EP Gebaude Gernsheim"/>
    <m/>
    <s v="Rename"/>
    <x v="1"/>
    <x v="3"/>
    <e v="#N/A"/>
    <m/>
    <m/>
    <s v="Marcin Kuskowski"/>
  </r>
  <r>
    <n v="3347"/>
    <s v="F2"/>
    <x v="104"/>
    <s v="G000001032"/>
    <s v="SM-EP Freiflachen Gernsheim"/>
    <m/>
    <s v="Rename"/>
    <x v="1"/>
    <x v="3"/>
    <e v="#N/A"/>
    <m/>
    <m/>
    <s v="Marcin Kuskowski"/>
  </r>
  <r>
    <n v="3348"/>
    <s v="F2"/>
    <x v="104"/>
    <s v="G000001045"/>
    <s v="SM GHM Full Service Gebaude"/>
    <m/>
    <s v="Rename"/>
    <x v="1"/>
    <x v="3"/>
    <e v="#N/A"/>
    <m/>
    <m/>
    <s v="Marcin Kuskowski"/>
  </r>
  <r>
    <n v="3349"/>
    <s v="F2"/>
    <x v="104"/>
    <s v="G000001048"/>
    <s v="SM GHM Shell &amp; Core Gebaude"/>
    <m/>
    <s v="Rename"/>
    <x v="1"/>
    <x v="3"/>
    <e v="#N/A"/>
    <m/>
    <m/>
    <s v="Marcin Kuskowski"/>
  </r>
  <r>
    <n v="3350"/>
    <s v="F2"/>
    <x v="104"/>
    <s v="G000001052"/>
    <s v="SM GHM Lease Hold Gebaude"/>
    <m/>
    <s v="Rename"/>
    <x v="1"/>
    <x v="3"/>
    <e v="#N/A"/>
    <m/>
    <m/>
    <s v="Marcin Kuskowski"/>
  </r>
  <r>
    <n v="3351"/>
    <s v="F2"/>
    <x v="104"/>
    <s v="G000001055"/>
    <s v="SuSo Full Service Gebaude"/>
    <m/>
    <s v="Rename"/>
    <x v="1"/>
    <x v="3"/>
    <e v="#N/A"/>
    <m/>
    <m/>
    <s v="Marcin Kuskowski"/>
  </r>
  <r>
    <n v="3352"/>
    <s v="F2"/>
    <x v="104"/>
    <s v="G000001059"/>
    <s v="SuSo Shell &amp; Core Gebaude"/>
    <m/>
    <s v="Rename"/>
    <x v="1"/>
    <x v="3"/>
    <e v="#N/A"/>
    <m/>
    <m/>
    <s v="Marcin Kuskowski"/>
  </r>
  <r>
    <n v="3353"/>
    <s v="F2"/>
    <x v="104"/>
    <s v="G000001065"/>
    <s v="Lease Hold Gebaude HO"/>
    <m/>
    <s v="Rename"/>
    <x v="1"/>
    <x v="3"/>
    <e v="#N/A"/>
    <m/>
    <m/>
    <s v="Marcin Kuskowski"/>
  </r>
  <r>
    <n v="3354"/>
    <s v="F2"/>
    <x v="104"/>
    <s v="G000001066"/>
    <s v="Freiflachen Hohenbrunn"/>
    <m/>
    <s v="Rename"/>
    <x v="1"/>
    <x v="3"/>
    <e v="#N/A"/>
    <m/>
    <m/>
    <s v="Marcin Kuskowski"/>
  </r>
  <r>
    <n v="3355"/>
    <s v="F2"/>
    <x v="104"/>
    <s v="G000001068"/>
    <s v="Ruckbau Gebaude GHM"/>
    <m/>
    <s v="Rename"/>
    <x v="1"/>
    <x v="3"/>
    <e v="#N/A"/>
    <m/>
    <m/>
    <s v="Marcin Kuskowski"/>
  </r>
  <r>
    <n v="3356"/>
    <s v="F2"/>
    <x v="104"/>
    <s v="G000001070"/>
    <s v="SuSo Lease Hold Gebaude"/>
    <m/>
    <s v="Rename"/>
    <x v="1"/>
    <x v="3"/>
    <e v="#N/A"/>
    <m/>
    <m/>
    <s v="Marcin Kuskowski"/>
  </r>
  <r>
    <n v="3357"/>
    <s v="F2"/>
    <x v="104"/>
    <s v="H000000347"/>
    <s v="BL Saint Barthelemy"/>
    <m/>
    <s v="Rename"/>
    <x v="1"/>
    <x v="3"/>
    <e v="#N/A"/>
    <m/>
    <m/>
    <s v="Marcin Kuskowski"/>
  </r>
  <r>
    <n v="3358"/>
    <s v="F2"/>
    <x v="104"/>
    <s v="H000002691"/>
    <s v="EC - Gastos Convencion"/>
    <m/>
    <s v="Rename"/>
    <x v="1"/>
    <x v="3"/>
    <e v="#N/A"/>
    <m/>
    <m/>
    <s v="Marcin Kuskowski"/>
  </r>
  <r>
    <n v="3359"/>
    <s v="F2"/>
    <x v="104"/>
    <s v="H000004016"/>
    <s v="ES - Fundacion Merck Salud"/>
    <m/>
    <s v="Rename"/>
    <x v="1"/>
    <x v="3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1"/>
    <x v="3"/>
    <s v="LS"/>
    <m/>
    <m/>
    <s v="Jay-R Lizardo"/>
  </r>
  <r>
    <n v="3367"/>
    <s v="F2"/>
    <x v="105"/>
    <s v="H000005506"/>
    <s v="H000004177"/>
    <m/>
    <s v="Move"/>
    <x v="1"/>
    <x v="3"/>
    <s v="LS"/>
    <m/>
    <m/>
    <s v="Jay-R Lizardo"/>
  </r>
  <r>
    <n v="3368"/>
    <s v="F2"/>
    <x v="105"/>
    <s v="H000005507"/>
    <s v="H000004177"/>
    <m/>
    <s v="Move"/>
    <x v="1"/>
    <x v="3"/>
    <s v="LS"/>
    <m/>
    <m/>
    <s v="Jay-R Lizardo"/>
  </r>
  <r>
    <n v="3369"/>
    <s v="F2"/>
    <x v="105"/>
    <s v="G000001677"/>
    <m/>
    <s v="O000000009"/>
    <s v="Remove"/>
    <x v="1"/>
    <x v="3"/>
    <s v="LS"/>
    <m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98">
        <item m="1" x="133"/>
        <item m="1" x="175"/>
        <item m="1" x="192"/>
        <item m="1" x="186"/>
        <item m="1" x="171"/>
        <item m="1" x="129"/>
        <item m="1" x="137"/>
        <item m="1" x="162"/>
        <item m="1" x="159"/>
        <item m="1" x="109"/>
        <item m="1" x="193"/>
        <item m="1" x="151"/>
        <item m="1" x="132"/>
        <item m="1" x="140"/>
        <item m="1" x="144"/>
        <item m="1" x="114"/>
        <item m="1" x="146"/>
        <item m="1" x="115"/>
        <item m="1" x="181"/>
        <item m="1" x="127"/>
        <item m="1" x="176"/>
        <item m="1" x="190"/>
        <item m="1" x="118"/>
        <item m="1" x="184"/>
        <item m="1" x="155"/>
        <item m="1" x="142"/>
        <item m="1" x="130"/>
        <item m="1" x="138"/>
        <item m="1" x="177"/>
        <item m="1" x="169"/>
        <item m="1" x="125"/>
        <item m="1" x="153"/>
        <item m="1" x="160"/>
        <item m="1" x="173"/>
        <item m="1" x="111"/>
        <item m="1" x="170"/>
        <item m="1" x="158"/>
        <item m="1" x="117"/>
        <item m="1" x="188"/>
        <item m="1" x="131"/>
        <item m="1" x="191"/>
        <item m="1" x="182"/>
        <item m="1" x="128"/>
        <item m="1" x="110"/>
        <item m="1" x="108"/>
        <item m="1" x="180"/>
        <item m="1" x="154"/>
        <item m="1" x="141"/>
        <item m="1" x="179"/>
        <item m="1" x="150"/>
        <item m="1" x="113"/>
        <item m="1" x="187"/>
        <item m="1" x="152"/>
        <item m="1" x="112"/>
        <item m="1" x="163"/>
        <item m="1" x="147"/>
        <item m="1" x="122"/>
        <item m="1" x="148"/>
        <item m="1" x="172"/>
        <item m="1" x="123"/>
        <item m="1" x="196"/>
        <item m="1" x="143"/>
        <item m="1" x="119"/>
        <item m="1" x="124"/>
        <item m="1" x="121"/>
        <item m="1" x="168"/>
        <item m="1" x="149"/>
        <item m="1" x="161"/>
        <item m="1" x="134"/>
        <item m="1" x="167"/>
        <item m="1" x="157"/>
        <item m="1" x="139"/>
        <item m="1" x="135"/>
        <item m="1" x="178"/>
        <item m="1" x="183"/>
        <item m="1" x="164"/>
        <item m="1" x="156"/>
        <item m="1" x="120"/>
        <item m="1" x="107"/>
        <item m="1" x="195"/>
        <item m="1" x="174"/>
        <item m="1" x="116"/>
        <item m="1" x="194"/>
        <item m="1" x="166"/>
        <item m="1" x="189"/>
        <item m="1" x="185"/>
        <item m="1" x="145"/>
        <item m="1" x="126"/>
        <item m="1" x="136"/>
        <item m="1" x="1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0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1">
    <i>
      <x v="192"/>
    </i>
    <i r="1">
      <x v="1"/>
    </i>
    <i>
      <x v="193"/>
    </i>
    <i r="1">
      <x v="1"/>
    </i>
    <i>
      <x v="194"/>
    </i>
    <i r="1">
      <x v="1"/>
    </i>
    <i>
      <x v="195"/>
    </i>
    <i r="1">
      <x v="3"/>
    </i>
    <i>
      <x v="196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70" totalsRowShown="0">
  <autoFilter ref="A1:M3370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A8" activeCellId="2" sqref="A4 A6 A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12347</v>
      </c>
      <c r="B4" s="42">
        <v>1</v>
      </c>
    </row>
    <row r="5" spans="1:2">
      <c r="A5" s="65" t="s">
        <v>8539</v>
      </c>
      <c r="B5" s="42">
        <v>1</v>
      </c>
    </row>
    <row r="6" spans="1:2">
      <c r="A6" s="30" t="s">
        <v>12349</v>
      </c>
      <c r="B6" s="42">
        <v>1</v>
      </c>
    </row>
    <row r="7" spans="1:2">
      <c r="A7" s="65" t="s">
        <v>8539</v>
      </c>
      <c r="B7" s="42">
        <v>1</v>
      </c>
    </row>
    <row r="8" spans="1:2">
      <c r="A8" s="30" t="s">
        <v>12350</v>
      </c>
      <c r="B8" s="42">
        <v>2</v>
      </c>
    </row>
    <row r="9" spans="1:2">
      <c r="A9" s="65" t="s">
        <v>8539</v>
      </c>
      <c r="B9" s="42">
        <v>2</v>
      </c>
    </row>
    <row r="10" spans="1:2">
      <c r="A10" s="30" t="s">
        <v>12387</v>
      </c>
      <c r="B10" s="42">
        <v>22</v>
      </c>
    </row>
    <row r="11" spans="1:2">
      <c r="A11" s="65" t="s">
        <v>12297</v>
      </c>
      <c r="B11" s="42">
        <v>22</v>
      </c>
    </row>
    <row r="12" spans="1:2">
      <c r="A12" s="30" t="s">
        <v>12388</v>
      </c>
      <c r="B12" s="42">
        <v>4</v>
      </c>
    </row>
    <row r="13" spans="1:2">
      <c r="A13" s="65" t="s">
        <v>12297</v>
      </c>
      <c r="B13" s="42">
        <v>4</v>
      </c>
    </row>
    <row r="14" spans="1:2">
      <c r="A14" s="30" t="s">
        <v>10</v>
      </c>
      <c r="B14" s="42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0"/>
  <sheetViews>
    <sheetView topLeftCell="A356" workbookViewId="0">
      <selection activeCell="B390" sqref="B387:B390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  <row r="383" spans="1:2">
      <c r="A383" s="5" t="s">
        <v>12305</v>
      </c>
      <c r="B383" s="34" t="s">
        <v>86</v>
      </c>
    </row>
    <row r="384" spans="1:2">
      <c r="A384" s="5" t="s">
        <v>12310</v>
      </c>
      <c r="B384" s="34" t="s">
        <v>86</v>
      </c>
    </row>
    <row r="385" spans="1:2">
      <c r="A385" s="5" t="s">
        <v>12313</v>
      </c>
      <c r="B385" s="34" t="s">
        <v>86</v>
      </c>
    </row>
    <row r="386" spans="1:2">
      <c r="A386" s="5" t="s">
        <v>12325</v>
      </c>
      <c r="B386" s="34" t="s">
        <v>86</v>
      </c>
    </row>
    <row r="387" spans="1:2">
      <c r="A387" s="5" t="s">
        <v>12337</v>
      </c>
      <c r="B387" s="34" t="s">
        <v>86</v>
      </c>
    </row>
    <row r="388" spans="1:2">
      <c r="A388" s="5" t="s">
        <v>12347</v>
      </c>
      <c r="B388" s="34" t="s">
        <v>86</v>
      </c>
    </row>
    <row r="389" spans="1:2">
      <c r="A389" s="5" t="s">
        <v>12349</v>
      </c>
      <c r="B389" s="34" t="s">
        <v>86</v>
      </c>
    </row>
    <row r="390" spans="1:2">
      <c r="A390" s="5" t="s">
        <v>12350</v>
      </c>
      <c r="B390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70"/>
  <sheetViews>
    <sheetView tabSelected="1" topLeftCell="B1" zoomScaleNormal="100" workbookViewId="0">
      <selection activeCell="K3370" sqref="K3370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6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70" si="56">1+A3325</f>
        <v>3325</v>
      </c>
      <c r="B3326" s="34" t="s">
        <v>8</v>
      </c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12325</v>
      </c>
      <c r="D3332" s="34" t="s">
        <v>12332</v>
      </c>
      <c r="E3332" s="107" t="s">
        <v>12327</v>
      </c>
      <c r="F3332" s="8" t="s">
        <v>12326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12325</v>
      </c>
      <c r="D3333" s="34" t="s">
        <v>12333</v>
      </c>
      <c r="E3333" s="107" t="s">
        <v>12328</v>
      </c>
      <c r="F3333" s="8" t="s">
        <v>12326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12325</v>
      </c>
      <c r="D3334" s="34" t="s">
        <v>12334</v>
      </c>
      <c r="E3334" s="107" t="s">
        <v>12329</v>
      </c>
      <c r="F3334" s="8" t="s">
        <v>12326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12337</v>
      </c>
      <c r="D3335" s="34" t="s">
        <v>12335</v>
      </c>
      <c r="E3335" s="8" t="s">
        <v>12330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12338</v>
      </c>
    </row>
    <row r="3336" spans="1:13" hidden="1">
      <c r="A3336" s="40">
        <f t="shared" si="56"/>
        <v>3335</v>
      </c>
      <c r="B3336" s="34" t="s">
        <v>8</v>
      </c>
      <c r="C3336" s="34" t="s">
        <v>12337</v>
      </c>
      <c r="D3336" s="34" t="s">
        <v>12336</v>
      </c>
      <c r="E3336" s="8" t="s">
        <v>12331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12338</v>
      </c>
    </row>
    <row r="3337" spans="1:13" hidden="1">
      <c r="A3337" s="40">
        <f t="shared" si="56"/>
        <v>3336</v>
      </c>
      <c r="B3337" s="34" t="s">
        <v>8</v>
      </c>
      <c r="C3337" s="34" t="s">
        <v>12325</v>
      </c>
      <c r="D3337" s="8" t="s">
        <v>12339</v>
      </c>
      <c r="E3337" s="8" t="s">
        <v>12340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12325</v>
      </c>
      <c r="D3338" s="8" t="s">
        <v>12326</v>
      </c>
      <c r="E3338" s="8" t="s">
        <v>12341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12325</v>
      </c>
      <c r="D3339" s="8" t="s">
        <v>12342</v>
      </c>
      <c r="E3339" s="8" t="s">
        <v>12343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12325</v>
      </c>
      <c r="D3340" s="8" t="s">
        <v>12344</v>
      </c>
      <c r="E3340" s="8" t="s">
        <v>12345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12347</v>
      </c>
      <c r="D3341" s="8" t="s">
        <v>11466</v>
      </c>
      <c r="E3341" s="8" t="s">
        <v>12346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12349</v>
      </c>
      <c r="D3342" s="8" t="s">
        <v>869</v>
      </c>
      <c r="E3342" s="8" t="s">
        <v>12348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12350</v>
      </c>
      <c r="D3343" s="34" t="s">
        <v>12352</v>
      </c>
      <c r="E3343" s="8" t="s">
        <v>12351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12350</v>
      </c>
      <c r="D3344" s="8" t="s">
        <v>6271</v>
      </c>
      <c r="F3344" s="34" t="s">
        <v>12352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12387</v>
      </c>
      <c r="D3345" s="8" t="s">
        <v>724</v>
      </c>
      <c r="E3345" s="8" t="s">
        <v>12365</v>
      </c>
      <c r="G3345" s="34" t="s">
        <v>15</v>
      </c>
      <c r="H3345" s="34" t="str">
        <f>IFERROR(VLOOKUP(Table2[[#This Row], [Ticket]],Okey!A:B,2,0),"")</f>
        <v/>
      </c>
      <c r="I3345" s="34"/>
      <c r="J3345" s="34" t="e">
        <f>VLOOKUP(Table2[[#This Row],[Author]],People!A:B,2,0)</f>
        <v>#N/A</v>
      </c>
      <c r="L3345" s="34"/>
      <c r="M3345" s="34" t="s">
        <v>12338</v>
      </c>
    </row>
    <row r="3346" spans="1:13">
      <c r="A3346" s="40">
        <f t="shared" si="56"/>
        <v>3345</v>
      </c>
      <c r="B3346" s="34" t="s">
        <v>8</v>
      </c>
      <c r="C3346" s="34" t="s">
        <v>12387</v>
      </c>
      <c r="D3346" s="8" t="s">
        <v>726</v>
      </c>
      <c r="E3346" s="8" t="s">
        <v>12366</v>
      </c>
      <c r="G3346" s="34" t="s">
        <v>15</v>
      </c>
      <c r="H3346" s="34" t="str">
        <f>IFERROR(VLOOKUP(Table2[[#This Row], [Ticket]],Okey!A:B,2,0),"")</f>
        <v/>
      </c>
      <c r="I3346" s="34"/>
      <c r="J3346" s="34" t="e">
        <f>VLOOKUP(Table2[[#This Row],[Author]],People!A:B,2,0)</f>
        <v>#N/A</v>
      </c>
      <c r="L3346" s="34"/>
      <c r="M3346" s="34" t="s">
        <v>12338</v>
      </c>
    </row>
    <row r="3347" spans="1:13">
      <c r="A3347" s="40">
        <f t="shared" si="56"/>
        <v>3346</v>
      </c>
      <c r="B3347" s="34" t="s">
        <v>8</v>
      </c>
      <c r="C3347" s="34" t="s">
        <v>12387</v>
      </c>
      <c r="D3347" s="8" t="s">
        <v>728</v>
      </c>
      <c r="E3347" s="8" t="s">
        <v>12367</v>
      </c>
      <c r="G3347" s="34" t="s">
        <v>15</v>
      </c>
      <c r="H3347" s="34" t="str">
        <f>IFERROR(VLOOKUP(Table2[[#This Row], [Ticket]],Okey!A:B,2,0),"")</f>
        <v/>
      </c>
      <c r="I3347" s="34"/>
      <c r="J3347" s="34" t="e">
        <f>VLOOKUP(Table2[[#This Row],[Author]],People!A:B,2,0)</f>
        <v>#N/A</v>
      </c>
      <c r="L3347" s="34"/>
      <c r="M3347" s="34" t="s">
        <v>12338</v>
      </c>
    </row>
    <row r="3348" spans="1:13">
      <c r="A3348" s="40">
        <f t="shared" si="56"/>
        <v>3347</v>
      </c>
      <c r="B3348" s="34" t="s">
        <v>8</v>
      </c>
      <c r="C3348" s="34" t="s">
        <v>12387</v>
      </c>
      <c r="D3348" s="8" t="s">
        <v>730</v>
      </c>
      <c r="E3348" s="8" t="s">
        <v>12368</v>
      </c>
      <c r="G3348" s="34" t="s">
        <v>15</v>
      </c>
      <c r="H3348" s="34" t="str">
        <f>IFERROR(VLOOKUP(Table2[[#This Row], [Ticket]],Okey!A:B,2,0),"")</f>
        <v/>
      </c>
      <c r="I3348" s="34"/>
      <c r="J3348" s="34" t="e">
        <f>VLOOKUP(Table2[[#This Row],[Author]],People!A:B,2,0)</f>
        <v>#N/A</v>
      </c>
      <c r="L3348" s="34"/>
      <c r="M3348" s="34" t="s">
        <v>12338</v>
      </c>
    </row>
    <row r="3349" spans="1:13">
      <c r="A3349" s="40">
        <f t="shared" si="56"/>
        <v>3348</v>
      </c>
      <c r="B3349" s="34" t="s">
        <v>8</v>
      </c>
      <c r="C3349" s="34" t="s">
        <v>12387</v>
      </c>
      <c r="D3349" s="8" t="s">
        <v>756</v>
      </c>
      <c r="E3349" s="8" t="s">
        <v>12369</v>
      </c>
      <c r="G3349" s="34" t="s">
        <v>15</v>
      </c>
      <c r="H3349" s="34" t="str">
        <f>IFERROR(VLOOKUP(Table2[[#This Row], [Ticket]],Okey!A:B,2,0),"")</f>
        <v/>
      </c>
      <c r="I3349" s="34"/>
      <c r="J3349" s="34" t="e">
        <f>VLOOKUP(Table2[[#This Row],[Author]],People!A:B,2,0)</f>
        <v>#N/A</v>
      </c>
      <c r="L3349" s="34"/>
      <c r="M3349" s="34" t="s">
        <v>12338</v>
      </c>
    </row>
    <row r="3350" spans="1:13">
      <c r="A3350" s="40">
        <f t="shared" si="56"/>
        <v>3349</v>
      </c>
      <c r="B3350" s="34" t="s">
        <v>8</v>
      </c>
      <c r="C3350" s="34" t="s">
        <v>12387</v>
      </c>
      <c r="D3350" s="8" t="s">
        <v>762</v>
      </c>
      <c r="E3350" s="8" t="s">
        <v>12370</v>
      </c>
      <c r="G3350" s="34" t="s">
        <v>15</v>
      </c>
      <c r="H3350" s="34" t="str">
        <f>IFERROR(VLOOKUP(Table2[[#This Row], [Ticket]],Okey!A:B,2,0),"")</f>
        <v/>
      </c>
      <c r="I3350" s="34"/>
      <c r="J3350" s="34" t="e">
        <f>VLOOKUP(Table2[[#This Row],[Author]],People!A:B,2,0)</f>
        <v>#N/A</v>
      </c>
      <c r="L3350" s="34"/>
      <c r="M3350" s="34" t="s">
        <v>12338</v>
      </c>
    </row>
    <row r="3351" spans="1:13">
      <c r="A3351" s="40">
        <f t="shared" si="56"/>
        <v>3350</v>
      </c>
      <c r="B3351" s="34" t="s">
        <v>8</v>
      </c>
      <c r="C3351" s="34" t="s">
        <v>12387</v>
      </c>
      <c r="D3351" s="8" t="s">
        <v>770</v>
      </c>
      <c r="E3351" s="8" t="s">
        <v>12371</v>
      </c>
      <c r="G3351" s="34" t="s">
        <v>15</v>
      </c>
      <c r="H3351" s="34" t="str">
        <f>IFERROR(VLOOKUP(Table2[[#This Row], [Ticket]],Okey!A:B,2,0),"")</f>
        <v/>
      </c>
      <c r="I3351" s="34"/>
      <c r="J3351" s="34" t="e">
        <f>VLOOKUP(Table2[[#This Row],[Author]],People!A:B,2,0)</f>
        <v>#N/A</v>
      </c>
      <c r="L3351" s="34"/>
      <c r="M3351" s="34" t="s">
        <v>12338</v>
      </c>
    </row>
    <row r="3352" spans="1:13">
      <c r="A3352" s="40">
        <f t="shared" si="56"/>
        <v>3351</v>
      </c>
      <c r="B3352" s="34" t="s">
        <v>8</v>
      </c>
      <c r="C3352" s="34" t="s">
        <v>12387</v>
      </c>
      <c r="D3352" s="8" t="s">
        <v>776</v>
      </c>
      <c r="E3352" s="8" t="s">
        <v>12372</v>
      </c>
      <c r="G3352" s="34" t="s">
        <v>15</v>
      </c>
      <c r="H3352" s="34" t="str">
        <f>IFERROR(VLOOKUP(Table2[[#This Row], [Ticket]],Okey!A:B,2,0),"")</f>
        <v/>
      </c>
      <c r="I3352" s="34"/>
      <c r="J3352" s="34" t="e">
        <f>VLOOKUP(Table2[[#This Row],[Author]],People!A:B,2,0)</f>
        <v>#N/A</v>
      </c>
      <c r="L3352" s="34"/>
      <c r="M3352" s="34" t="s">
        <v>12338</v>
      </c>
    </row>
    <row r="3353" spans="1:13">
      <c r="A3353" s="40">
        <f t="shared" si="56"/>
        <v>3352</v>
      </c>
      <c r="B3353" s="34" t="s">
        <v>8</v>
      </c>
      <c r="C3353" s="34" t="s">
        <v>12387</v>
      </c>
      <c r="D3353" s="8" t="s">
        <v>784</v>
      </c>
      <c r="E3353" s="8" t="s">
        <v>12373</v>
      </c>
      <c r="G3353" s="34" t="s">
        <v>15</v>
      </c>
      <c r="H3353" s="34" t="str">
        <f>IFERROR(VLOOKUP(Table2[[#This Row], [Ticket]],Okey!A:B,2,0),"")</f>
        <v/>
      </c>
      <c r="I3353" s="34"/>
      <c r="J3353" s="34" t="e">
        <f>VLOOKUP(Table2[[#This Row],[Author]],People!A:B,2,0)</f>
        <v>#N/A</v>
      </c>
      <c r="L3353" s="34"/>
      <c r="M3353" s="34" t="s">
        <v>12338</v>
      </c>
    </row>
    <row r="3354" spans="1:13">
      <c r="A3354" s="40">
        <f t="shared" si="56"/>
        <v>3353</v>
      </c>
      <c r="B3354" s="34" t="s">
        <v>8</v>
      </c>
      <c r="C3354" s="34" t="s">
        <v>12387</v>
      </c>
      <c r="D3354" s="8" t="s">
        <v>796</v>
      </c>
      <c r="E3354" s="8" t="s">
        <v>12374</v>
      </c>
      <c r="G3354" s="34" t="s">
        <v>15</v>
      </c>
      <c r="H3354" s="34" t="str">
        <f>IFERROR(VLOOKUP(Table2[[#This Row], [Ticket]],Okey!A:B,2,0),"")</f>
        <v/>
      </c>
      <c r="I3354" s="34"/>
      <c r="J3354" s="34" t="e">
        <f>VLOOKUP(Table2[[#This Row],[Author]],People!A:B,2,0)</f>
        <v>#N/A</v>
      </c>
      <c r="L3354" s="34"/>
      <c r="M3354" s="34" t="s">
        <v>12338</v>
      </c>
    </row>
    <row r="3355" spans="1:13">
      <c r="A3355" s="40">
        <f t="shared" si="56"/>
        <v>3354</v>
      </c>
      <c r="B3355" s="34" t="s">
        <v>8</v>
      </c>
      <c r="C3355" s="34" t="s">
        <v>12387</v>
      </c>
      <c r="D3355" s="8" t="s">
        <v>798</v>
      </c>
      <c r="E3355" s="8" t="s">
        <v>12375</v>
      </c>
      <c r="G3355" s="34" t="s">
        <v>15</v>
      </c>
      <c r="H3355" s="34" t="str">
        <f>IFERROR(VLOOKUP(Table2[[#This Row], [Ticket]],Okey!A:B,2,0),"")</f>
        <v/>
      </c>
      <c r="I3355" s="34"/>
      <c r="J3355" s="34" t="e">
        <f>VLOOKUP(Table2[[#This Row],[Author]],People!A:B,2,0)</f>
        <v>#N/A</v>
      </c>
      <c r="L3355" s="34"/>
      <c r="M3355" s="34" t="s">
        <v>12338</v>
      </c>
    </row>
    <row r="3356" spans="1:13">
      <c r="A3356" s="40">
        <f t="shared" si="56"/>
        <v>3355</v>
      </c>
      <c r="B3356" s="34" t="s">
        <v>8</v>
      </c>
      <c r="C3356" s="34" t="s">
        <v>12387</v>
      </c>
      <c r="D3356" s="8" t="s">
        <v>802</v>
      </c>
      <c r="E3356" s="8" t="s">
        <v>12376</v>
      </c>
      <c r="G3356" s="34" t="s">
        <v>15</v>
      </c>
      <c r="H3356" s="34" t="str">
        <f>IFERROR(VLOOKUP(Table2[[#This Row], [Ticket]],Okey!A:B,2,0),"")</f>
        <v/>
      </c>
      <c r="I3356" s="34"/>
      <c r="J3356" s="34" t="e">
        <f>VLOOKUP(Table2[[#This Row],[Author]],People!A:B,2,0)</f>
        <v>#N/A</v>
      </c>
      <c r="L3356" s="34"/>
      <c r="M3356" s="34" t="s">
        <v>12338</v>
      </c>
    </row>
    <row r="3357" spans="1:13">
      <c r="A3357" s="40">
        <f t="shared" si="56"/>
        <v>3356</v>
      </c>
      <c r="B3357" s="34" t="s">
        <v>8</v>
      </c>
      <c r="C3357" s="34" t="s">
        <v>12387</v>
      </c>
      <c r="D3357" s="8" t="s">
        <v>806</v>
      </c>
      <c r="E3357" s="8" t="s">
        <v>12377</v>
      </c>
      <c r="G3357" s="34" t="s">
        <v>15</v>
      </c>
      <c r="H3357" s="34" t="str">
        <f>IFERROR(VLOOKUP(Table2[[#This Row], [Ticket]],Okey!A:B,2,0),"")</f>
        <v/>
      </c>
      <c r="I3357" s="34"/>
      <c r="J3357" s="34" t="e">
        <f>VLOOKUP(Table2[[#This Row],[Author]],People!A:B,2,0)</f>
        <v>#N/A</v>
      </c>
      <c r="L3357" s="34"/>
      <c r="M3357" s="34" t="s">
        <v>12338</v>
      </c>
    </row>
    <row r="3358" spans="1:13">
      <c r="A3358" s="40">
        <f t="shared" si="56"/>
        <v>3357</v>
      </c>
      <c r="B3358" s="34" t="s">
        <v>8</v>
      </c>
      <c r="C3358" s="34" t="s">
        <v>12387</v>
      </c>
      <c r="D3358" s="8" t="s">
        <v>12356</v>
      </c>
      <c r="E3358" s="8" t="s">
        <v>12378</v>
      </c>
      <c r="G3358" s="34" t="s">
        <v>15</v>
      </c>
      <c r="H3358" s="34" t="str">
        <f>IFERROR(VLOOKUP(Table2[[#This Row], [Ticket]],Okey!A:B,2,0),"")</f>
        <v/>
      </c>
      <c r="I3358" s="34"/>
      <c r="J3358" s="34" t="e">
        <f>VLOOKUP(Table2[[#This Row],[Author]],People!A:B,2,0)</f>
        <v>#N/A</v>
      </c>
      <c r="L3358" s="34"/>
      <c r="M3358" s="34" t="s">
        <v>12338</v>
      </c>
    </row>
    <row r="3359" spans="1:13">
      <c r="A3359" s="40">
        <f t="shared" si="56"/>
        <v>3358</v>
      </c>
      <c r="B3359" s="34" t="s">
        <v>8</v>
      </c>
      <c r="C3359" s="34" t="s">
        <v>12387</v>
      </c>
      <c r="D3359" s="8" t="s">
        <v>12357</v>
      </c>
      <c r="E3359" s="8" t="s">
        <v>12379</v>
      </c>
      <c r="G3359" s="34" t="s">
        <v>15</v>
      </c>
      <c r="H3359" s="34" t="str">
        <f>IFERROR(VLOOKUP(Table2[[#This Row], [Ticket]],Okey!A:B,2,0),"")</f>
        <v/>
      </c>
      <c r="I3359" s="34"/>
      <c r="J3359" s="34" t="e">
        <f>VLOOKUP(Table2[[#This Row],[Author]],People!A:B,2,0)</f>
        <v>#N/A</v>
      </c>
      <c r="L3359" s="34"/>
      <c r="M3359" s="34" t="s">
        <v>12338</v>
      </c>
    </row>
    <row r="3360" spans="1:13">
      <c r="A3360" s="40">
        <f t="shared" si="56"/>
        <v>3359</v>
      </c>
      <c r="B3360" s="34" t="s">
        <v>8</v>
      </c>
      <c r="C3360" s="34" t="s">
        <v>12387</v>
      </c>
      <c r="D3360" s="8" t="s">
        <v>12358</v>
      </c>
      <c r="E3360" s="8" t="s">
        <v>12380</v>
      </c>
      <c r="G3360" s="34" t="s">
        <v>15</v>
      </c>
      <c r="H3360" s="34" t="str">
        <f>IFERROR(VLOOKUP(Table2[[#This Row], [Ticket]],Okey!A:B,2,0),"")</f>
        <v/>
      </c>
      <c r="I3360" s="34"/>
      <c r="J3360" s="34" t="e">
        <f>VLOOKUP(Table2[[#This Row],[Author]],People!A:B,2,0)</f>
        <v>#N/A</v>
      </c>
      <c r="L3360" s="34"/>
      <c r="M3360" s="34" t="s">
        <v>12338</v>
      </c>
    </row>
    <row r="3361" spans="1:13">
      <c r="A3361" s="40">
        <f t="shared" si="56"/>
        <v>3360</v>
      </c>
      <c r="B3361" s="34" t="s">
        <v>8</v>
      </c>
      <c r="C3361" s="34" t="s">
        <v>12387</v>
      </c>
      <c r="D3361" s="8" t="s">
        <v>12359</v>
      </c>
      <c r="E3361" s="8" t="s">
        <v>12381</v>
      </c>
      <c r="G3361" s="34" t="s">
        <v>15</v>
      </c>
      <c r="H3361" s="34" t="str">
        <f>IFERROR(VLOOKUP(Table2[[#This Row], [Ticket]],Okey!A:B,2,0),"")</f>
        <v/>
      </c>
      <c r="I3361" s="34"/>
      <c r="J3361" s="34" t="e">
        <f>VLOOKUP(Table2[[#This Row],[Author]],People!A:B,2,0)</f>
        <v>#N/A</v>
      </c>
      <c r="L3361" s="34"/>
      <c r="M3361" s="34" t="s">
        <v>12338</v>
      </c>
    </row>
    <row r="3362" spans="1:13">
      <c r="A3362" s="40">
        <f t="shared" si="56"/>
        <v>3361</v>
      </c>
      <c r="B3362" s="34" t="s">
        <v>8</v>
      </c>
      <c r="C3362" s="34" t="s">
        <v>12387</v>
      </c>
      <c r="D3362" s="8" t="s">
        <v>12360</v>
      </c>
      <c r="E3362" s="8" t="s">
        <v>12382</v>
      </c>
      <c r="G3362" s="34" t="s">
        <v>15</v>
      </c>
      <c r="H3362" s="34" t="str">
        <f>IFERROR(VLOOKUP(Table2[[#This Row], [Ticket]],Okey!A:B,2,0),"")</f>
        <v/>
      </c>
      <c r="I3362" s="34"/>
      <c r="J3362" s="34" t="e">
        <f>VLOOKUP(Table2[[#This Row],[Author]],People!A:B,2,0)</f>
        <v>#N/A</v>
      </c>
      <c r="L3362" s="34"/>
      <c r="M3362" s="34" t="s">
        <v>12338</v>
      </c>
    </row>
    <row r="3363" spans="1:13">
      <c r="A3363" s="40">
        <f t="shared" si="56"/>
        <v>3362</v>
      </c>
      <c r="B3363" s="34" t="s">
        <v>8</v>
      </c>
      <c r="C3363" s="34" t="s">
        <v>12387</v>
      </c>
      <c r="D3363" s="8" t="s">
        <v>12361</v>
      </c>
      <c r="E3363" s="8" t="s">
        <v>12383</v>
      </c>
      <c r="G3363" s="34" t="s">
        <v>15</v>
      </c>
      <c r="H3363" s="34" t="str">
        <f>IFERROR(VLOOKUP(Table2[[#This Row], [Ticket]],Okey!A:B,2,0),"")</f>
        <v/>
      </c>
      <c r="I3363" s="34"/>
      <c r="J3363" s="34" t="e">
        <f>VLOOKUP(Table2[[#This Row],[Author]],People!A:B,2,0)</f>
        <v>#N/A</v>
      </c>
      <c r="L3363" s="34"/>
      <c r="M3363" s="34" t="s">
        <v>12338</v>
      </c>
    </row>
    <row r="3364" spans="1:13">
      <c r="A3364" s="40">
        <f t="shared" si="56"/>
        <v>3363</v>
      </c>
      <c r="B3364" s="34" t="s">
        <v>8</v>
      </c>
      <c r="C3364" s="34" t="s">
        <v>12387</v>
      </c>
      <c r="D3364" s="8" t="s">
        <v>12362</v>
      </c>
      <c r="E3364" s="8" t="s">
        <v>12384</v>
      </c>
      <c r="G3364" s="34" t="s">
        <v>15</v>
      </c>
      <c r="H3364" s="34" t="str">
        <f>IFERROR(VLOOKUP(Table2[[#This Row], [Ticket]],Okey!A:B,2,0),"")</f>
        <v/>
      </c>
      <c r="I3364" s="34"/>
      <c r="J3364" s="34" t="e">
        <f>VLOOKUP(Table2[[#This Row],[Author]],People!A:B,2,0)</f>
        <v>#N/A</v>
      </c>
      <c r="L3364" s="34"/>
      <c r="M3364" s="34" t="s">
        <v>12338</v>
      </c>
    </row>
    <row r="3365" spans="1:13">
      <c r="A3365" s="40">
        <f t="shared" si="56"/>
        <v>3364</v>
      </c>
      <c r="B3365" s="34" t="s">
        <v>8</v>
      </c>
      <c r="C3365" s="34" t="s">
        <v>12387</v>
      </c>
      <c r="D3365" s="8" t="s">
        <v>12363</v>
      </c>
      <c r="E3365" s="8" t="s">
        <v>12385</v>
      </c>
      <c r="G3365" s="34" t="s">
        <v>15</v>
      </c>
      <c r="H3365" s="34" t="str">
        <f>IFERROR(VLOOKUP(Table2[[#This Row], [Ticket]],Okey!A:B,2,0),"")</f>
        <v/>
      </c>
      <c r="I3365" s="34"/>
      <c r="J3365" s="34" t="e">
        <f>VLOOKUP(Table2[[#This Row],[Author]],People!A:B,2,0)</f>
        <v>#N/A</v>
      </c>
      <c r="L3365" s="34"/>
      <c r="M3365" s="34" t="s">
        <v>12338</v>
      </c>
    </row>
    <row r="3366" spans="1:13">
      <c r="A3366" s="40">
        <f t="shared" si="56"/>
        <v>3365</v>
      </c>
      <c r="B3366" s="34" t="s">
        <v>8</v>
      </c>
      <c r="C3366" s="34" t="s">
        <v>12387</v>
      </c>
      <c r="D3366" s="8" t="s">
        <v>12364</v>
      </c>
      <c r="E3366" s="8" t="s">
        <v>12386</v>
      </c>
      <c r="G3366" s="34" t="s">
        <v>15</v>
      </c>
      <c r="H3366" s="34" t="str">
        <f>IFERROR(VLOOKUP(Table2[[#This Row], [Ticket]],Okey!A:B,2,0),"")</f>
        <v/>
      </c>
      <c r="I3366" s="34"/>
      <c r="J3366" s="34" t="e">
        <f>VLOOKUP(Table2[[#This Row],[Author]],People!A:B,2,0)</f>
        <v>#N/A</v>
      </c>
      <c r="L3366" s="34"/>
      <c r="M3366" s="34" t="s">
        <v>12338</v>
      </c>
    </row>
    <row r="3367" spans="1:13">
      <c r="A3367" s="40">
        <f t="shared" si="56"/>
        <v>3366</v>
      </c>
      <c r="B3367" s="34" t="s">
        <v>8</v>
      </c>
      <c r="C3367" s="8" t="s">
        <v>12388</v>
      </c>
      <c r="D3367" s="36" t="s">
        <v>6271</v>
      </c>
      <c r="E3367" s="108" t="s">
        <v>12351</v>
      </c>
      <c r="F3367" s="109" t="s">
        <v>3827</v>
      </c>
      <c r="G3367" s="8" t="s">
        <v>16</v>
      </c>
      <c r="H3367" s="34" t="str">
        <f>IFERROR(VLOOKUP(Table2[[#This Row], [Ticket]],Okey!A:B,2,0),"")</f>
        <v/>
      </c>
      <c r="I3367" s="34"/>
      <c r="J3367" s="34" t="str">
        <f>VLOOKUP(Table2[[#This Row],[Author]],People!A:B,2,0)</f>
        <v>LS</v>
      </c>
      <c r="L3367" s="34"/>
      <c r="M3367" s="34" t="s">
        <v>6348</v>
      </c>
    </row>
    <row r="3368" spans="1:13">
      <c r="A3368" s="40">
        <f t="shared" si="56"/>
        <v>3367</v>
      </c>
      <c r="B3368" s="34" t="s">
        <v>8</v>
      </c>
      <c r="C3368" s="34" t="s">
        <v>12388</v>
      </c>
      <c r="D3368" s="8" t="s">
        <v>12137</v>
      </c>
      <c r="E3368" s="8" t="s">
        <v>8133</v>
      </c>
      <c r="G3368" s="8" t="s">
        <v>13</v>
      </c>
      <c r="H3368" s="34" t="str">
        <f>IFERROR(VLOOKUP(Table2[[#This Row], [Ticket]],Okey!A:B,2,0),"")</f>
        <v/>
      </c>
      <c r="I3368" s="34"/>
      <c r="J3368" s="34" t="str">
        <f>VLOOKUP(Table2[[#This Row],[Author]],People!A:B,2,0)</f>
        <v>LS</v>
      </c>
      <c r="L3368" s="34"/>
      <c r="M3368" s="34" t="s">
        <v>6348</v>
      </c>
    </row>
    <row r="3369" spans="1:13">
      <c r="A3369" s="40">
        <f t="shared" si="56"/>
        <v>3368</v>
      </c>
      <c r="B3369" s="34" t="s">
        <v>8</v>
      </c>
      <c r="C3369" s="34" t="s">
        <v>12388</v>
      </c>
      <c r="D3369" s="8" t="s">
        <v>12138</v>
      </c>
      <c r="E3369" s="8" t="s">
        <v>8133</v>
      </c>
      <c r="G3369" s="34" t="s">
        <v>13</v>
      </c>
      <c r="H3369" s="34" t="str">
        <f>IFERROR(VLOOKUP(Table2[[#This Row], [Ticket]],Okey!A:B,2,0),"")</f>
        <v/>
      </c>
      <c r="I3369" s="34"/>
      <c r="J3369" s="34" t="str">
        <f>VLOOKUP(Table2[[#This Row],[Author]],People!A:B,2,0)</f>
        <v>LS</v>
      </c>
      <c r="L3369" s="34"/>
      <c r="M3369" s="34" t="s">
        <v>6348</v>
      </c>
    </row>
    <row r="3370" spans="1:13">
      <c r="A3370" s="40">
        <f t="shared" si="56"/>
        <v>3369</v>
      </c>
      <c r="B3370" s="34" t="s">
        <v>8</v>
      </c>
      <c r="C3370" s="34" t="s">
        <v>12388</v>
      </c>
      <c r="D3370" s="8" t="s">
        <v>12352</v>
      </c>
      <c r="F3370" s="8" t="s">
        <v>275</v>
      </c>
      <c r="G3370" s="8" t="s">
        <v>8537</v>
      </c>
      <c r="H3370" s="34" t="str">
        <f>IFERROR(VLOOKUP(Table2[[#This Row], [Ticket]],Okey!A:B,2,0),"")</f>
        <v/>
      </c>
      <c r="I3370" s="34"/>
      <c r="J3370" s="34" t="str">
        <f>VLOOKUP(Table2[[#This Row],[Author]],People!A:B,2,0)</f>
        <v>LS</v>
      </c>
      <c r="L3370" s="34"/>
      <c r="M3370" s="34" t="s">
        <v>6348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7391-C281-47A4-9F9F-2E434EAF9E87}">
  <dimension ref="A1:C4"/>
  <sheetViews>
    <sheetView workbookViewId="0">
      <selection sqref="A1:C4"/>
    </sheetView>
  </sheetViews>
  <sheetFormatPr defaultRowHeight="15"/>
  <sheetData>
    <row r="1" spans="1:3">
      <c r="A1" t="s">
        <v>12355</v>
      </c>
      <c r="B1" t="s">
        <v>12353</v>
      </c>
    </row>
    <row r="2" spans="1:3">
      <c r="A2" t="s">
        <v>11466</v>
      </c>
      <c r="B2" t="s">
        <v>12346</v>
      </c>
      <c r="C2" t="s">
        <v>12354</v>
      </c>
    </row>
    <row r="3" spans="1:3">
      <c r="A3" t="s">
        <v>869</v>
      </c>
      <c r="B3" t="s">
        <v>12348</v>
      </c>
      <c r="C3" t="s">
        <v>12354</v>
      </c>
    </row>
    <row r="4" spans="1:3">
      <c r="A4" t="s">
        <v>12352</v>
      </c>
      <c r="B4" t="s">
        <v>12351</v>
      </c>
      <c r="C4" t="s">
        <v>12354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2026-05-28T23:35:03Z</dcterms:modified>
</cp:coreProperties>
</file>