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8B202D64-9CDA-4813-AF8A-1D1B28160702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pvt" sheetId="17" r:id="rId1"/>
    <sheet name="Okey" sheetId="10" r:id="rId2"/>
    <sheet name="STUCT1" sheetId="1" r:id="rId3"/>
    <sheet name="Sheet6" sheetId="33" r:id="rId4"/>
    <sheet name="Sheet4" sheetId="31" r:id="rId5"/>
    <sheet name="Sheet3" sheetId="30" r:id="rId6"/>
    <sheet name="Sheet5" sheetId="32" r:id="rId7"/>
    <sheet name="Sheet2" sheetId="29" r:id="rId8"/>
    <sheet name="Sheet1" sheetId="28" r:id="rId9"/>
    <sheet name="People" sheetId="7" r:id="rId10"/>
    <sheet name="2023" sheetId="8" r:id="rId11"/>
    <sheet name="2024" sheetId="19" r:id="rId12"/>
    <sheet name="old" sheetId="27" state="hidden" r:id="rId13"/>
    <sheet name="Sectors" sheetId="9" r:id="rId14"/>
    <sheet name="KPI" sheetId="12" r:id="rId15"/>
  </sheets>
  <definedNames>
    <definedName name="_xlnm._FilterDatabase" localSheetId="10">'2023'!$A$1:$M$1</definedName>
    <definedName name="_xlnm._FilterDatabase" localSheetId="9">People!$A$1:$B$1</definedName>
    <definedName name="_xlnm._FilterDatabase" localSheetId="5" hidden="1">Sheet3!$A$1:$Q$232</definedName>
    <definedName name="_xlnm._FilterDatabase" localSheetId="2">STUCT1!#REF!</definedName>
  </definedNames>
  <calcPr calcId="181029"/>
  <pivotCaches>
    <pivotCache cacheId="0" r:id="rId16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638" i="1" l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K3309" i="1"/>
  <c r="K3308" i="1"/>
  <c r="K3307" i="1"/>
  <c r="K3300" i="1"/>
  <c r="K2771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</calcChain>
</file>

<file path=xl/sharedStrings.xml><?xml version="1.0" encoding="utf-8"?>
<sst xmlns="http://schemas.openxmlformats.org/spreadsheetml/2006/main" count="71208" uniqueCount="12841">
  <si>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</si>
  <si>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</si>
  <si>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</si>
  <si>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</si>
  <si>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</si>
  <si>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</si>
  <si>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</si>
  <si>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</si>
  <si>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</si>
  <si>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</si>
  <si>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</si>
  <si>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</si>
  <si>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</si>
  <si>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</si>
  <si>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</si>
  <si>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</si>
  <si>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</si>
  <si>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</si>
  <si>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</si>
  <si>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</si>
  <si>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</si>
  <si>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</si>
  <si>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</si>
  <si>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</si>
  <si>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</si>
  <si>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</si>
  <si>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</si>
  <si>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</si>
  <si>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</si>
  <si>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</si>
  <si>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</si>
  <si>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</si>
  <si>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</si>
  <si>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</si>
  <si>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</si>
  <si>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</si>
  <si>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</si>
  <si>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</si>
  <si>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</si>
  <si>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</si>
  <si>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</si>
  <si>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</si>
  <si>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</si>
  <si>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</si>
  <si>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</si>
  <si>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</si>
  <si>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</si>
  <si>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</si>
  <si>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</si>
  <si>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</si>
  <si>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</si>
  <si>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</si>
  <si>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</si>
  <si>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</si>
  <si>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</si>
  <si>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</si>
  <si>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</si>
  <si>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</si>
  <si>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</si>
  <si>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</si>
  <si>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</si>
  <si>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</si>
  <si>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</si>
  <si>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</si>
  <si>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</si>
  <si>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</si>
  <si>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</si>
  <si>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</si>
  <si>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</si>
  <si>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</si>
  <si>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</si>
  <si>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</si>
  <si>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</si>
  <si>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</si>
  <si>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</si>
  <si>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</si>
  <si>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</si>
  <si>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</si>
  <si>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</si>
  <si>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</si>
  <si>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</si>
  <si>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</si>
  <si>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</si>
  <si>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</si>
  <si>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</si>
  <si>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</si>
  <si>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</si>
  <si>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</si>
  <si>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</si>
  <si>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</si>
  <si>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</si>
  <si>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</si>
  <si>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</si>
  <si>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</si>
  <si>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</si>
  <si>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</si>
  <si>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</si>
  <si>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</si>
  <si>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</si>
  <si>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</si>
  <si>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</si>
  <si>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</si>
  <si>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</si>
  <si>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</si>
  <si>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</si>
  <si>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</si>
  <si>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</si>
  <si>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</si>
  <si>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</si>
  <si>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</si>
  <si>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</si>
  <si>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</si>
  <si>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</si>
  <si>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</si>
  <si>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</si>
  <si>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</si>
  <si>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</si>
  <si>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</si>
  <si>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</si>
  <si>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</si>
  <si>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</si>
  <si>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</si>
  <si>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</si>
  <si>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</si>
  <si>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</si>
  <si>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</si>
  <si>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</si>
  <si>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</si>
  <si>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</si>
  <si>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</si>
  <si>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</si>
  <si>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</si>
  <si>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</si>
  <si>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</si>
  <si>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</si>
  <si>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</si>
  <si>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</si>
  <si>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</si>
  <si>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</si>
  <si>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</si>
  <si>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</si>
  <si>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</si>
  <si>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</si>
  <si>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</si>
  <si>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</si>
  <si>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</si>
  <si>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</si>
  <si>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</si>
  <si>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</si>
  <si>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</si>
  <si>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</si>
  <si>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</si>
  <si>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</si>
  <si>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</si>
  <si>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</si>
  <si>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</si>
  <si>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</si>
  <si>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</si>
  <si>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</si>
  <si>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</si>
  <si>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</si>
  <si>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</si>
  <si>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</si>
  <si>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</si>
  <si>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</si>
  <si>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</si>
  <si>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</si>
  <si>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</si>
  <si>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</si>
  <si>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</si>
  <si>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</si>
  <si>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</si>
  <si>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</si>
  <si>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</si>
  <si>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</si>
  <si>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</si>
  <si>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</si>
  <si>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</si>
  <si>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</si>
  <si>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</si>
  <si>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</si>
  <si>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</si>
  <si>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</si>
  <si>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</si>
  <si>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</si>
  <si>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</si>
  <si>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</si>
  <si>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</si>
  <si>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</si>
  <si>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</si>
  <si>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</si>
  <si>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</si>
  <si>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</si>
  <si>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</si>
  <si>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</si>
  <si>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</si>
  <si>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</si>
  <si>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</si>
  <si>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</si>
  <si>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</si>
  <si>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</si>
  <si>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</si>
  <si>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</si>
  <si>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</si>
  <si>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</si>
  <si>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</si>
  <si>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</si>
  <si>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</si>
  <si>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</si>
  <si>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</si>
  <si>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</si>
  <si>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</si>
  <si>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</si>
  <si>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</si>
  <si>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</si>
  <si>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</si>
  <si>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</si>
  <si>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</si>
  <si>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</si>
  <si>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</si>
  <si>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</si>
  <si>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</si>
  <si>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</si>
  <si>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</si>
  <si>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</si>
  <si>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</si>
  <si>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</si>
  <si>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</si>
  <si>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</si>
  <si>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</si>
  <si>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</si>
  <si>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</si>
  <si>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</si>
  <si>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</si>
  <si>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</si>
  <si>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</si>
  <si>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</si>
  <si>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</si>
  <si>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</si>
  <si>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</si>
  <si>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</si>
  <si>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</si>
  <si>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</si>
  <si>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</si>
  <si>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</si>
  <si>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</si>
  <si>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</si>
  <si>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</si>
  <si>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</si>
  <si>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</si>
  <si>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</si>
  <si>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</si>
  <si>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</si>
  <si>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</si>
  <si>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</si>
  <si>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</si>
  <si>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</si>
  <si>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</si>
  <si>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</si>
  <si>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</si>
  <si>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</si>
  <si>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</si>
  <si>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</si>
  <si>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</si>
  <si>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</si>
  <si>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</si>
  <si>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</si>
  <si>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</si>
  <si>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</si>
  <si>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</si>
  <si>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</si>
  <si>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</si>
  <si>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</si>
  <si>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</si>
  <si>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</si>
  <si>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</si>
  <si>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</si>
  <si>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</si>
  <si>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</si>
  <si>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</si>
  <si>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</si>
  <si>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</si>
  <si>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</si>
  <si>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</si>
  <si>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</si>
  <si>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</si>
  <si>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</si>
  <si>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</si>
  <si>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</si>
  <si>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</si>
  <si>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</si>
  <si>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</si>
  <si>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</si>
  <si>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</si>
  <si>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</si>
  <si>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</si>
  <si>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</si>
  <si>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</si>
  <si>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</si>
  <si>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</si>
  <si>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</si>
  <si>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</si>
  <si>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</si>
  <si>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</si>
  <si>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</si>
  <si>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</si>
  <si>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</si>
  <si>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</si>
  <si>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</si>
  <si>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</si>
  <si>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</si>
  <si>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</si>
  <si>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</si>
  <si>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</si>
  <si>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</si>
  <si>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</si>
  <si>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</si>
  <si>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</si>
  <si>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</si>
  <si>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</si>
  <si>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</si>
  <si>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</si>
  <si>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</si>
  <si>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</si>
  <si>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</si>
  <si>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</si>
  <si>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</si>
  <si>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</si>
  <si>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</si>
  <si>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</si>
  <si>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</si>
  <si>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</si>
  <si>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</si>
  <si>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</si>
  <si>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</si>
  <si>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</si>
  <si>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</si>
  <si>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</si>
  <si>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</si>
  <si>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</si>
  <si>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</si>
  <si>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</si>
  <si>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</si>
  <si>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</si>
  <si>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</si>
  <si>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</si>
  <si>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</si>
  <si>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</si>
  <si>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</si>
  <si>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</si>
  <si>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</si>
  <si>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</si>
  <si>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</si>
  <si>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</si>
  <si>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</si>
  <si>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</si>
  <si>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</si>
  <si>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</si>
  <si>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</si>
  <si>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</si>
  <si>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</si>
  <si>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</si>
  <si>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</si>
  <si>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</si>
  <si>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</si>
  <si>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</si>
  <si>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</si>
  <si>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</si>
  <si>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</si>
  <si>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</si>
  <si>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</si>
  <si>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</si>
  <si>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</si>
  <si>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</si>
  <si>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</si>
  <si>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</si>
  <si>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</si>
  <si>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</si>
  <si>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</si>
  <si>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</si>
  <si>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</si>
  <si>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</si>
  <si>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</si>
  <si>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</si>
  <si>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</si>
  <si>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</si>
  <si>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</si>
  <si>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</si>
  <si>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</si>
  <si>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</si>
  <si>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</si>
  <si>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</si>
  <si>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</si>
  <si>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</si>
  <si>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</si>
  <si>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</si>
  <si>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</si>
  <si>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</si>
  <si>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</si>
  <si>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</si>
  <si>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</si>
  <si>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</si>
  <si>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</si>
  <si>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</si>
  <si>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</si>
  <si>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</si>
  <si>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</si>
  <si>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</si>
  <si>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</si>
  <si>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</si>
  <si>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</si>
  <si>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</si>
  <si>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</si>
  <si>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</si>
  <si>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</si>
  <si>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</si>
  <si>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</si>
  <si>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</si>
  <si>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</si>
  <si>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</si>
  <si>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</si>
  <si>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</si>
  <si>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</si>
  <si>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</si>
  <si>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</si>
  <si>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</si>
  <si>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</si>
  <si>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</si>
  <si>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</si>
  <si>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</si>
  <si>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</si>
  <si>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</si>
  <si>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</si>
  <si>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</si>
  <si>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</si>
  <si>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</si>
  <si>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</si>
  <si>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</si>
  <si>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</si>
  <si>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</si>
  <si>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</si>
  <si>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</si>
  <si>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</si>
  <si>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</si>
  <si>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</si>
  <si>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</si>
  <si>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</si>
  <si>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</si>
  <si>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</si>
  <si>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</si>
  <si>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</si>
  <si>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</si>
  <si>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</si>
  <si>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</si>
  <si>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</si>
  <si>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</si>
  <si>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</si>
  <si>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</si>
  <si>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</si>
  <si>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</si>
  <si>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</si>
  <si>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</si>
  <si>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</si>
  <si>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</si>
  <si>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</si>
  <si>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</si>
  <si>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</si>
  <si>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</si>
  <si>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</si>
  <si>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</si>
  <si>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</si>
  <si>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</si>
  <si>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</si>
  <si>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</si>
  <si>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</si>
  <si>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</si>
  <si>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</si>
  <si>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</si>
  <si>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</si>
  <si>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</si>
  <si>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</si>
  <si>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</si>
  <si>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</si>
  <si>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</si>
  <si>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</si>
  <si>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</si>
  <si>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</si>
  <si>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</si>
  <si>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</si>
  <si>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</si>
  <si>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</si>
  <si>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</si>
  <si>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</si>
  <si>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</si>
  <si>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</si>
  <si>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</si>
  <si>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</si>
  <si>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</si>
  <si>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</si>
  <si>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</si>
  <si>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</si>
  <si>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</si>
  <si>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</si>
  <si>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</si>
  <si>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</si>
  <si>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</si>
  <si>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</si>
  <si>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</si>
  <si>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</si>
  <si>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</si>
  <si>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</si>
  <si>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</si>
  <si>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</si>
  <si>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</si>
  <si>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</si>
  <si>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</si>
  <si>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</si>
  <si>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</si>
  <si>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</si>
  <si>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</si>
  <si>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</si>
  <si>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</si>
  <si>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</si>
  <si>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</si>
  <si>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</si>
  <si>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</si>
  <si>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</si>
  <si>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</si>
  <si>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</si>
  <si>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</si>
  <si>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</si>
  <si>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</si>
  <si>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</si>
  <si>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</si>
  <si>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</si>
  <si>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</si>
  <si>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</si>
  <si>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</si>
  <si>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</si>
  <si>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</si>
  <si>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</si>
  <si>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</si>
  <si>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</si>
  <si>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</si>
  <si>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</si>
  <si>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</si>
  <si>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</si>
  <si>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</si>
  <si>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</si>
  <si>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</si>
  <si>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</si>
  <si>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</si>
  <si>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</si>
  <si>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</si>
  <si>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</si>
  <si>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</si>
  <si>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</si>
  <si>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</si>
  <si>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</si>
  <si>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</si>
  <si>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</si>
  <si>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</si>
  <si>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</si>
  <si>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</si>
  <si>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</si>
  <si>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</si>
  <si>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</si>
  <si>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</si>
  <si>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</si>
  <si>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</si>
  <si>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</si>
  <si>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</si>
  <si>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</si>
  <si>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</si>
  <si>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</si>
  <si>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</si>
  <si>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</si>
  <si>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</si>
  <si>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</si>
  <si>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</si>
  <si>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</si>
  <si>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</si>
  <si>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</si>
  <si>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</si>
  <si>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</si>
  <si>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</si>
  <si>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</si>
  <si>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</si>
  <si>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</si>
  <si>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</si>
  <si>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</si>
  <si>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</si>
  <si>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</si>
  <si>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</si>
  <si>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</si>
  <si>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</si>
  <si>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</si>
  <si>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</si>
  <si>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</si>
  <si>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</si>
  <si>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</si>
  <si>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</si>
  <si>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</si>
  <si>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</si>
  <si>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</si>
  <si>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</si>
  <si>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</si>
  <si>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</si>
  <si>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</si>
  <si>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</si>
  <si>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</si>
  <si>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</si>
  <si>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</si>
  <si>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</si>
  <si>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</si>
  <si>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</si>
  <si>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</si>
  <si>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</si>
  <si>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</si>
  <si>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</si>
  <si>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</si>
  <si>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</si>
  <si>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</si>
  <si>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</si>
  <si>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</si>
  <si>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</si>
  <si>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</si>
  <si>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</si>
  <si>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</si>
  <si>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</si>
  <si>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</si>
  <si>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</si>
  <si>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</si>
  <si>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</si>
  <si>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</si>
  <si>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</si>
  <si>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</si>
  <si>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</si>
  <si>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</si>
  <si>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</si>
  <si>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</si>
  <si>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</si>
  <si>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</si>
  <si>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</si>
  <si>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</si>
  <si>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</si>
  <si>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</si>
  <si>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</si>
  <si>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</si>
  <si>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</si>
  <si>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</si>
  <si>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</si>
  <si>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</si>
  <si>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</si>
  <si>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</si>
  <si>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</si>
  <si>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</si>
  <si>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</si>
  <si>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</si>
  <si>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</si>
  <si>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</si>
  <si>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</si>
  <si>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</si>
  <si>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</si>
  <si>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</si>
  <si>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</si>
  <si>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</si>
  <si>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</si>
  <si>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</si>
  <si>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</si>
  <si>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</si>
  <si>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</si>
  <si>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</si>
  <si>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</si>
  <si>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</si>
  <si>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</si>
  <si>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</si>
  <si>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</si>
  <si>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</si>
  <si>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</si>
  <si>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</si>
  <si>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</si>
  <si>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</si>
  <si>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</si>
  <si>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</si>
  <si>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</si>
  <si>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</si>
  <si>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</si>
  <si>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</si>
  <si>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</si>
  <si>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</si>
  <si>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</si>
  <si>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</si>
  <si>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</si>
  <si>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</si>
  <si>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</si>
  <si>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</si>
  <si>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</si>
  <si>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</si>
  <si>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</si>
  <si>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</si>
  <si>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</si>
  <si>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</si>
  <si>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</si>
  <si>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</si>
  <si>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</si>
  <si>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</si>
  <si>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</si>
  <si>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</si>
  <si>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</si>
  <si>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</si>
  <si>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</si>
  <si>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</si>
  <si>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</si>
  <si>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</si>
  <si>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</si>
  <si>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</si>
  <si>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</si>
  <si>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</si>
  <si>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</si>
  <si>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</si>
  <si>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</si>
  <si>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</si>
  <si>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</si>
  <si>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</si>
  <si>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</si>
  <si>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</si>
  <si>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</si>
  <si>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</si>
  <si>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</si>
  <si>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</si>
  <si>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</si>
  <si>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</si>
  <si>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</si>
  <si>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</si>
  <si>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</si>
  <si>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</si>
  <si>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</si>
  <si>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</si>
  <si>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</si>
  <si>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</si>
  <si>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</si>
  <si>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</si>
  <si>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</si>
  <si>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</si>
  <si>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</si>
  <si>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</si>
  <si>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</si>
  <si>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</si>
  <si>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</si>
  <si>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</si>
  <si>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</si>
  <si>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</si>
  <si>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</si>
  <si>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</si>
  <si>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</si>
  <si>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</si>
  <si>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</si>
  <si>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</si>
  <si>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</si>
  <si>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</si>
  <si>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</si>
  <si>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</si>
  <si>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</si>
  <si>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</si>
  <si>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</si>
  <si>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</si>
  <si>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</si>
  <si>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</si>
  <si>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</si>
  <si>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</si>
  <si>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</si>
  <si>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</si>
  <si>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</si>
  <si>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</si>
  <si>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</si>
  <si>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</si>
  <si>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</si>
  <si>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</si>
  <si>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</si>
  <si>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</si>
  <si>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</si>
  <si>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</si>
  <si>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</si>
  <si>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</si>
  <si>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</si>
  <si>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</si>
  <si>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</si>
  <si>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</si>
  <si>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</si>
  <si>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</si>
  <si>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</si>
  <si>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</si>
  <si>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</si>
  <si>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</si>
  <si>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</si>
  <si>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</si>
  <si>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</si>
  <si>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</si>
  <si>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</si>
  <si>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</si>
  <si>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</si>
  <si>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</si>
  <si>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</si>
  <si>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</si>
  <si>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</si>
  <si>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</si>
  <si>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</si>
  <si>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</si>
  <si>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</si>
  <si>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</si>
  <si>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</si>
  <si>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</si>
  <si>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</si>
  <si>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</si>
  <si>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</si>
  <si>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</si>
  <si>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</si>
  <si>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</si>
  <si>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</si>
  <si>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</si>
  <si>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</si>
  <si>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</si>
  <si>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</si>
  <si>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</si>
  <si>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</si>
  <si>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</si>
  <si>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</si>
  <si>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</si>
  <si>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</si>
  <si>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</si>
  <si>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</si>
  <si>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</si>
  <si>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</si>
  <si>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</si>
  <si>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</si>
  <si>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</si>
  <si>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</si>
  <si>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</si>
  <si>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</si>
  <si>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</si>
  <si>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</si>
  <si>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</si>
  <si>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</si>
  <si>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</si>
  <si>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</si>
  <si>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</si>
  <si>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</si>
  <si>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</si>
  <si>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</si>
  <si>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</si>
  <si>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</si>
  <si>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</si>
  <si>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</si>
  <si>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</si>
  <si>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</si>
  <si>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</si>
  <si>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</si>
  <si>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</si>
  <si>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</si>
  <si>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</si>
  <si>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</si>
  <si>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</si>
  <si>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</si>
  <si>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</si>
  <si>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</si>
  <si>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</si>
  <si>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</si>
  <si>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</si>
  <si>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</si>
  <si>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</si>
  <si>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</si>
  <si>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</si>
  <si>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</si>
  <si>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</si>
  <si>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</si>
  <si>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</si>
  <si>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</si>
  <si>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</si>
  <si>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</si>
  <si>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</si>
  <si>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</si>
  <si>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</si>
  <si>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</si>
  <si>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</si>
  <si>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</si>
  <si>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</si>
  <si>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</si>
  <si>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</si>
  <si>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</si>
  <si>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</si>
  <si>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</si>
  <si>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</si>
  <si>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</si>
  <si>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</si>
  <si>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</si>
  <si>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</si>
  <si>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</si>
  <si>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</si>
  <si>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</si>
  <si>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</si>
  <si>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</si>
  <si>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</si>
  <si>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</si>
  <si>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</si>
  <si>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</si>
  <si>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</si>
  <si>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</si>
  <si>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</si>
  <si>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</si>
  <si>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</si>
  <si>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</si>
  <si>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</si>
  <si>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</si>
  <si>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</si>
  <si>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</si>
  <si>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</si>
  <si>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</si>
  <si>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</si>
  <si>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</si>
  <si>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</si>
  <si>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</si>
  <si>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</si>
  <si>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</si>
  <si>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</si>
  <si>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</si>
  <si>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</si>
  <si>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</si>
  <si>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</si>
  <si>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</si>
  <si>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</si>
  <si>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</si>
  <si>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</si>
  <si>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</si>
  <si>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</si>
  <si>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</si>
  <si>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</si>
  <si>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</si>
  <si>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</si>
  <si>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</si>
  <si>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</si>
  <si>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</si>
  <si>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</si>
  <si>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</si>
  <si>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</si>
  <si>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</si>
  <si>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</si>
  <si>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</si>
  <si>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</si>
  <si>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</si>
  <si>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</si>
  <si>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</si>
  <si>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</si>
  <si>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</si>
  <si>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</si>
  <si>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</si>
  <si>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</si>
  <si>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</si>
  <si>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</si>
  <si>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</si>
  <si>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</si>
  <si>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</si>
  <si>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</si>
  <si>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</si>
  <si>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</si>
  <si>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</si>
  <si>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</si>
  <si>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</si>
  <si>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</si>
  <si>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</si>
  <si>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</si>
  <si>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</si>
  <si>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</si>
  <si>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</si>
  <si>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</si>
  <si>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</si>
  <si>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</si>
  <si>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</si>
  <si>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</si>
  <si>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</si>
  <si>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</si>
  <si>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</si>
  <si>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</si>
  <si>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</si>
  <si>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</si>
  <si>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</si>
  <si>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</si>
  <si>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</si>
  <si>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</si>
  <si>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</si>
  <si>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</si>
  <si>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</si>
  <si>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</si>
  <si>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</si>
  <si>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</si>
  <si>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</si>
  <si>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</si>
  <si>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</si>
  <si>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</si>
  <si>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</si>
  <si>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</si>
  <si>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</si>
  <si>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</si>
  <si>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</si>
  <si>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</si>
  <si>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</si>
  <si>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</si>
  <si>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</si>
  <si>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</si>
  <si>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</si>
  <si>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</si>
  <si>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</si>
  <si>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</si>
  <si>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</si>
  <si>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</si>
  <si>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</si>
  <si>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</si>
  <si>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</si>
  <si>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</si>
  <si>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</si>
  <si>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</si>
  <si>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</si>
  <si>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</si>
  <si>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</si>
  <si>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</si>
  <si>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</si>
  <si>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</si>
  <si>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</si>
  <si>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</si>
  <si>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</si>
  <si>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</si>
  <si>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</si>
  <si>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</si>
  <si>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</si>
  <si>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</si>
  <si>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</si>
  <si>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</si>
  <si>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</si>
  <si>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</si>
  <si>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</si>
  <si>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</si>
  <si>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</si>
  <si>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</si>
  <si>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</si>
  <si>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</si>
  <si>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</si>
  <si>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</si>
  <si>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</si>
  <si>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</si>
  <si>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</si>
  <si>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</si>
  <si>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</si>
  <si>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</si>
  <si>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</si>
  <si>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</si>
  <si>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</si>
  <si>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</si>
  <si>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</si>
  <si>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</si>
  <si>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</si>
  <si>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</si>
  <si>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</si>
  <si>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</si>
  <si>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</si>
  <si>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</si>
  <si>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</si>
  <si>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</si>
  <si>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</si>
  <si>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</si>
  <si>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</si>
  <si>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</si>
  <si>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</si>
  <si>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</si>
  <si>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</si>
  <si>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</si>
  <si>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</si>
  <si>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</si>
  <si>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</si>
  <si>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</si>
  <si>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</si>
  <si>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</si>
  <si>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</si>
  <si>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</si>
  <si>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</si>
  <si>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</si>
  <si>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</si>
  <si>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</si>
  <si>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</si>
  <si>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</si>
  <si>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</si>
  <si>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</si>
  <si>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</si>
  <si>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</si>
  <si>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</si>
  <si>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</si>
  <si>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</si>
  <si>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</si>
  <si>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</si>
  <si>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</si>
  <si>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</si>
  <si>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</si>
  <si>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</si>
  <si>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</si>
  <si>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</si>
  <si>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</si>
  <si>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</si>
  <si>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</si>
  <si>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</si>
  <si>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</si>
  <si>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</si>
  <si>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</si>
  <si>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</si>
  <si>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</si>
  <si>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</si>
  <si>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</si>
  <si>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</si>
  <si>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</si>
  <si>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</si>
  <si>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</si>
  <si>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</si>
  <si>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</si>
  <si>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</si>
  <si>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</si>
  <si>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</si>
  <si>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</si>
  <si>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</si>
  <si>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</si>
  <si>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</si>
  <si>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</si>
  <si>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</si>
  <si>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</si>
  <si>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</si>
  <si>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</si>
  <si>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</si>
  <si>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</si>
  <si>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</si>
  <si>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</si>
  <si>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</si>
  <si>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</si>
  <si>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</si>
  <si>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</si>
  <si>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</si>
  <si>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</si>
  <si>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</si>
  <si>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</si>
  <si>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</si>
  <si>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</si>
  <si>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</si>
  <si>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</si>
  <si>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</si>
  <si>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</si>
  <si>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</si>
  <si>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</si>
  <si>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</si>
  <si>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</si>
  <si>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</si>
  <si>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</si>
  <si>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</si>
  <si>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</si>
  <si>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</si>
  <si>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</si>
  <si>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</si>
  <si>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</si>
  <si>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</si>
  <si>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</si>
  <si>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</si>
  <si>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</si>
  <si>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</si>
  <si>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</si>
  <si>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</si>
  <si>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</si>
  <si>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</si>
  <si>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</si>
  <si>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</si>
  <si>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</si>
  <si>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</si>
  <si>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</si>
  <si>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</si>
  <si>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</si>
  <si>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</si>
  <si>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</si>
  <si>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</si>
  <si>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</si>
  <si>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</si>
  <si>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</si>
  <si>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</si>
  <si>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</si>
  <si>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</si>
  <si>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</si>
  <si>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</si>
  <si>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</si>
  <si>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</si>
  <si>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</si>
  <si>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</si>
  <si>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</si>
  <si>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</si>
  <si>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</si>
  <si>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</si>
  <si>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</si>
  <si>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</si>
  <si>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</si>
  <si>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</si>
  <si>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</si>
  <si>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</si>
  <si>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</si>
  <si>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</si>
  <si>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</si>
  <si>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</si>
  <si>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</si>
  <si>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</si>
  <si>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</si>
  <si>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</si>
  <si>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</si>
  <si>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</si>
  <si>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</si>
  <si>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</si>
  <si>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</si>
  <si>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</si>
  <si>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</si>
  <si>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</si>
  <si>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</si>
  <si>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</si>
  <si>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</si>
  <si>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</si>
  <si>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</si>
  <si>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</si>
  <si>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</si>
  <si>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</si>
  <si>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</si>
  <si>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</si>
  <si>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</si>
  <si>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</si>
  <si>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</si>
  <si>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</si>
  <si>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</si>
  <si>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</si>
  <si>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</si>
  <si>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</si>
  <si>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</si>
  <si>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</si>
  <si>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</si>
  <si>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</si>
  <si>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</si>
  <si>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</si>
  <si>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</si>
  <si>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</si>
  <si>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</si>
  <si>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</si>
  <si>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</si>
  <si>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</si>
  <si>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</si>
  <si>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</si>
  <si>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</si>
  <si>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</si>
  <si>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</si>
  <si>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</si>
  <si>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</si>
  <si>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</si>
  <si>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</si>
  <si>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</si>
  <si>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</si>
  <si>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</si>
  <si>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</si>
  <si>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</si>
  <si>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</si>
  <si>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</si>
  <si>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</si>
  <si>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</si>
  <si>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</si>
  <si>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</si>
  <si>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</si>
  <si>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</si>
  <si>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</si>
  <si>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</si>
  <si>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</si>
  <si>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</si>
  <si>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</si>
  <si>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</si>
  <si>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</si>
  <si>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</si>
  <si>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</si>
  <si>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</si>
  <si>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</si>
  <si>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</si>
  <si>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</si>
  <si>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</si>
  <si>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</si>
  <si>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</si>
  <si>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</si>
  <si>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</si>
  <si>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</si>
  <si>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</si>
  <si>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</si>
  <si>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</si>
  <si>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</si>
  <si>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</si>
  <si>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</si>
  <si>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</si>
  <si>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</si>
  <si>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</si>
  <si>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</si>
  <si>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</si>
  <si>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</si>
  <si>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</si>
  <si>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</si>
  <si>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</si>
  <si>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</si>
  <si>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</si>
  <si>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</si>
  <si>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</si>
  <si>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</si>
  <si>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</si>
  <si>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</si>
  <si>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</si>
  <si>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</si>
  <si>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</si>
  <si>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</si>
  <si>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</si>
  <si>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</si>
  <si>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</si>
  <si>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</si>
  <si>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</si>
  <si>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</si>
  <si>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</si>
  <si>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</si>
  <si>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</si>
  <si>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</si>
  <si>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</si>
  <si>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</si>
  <si>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</si>
  <si>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</si>
  <si>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</si>
  <si>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</si>
  <si>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</si>
  <si>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</si>
  <si>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</si>
  <si>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</si>
  <si>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</si>
  <si>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</si>
  <si>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</si>
  <si>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</si>
  <si>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</si>
  <si>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</si>
  <si>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</si>
  <si>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</si>
  <si>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</si>
  <si>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</si>
  <si>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</si>
  <si>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</si>
  <si>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</si>
  <si>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</si>
  <si>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</si>
  <si>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</si>
  <si>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</si>
  <si>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</si>
  <si>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</si>
  <si>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</si>
  <si>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</si>
  <si>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</si>
  <si>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</si>
  <si>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</si>
  <si>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</si>
  <si>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</si>
  <si>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</si>
  <si>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</si>
  <si>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</si>
  <si>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</si>
  <si>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</si>
  <si>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</si>
  <si>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</si>
  <si>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</si>
  <si>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</si>
  <si>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</si>
  <si>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</si>
  <si>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</si>
  <si>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</si>
  <si>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</si>
  <si>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</si>
  <si>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</si>
  <si>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</si>
  <si>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</si>
  <si>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</si>
  <si>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</si>
  <si>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</si>
  <si>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</si>
  <si>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</si>
  <si>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</si>
  <si>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</si>
  <si>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</si>
  <si>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</si>
  <si>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</si>
  <si>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</si>
  <si>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</si>
  <si>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</si>
  <si>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</si>
  <si>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</si>
  <si>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</si>
  <si>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</si>
  <si>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</si>
  <si>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</si>
  <si>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</si>
  <si>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</si>
  <si>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</si>
  <si>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</si>
  <si>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</si>
  <si>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</si>
  <si>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</si>
  <si>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</si>
  <si>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</si>
  <si>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</si>
  <si>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</si>
  <si>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</si>
  <si>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</si>
  <si>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</si>
  <si>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</si>
  <si>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</si>
  <si>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</si>
  <si>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</si>
  <si>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</si>
  <si>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</si>
  <si>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</si>
  <si>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</si>
  <si>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</si>
  <si>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</si>
  <si>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</si>
  <si>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</si>
  <si>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</si>
  <si>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</si>
  <si>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</si>
  <si>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</si>
  <si>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</si>
  <si>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</si>
  <si>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</si>
  <si>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</si>
  <si>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</si>
  <si>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</si>
  <si>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</si>
  <si>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</si>
  <si>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</si>
  <si>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</si>
  <si>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</si>
  <si>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</si>
  <si>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</si>
  <si>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</si>
  <si>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</si>
  <si>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</si>
  <si>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</si>
  <si>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</si>
  <si>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</si>
  <si>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</si>
  <si>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</si>
  <si>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</si>
  <si>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</si>
  <si>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</si>
  <si>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</si>
  <si>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</si>
  <si>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</si>
  <si>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</si>
  <si>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</si>
  <si>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</si>
  <si>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</si>
  <si>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</si>
  <si>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</si>
  <si>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</si>
  <si>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</si>
  <si>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</si>
  <si>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</si>
  <si>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</si>
  <si>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</si>
  <si>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</si>
  <si>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</si>
  <si>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</si>
  <si>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</si>
  <si>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</si>
  <si>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</si>
  <si>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</si>
  <si>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</si>
  <si>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</si>
  <si>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</si>
  <si>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</si>
  <si>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</si>
  <si>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</si>
  <si>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</si>
  <si>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</si>
  <si>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</si>
  <si>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</si>
  <si>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</si>
  <si>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</si>
  <si>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</si>
  <si>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</si>
  <si>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</si>
  <si>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</si>
  <si>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</si>
  <si>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</si>
  <si>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</si>
  <si>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</si>
  <si>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</si>
  <si>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</si>
  <si>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</si>
  <si>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</si>
  <si>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</si>
  <si>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</si>
  <si>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</si>
  <si>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</si>
  <si>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</si>
  <si>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</si>
  <si>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</si>
  <si>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</si>
  <si>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</si>
  <si>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</si>
  <si>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</si>
  <si>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</si>
  <si>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</si>
  <si>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</si>
  <si>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</si>
  <si>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</si>
  <si>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</si>
  <si>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</si>
  <si>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</si>
  <si>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</si>
  <si>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</si>
  <si>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</si>
  <si>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</si>
  <si>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</si>
  <si>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</si>
  <si>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</si>
  <si>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</si>
  <si>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</si>
  <si>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</si>
  <si>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</si>
  <si>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</si>
  <si>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</si>
  <si>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</si>
  <si>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</si>
  <si>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</si>
  <si>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</si>
  <si>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</si>
  <si>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</si>
  <si>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</si>
  <si>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</si>
  <si>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</si>
  <si>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</si>
  <si>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</si>
  <si>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</si>
  <si>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</si>
  <si>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</si>
  <si>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</si>
  <si>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</si>
  <si>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</si>
  <si>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</si>
  <si>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</si>
  <si>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</si>
  <si>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</si>
  <si>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</si>
  <si>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</si>
  <si>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</si>
  <si>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</si>
  <si>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</si>
  <si>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</si>
  <si>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</si>
  <si>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</si>
  <si>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</si>
  <si>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</si>
  <si>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</si>
  <si>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</si>
  <si>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</si>
  <si>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</si>
  <si>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</si>
  <si>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</si>
  <si>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</si>
  <si>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</si>
  <si>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</si>
  <si>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</si>
  <si>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</si>
  <si>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</si>
  <si>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</si>
  <si>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</si>
  <si>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</si>
  <si>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</si>
  <si>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</si>
  <si>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</si>
  <si>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</si>
  <si>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</si>
  <si>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</si>
  <si>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</si>
  <si>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</si>
  <si>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</si>
  <si>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</si>
  <si>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</si>
  <si>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</si>
  <si>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</si>
  <si>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</si>
  <si>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</si>
  <si>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</si>
  <si>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</si>
  <si>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</si>
  <si>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</si>
  <si>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</si>
  <si>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</si>
  <si>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</si>
  <si>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</si>
  <si>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</si>
  <si>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</si>
  <si>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</si>
  <si>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</si>
  <si>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</si>
  <si>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</si>
  <si>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</si>
  <si>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</si>
  <si>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</si>
  <si>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</si>
  <si>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</si>
  <si>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</si>
  <si>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</si>
  <si>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</si>
  <si>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</si>
  <si>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</si>
  <si>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</si>
  <si>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</si>
  <si>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</si>
  <si>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</si>
  <si>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</si>
  <si>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</si>
  <si>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</si>
  <si>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</si>
  <si>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</si>
  <si>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</si>
  <si>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</si>
  <si>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</si>
  <si>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</si>
  <si>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</si>
  <si>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</si>
  <si>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</si>
  <si>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</si>
  <si>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</si>
  <si>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</si>
  <si>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</si>
  <si>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</si>
  <si>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</si>
  <si>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</si>
  <si>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</si>
  <si>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</si>
  <si>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</si>
  <si>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</si>
  <si>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</si>
  <si>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</si>
  <si>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</si>
  <si>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</si>
  <si>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</si>
  <si>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</si>
  <si>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</si>
  <si>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</si>
  <si>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</si>
  <si>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</si>
  <si>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</si>
  <si>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</si>
  <si>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</si>
  <si>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</si>
  <si>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</si>
  <si>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</si>
  <si>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</si>
  <si>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</si>
  <si>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</si>
  <si>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</si>
  <si>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</si>
  <si>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</si>
  <si>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</si>
  <si>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</si>
  <si>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</si>
  <si>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</si>
  <si>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</si>
  <si>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</si>
  <si>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</si>
  <si>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</si>
  <si>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</si>
  <si>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</si>
  <si>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</si>
  <si>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</si>
  <si>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</si>
  <si>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</si>
  <si>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</si>
  <si>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</si>
  <si>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</si>
  <si>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</si>
  <si>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</si>
  <si>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</si>
  <si>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</si>
  <si>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</si>
  <si>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</si>
  <si>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</si>
  <si>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</si>
  <si>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</si>
  <si>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</si>
  <si>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</si>
  <si>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</si>
  <si>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</si>
  <si>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</si>
  <si>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</si>
  <si>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</si>
  <si>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</si>
  <si>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</si>
  <si>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</si>
  <si>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</si>
  <si>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</si>
  <si>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</si>
  <si>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</si>
  <si>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</si>
  <si>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</si>
  <si>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</si>
  <si>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</si>
  <si>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</si>
  <si>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</si>
  <si>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</si>
  <si>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</si>
  <si>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</si>
  <si>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</si>
  <si>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</si>
  <si>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</si>
  <si>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</si>
  <si>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</si>
  <si>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</si>
  <si>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</si>
  <si>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</si>
  <si>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</si>
  <si>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</si>
  <si>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</si>
  <si>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</si>
  <si>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</si>
  <si>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</si>
  <si>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</si>
  <si>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</si>
  <si>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</si>
  <si>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</si>
  <si>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</si>
  <si>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</si>
  <si>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</si>
  <si>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</si>
  <si>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</si>
  <si>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</si>
  <si>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</si>
  <si>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</si>
  <si>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</si>
  <si>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</si>
  <si>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</si>
  <si>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</si>
  <si>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</si>
  <si>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</si>
  <si>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</si>
  <si>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</si>
  <si>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</si>
  <si>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</si>
  <si>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</si>
  <si>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</si>
  <si>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</si>
  <si>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</si>
  <si>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</si>
  <si>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</si>
  <si>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</si>
  <si>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</si>
  <si>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</si>
  <si>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</si>
  <si>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</si>
  <si>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</si>
  <si>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</si>
  <si>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</si>
  <si>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</si>
  <si>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</si>
  <si>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</si>
  <si>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</si>
  <si>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</si>
  <si>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</si>
  <si>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</si>
  <si>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</si>
  <si>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</si>
  <si>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</si>
  <si>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</si>
  <si>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</si>
  <si>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</si>
  <si>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</si>
  <si>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</si>
  <si>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</si>
  <si>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</si>
  <si>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</si>
  <si>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</si>
  <si>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</si>
  <si>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</si>
  <si>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</si>
  <si>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</si>
  <si>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</si>
  <si>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</si>
  <si>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</si>
  <si>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</si>
  <si>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</si>
  <si>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</si>
  <si>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</si>
  <si>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</si>
  <si>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</si>
  <si>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</si>
  <si>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</si>
  <si>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</si>
  <si>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</si>
  <si>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</si>
  <si>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</si>
  <si>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</si>
  <si>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</si>
  <si>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</si>
  <si>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</si>
  <si>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</si>
  <si>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</si>
  <si>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</si>
  <si>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</si>
  <si>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</si>
  <si>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</si>
  <si>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</si>
  <si>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</si>
  <si>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</si>
  <si>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</si>
  <si>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</si>
  <si>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</si>
  <si>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</si>
  <si>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</si>
  <si>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</si>
  <si>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</si>
  <si>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</si>
  <si>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</si>
  <si>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</si>
  <si>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</si>
  <si>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</si>
  <si>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</si>
  <si>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</si>
  <si>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</si>
  <si>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</si>
  <si>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</si>
  <si>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</si>
  <si>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</si>
  <si>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</si>
  <si>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</si>
  <si>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</si>
  <si>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</si>
  <si>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</si>
  <si>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</si>
  <si>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</si>
  <si>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</si>
  <si>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</si>
  <si>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</si>
  <si>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</si>
  <si>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</si>
  <si>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</si>
  <si>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</si>
  <si>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</si>
  <si>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</si>
  <si>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</si>
  <si>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</si>
  <si>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</si>
  <si>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</si>
  <si>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</si>
  <si>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</si>
  <si>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</si>
  <si>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</si>
  <si>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</si>
  <si>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</si>
  <si>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</si>
  <si>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</si>
  <si>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</si>
  <si>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</si>
  <si>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</si>
  <si>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</si>
  <si>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</si>
  <si>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</si>
  <si>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</si>
  <si>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</si>
  <si>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</si>
  <si>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</si>
  <si>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</si>
  <si>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</si>
  <si>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</si>
  <si>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</si>
  <si>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</si>
  <si>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</si>
  <si>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</si>
  <si>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</si>
  <si>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</si>
  <si>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</si>
  <si>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</si>
  <si>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</si>
  <si>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</si>
  <si>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</si>
  <si>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</si>
  <si>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</si>
  <si>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</si>
  <si>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</si>
  <si>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</si>
  <si>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</si>
  <si>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</si>
  <si>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</si>
  <si>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</si>
  <si>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</si>
  <si>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</si>
  <si>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</si>
  <si>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</si>
  <si>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</si>
  <si>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</si>
  <si>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</si>
  <si>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</si>
  <si>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</si>
  <si>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</si>
  <si>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</si>
  <si>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</si>
  <si>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</si>
  <si>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</si>
  <si>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</si>
  <si>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</si>
  <si>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</si>
  <si>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</si>
  <si>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</si>
  <si>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</si>
  <si>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</si>
  <si>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</si>
  <si>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</si>
  <si>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</si>
  <si>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</si>
  <si>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</si>
  <si>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</si>
  <si>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</si>
  <si>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</si>
  <si>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</si>
  <si>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</si>
  <si>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</si>
  <si>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</si>
  <si>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</si>
  <si>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</si>
  <si>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</si>
  <si>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</si>
  <si>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</si>
  <si>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</si>
  <si>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</si>
  <si>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</si>
  <si>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</si>
  <si>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</si>
  <si>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</si>
  <si>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</si>
  <si>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</si>
  <si>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</si>
  <si>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</si>
  <si>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</si>
  <si>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</si>
  <si>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</si>
  <si>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</si>
  <si>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</si>
  <si>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</si>
  <si>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</si>
  <si>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</si>
  <si>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</si>
  <si>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</si>
  <si>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</si>
  <si>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</si>
  <si>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</si>
  <si>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</si>
  <si>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</si>
  <si>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</si>
  <si>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</si>
  <si>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</si>
  <si>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</si>
  <si>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</si>
  <si>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</si>
  <si>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</si>
  <si>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</si>
  <si>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</si>
  <si>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</si>
  <si>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</si>
  <si>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</si>
  <si>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</si>
  <si>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</si>
  <si>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</si>
  <si>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</si>
  <si>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</si>
  <si>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</si>
  <si>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</si>
  <si>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</si>
  <si>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</si>
  <si>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</si>
  <si>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</si>
  <si>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</si>
  <si>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</si>
  <si>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</si>
  <si>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</si>
  <si>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</si>
  <si>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</si>
  <si>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</si>
  <si>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</si>
  <si>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</si>
  <si>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</si>
  <si>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</si>
  <si>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</si>
  <si>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</si>
  <si>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</si>
  <si>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</si>
  <si>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</si>
  <si>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</si>
  <si>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</si>
  <si>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</si>
  <si>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</si>
  <si>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</si>
  <si>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</si>
  <si>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</si>
  <si>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</si>
  <si>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</si>
  <si>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</si>
  <si>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</si>
  <si>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</si>
  <si>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</si>
  <si>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</si>
  <si>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</si>
  <si>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</si>
  <si>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</si>
  <si>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</si>
  <si>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</si>
  <si>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</si>
  <si>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</si>
  <si>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</si>
  <si>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</si>
  <si>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</si>
  <si>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</si>
  <si>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</si>
  <si>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</si>
  <si>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</si>
  <si>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</si>
  <si>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</si>
  <si>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</si>
  <si>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</si>
  <si>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</si>
  <si>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</si>
  <si>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</si>
  <si>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</si>
  <si>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</si>
  <si>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</si>
  <si>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</si>
  <si>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</si>
  <si>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</si>
  <si>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</si>
  <si>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</si>
  <si>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</si>
  <si>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</si>
  <si>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</si>
  <si>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</si>
  <si>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</si>
  <si>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</si>
  <si>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</si>
  <si>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</si>
  <si>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</si>
  <si>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</si>
  <si>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</si>
  <si>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</si>
  <si>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</si>
  <si>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</si>
  <si>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</si>
  <si>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</si>
  <si>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</si>
  <si>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</si>
  <si>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</si>
  <si>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</si>
  <si>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</si>
  <si>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</si>
  <si>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</si>
  <si>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</si>
  <si>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</si>
  <si>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</si>
  <si>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</si>
  <si>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</si>
  <si>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</si>
  <si>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</si>
  <si>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</si>
  <si>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</si>
  <si>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</si>
  <si>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</si>
  <si>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</si>
  <si>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</si>
  <si>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</si>
  <si>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</si>
  <si>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</si>
  <si>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</si>
  <si>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</si>
  <si>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</si>
  <si>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</si>
  <si>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</si>
  <si>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</si>
  <si>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</si>
  <si>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</si>
  <si>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</si>
  <si>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</si>
  <si>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</si>
  <si>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</si>
  <si>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</si>
  <si>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</si>
  <si>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</si>
  <si>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</si>
  <si>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</si>
  <si>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</si>
  <si>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</si>
  <si>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</si>
  <si>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</si>
  <si>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</si>
  <si>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</si>
  <si>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</si>
  <si>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</si>
  <si>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</si>
  <si>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</si>
  <si>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</si>
  <si>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</si>
  <si>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</si>
  <si>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</si>
  <si>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</si>
  <si>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</si>
  <si>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</si>
  <si>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</si>
  <si>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</si>
  <si>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</si>
  <si>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</si>
  <si>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</si>
  <si>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</si>
  <si>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</si>
  <si>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</si>
  <si>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</si>
  <si>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</si>
  <si>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</si>
  <si>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</si>
  <si>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</si>
  <si>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</si>
  <si>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</si>
  <si>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</si>
  <si>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</si>
  <si>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</si>
  <si>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</si>
  <si>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</si>
  <si>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</si>
  <si>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</si>
  <si>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</si>
  <si>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</si>
  <si>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</si>
  <si>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</si>
  <si>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</si>
  <si>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</si>
  <si>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</si>
  <si>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</si>
  <si>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</si>
  <si>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</si>
  <si>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</si>
  <si>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</si>
  <si>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</si>
  <si>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</si>
  <si>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</si>
  <si>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</si>
  <si>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</si>
  <si>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</si>
  <si>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</si>
  <si>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</si>
  <si>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</si>
  <si>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</si>
  <si>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</si>
  <si>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</si>
  <si>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</si>
  <si>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</si>
  <si>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</si>
  <si>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</si>
  <si>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</si>
  <si>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</si>
  <si>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</si>
  <si>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</si>
  <si>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</si>
  <si>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</si>
  <si>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</si>
  <si>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</si>
  <si>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</si>
  <si>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</si>
  <si>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</si>
  <si>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</si>
  <si>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</si>
  <si>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</si>
  <si>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</si>
  <si>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</si>
  <si>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</si>
  <si>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</si>
  <si>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</si>
  <si>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</si>
  <si>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</si>
  <si>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</si>
  <si>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</si>
  <si>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</si>
  <si>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</si>
  <si>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</si>
  <si>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</si>
  <si>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</si>
  <si>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</si>
  <si>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</si>
  <si>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</si>
  <si>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</si>
  <si>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</si>
  <si>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</si>
  <si>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</si>
  <si>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</si>
  <si>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</si>
  <si>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</si>
  <si>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</si>
  <si>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</si>
  <si>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</si>
  <si>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</si>
  <si>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</si>
  <si>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</si>
  <si>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</si>
  <si>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</si>
  <si>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</si>
  <si>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</si>
  <si>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</si>
  <si>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</si>
  <si>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</si>
  <si>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</si>
  <si>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</si>
  <si>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</si>
  <si>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</si>
  <si>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</si>
  <si>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</si>
  <si>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</si>
  <si>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</si>
  <si>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</si>
  <si>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</si>
  <si>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</si>
  <si>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</si>
  <si>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</si>
  <si>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</si>
  <si>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</si>
  <si>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</si>
  <si>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</si>
  <si>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</si>
  <si>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</si>
  <si>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</si>
  <si>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</si>
  <si>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</si>
  <si>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</si>
  <si>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</si>
  <si>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</si>
  <si>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</si>
  <si>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</si>
  <si>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</si>
  <si>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</si>
  <si>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</si>
  <si>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</si>
  <si>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</si>
  <si>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</si>
  <si>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</si>
  <si>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</si>
  <si>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</si>
  <si>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</si>
  <si>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</si>
  <si>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</si>
  <si>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</si>
  <si>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</si>
  <si>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</si>
  <si>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</si>
  <si>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</si>
  <si>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</si>
  <si>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</si>
  <si>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</si>
  <si>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</si>
  <si>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</si>
  <si>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</si>
  <si>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</si>
  <si>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</si>
  <si>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</si>
  <si>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</si>
  <si>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</si>
  <si>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</si>
  <si>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</si>
  <si>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</si>
  <si>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</si>
  <si>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</si>
  <si>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</si>
  <si>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</si>
  <si>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</si>
  <si>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</si>
  <si>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</si>
  <si>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</si>
  <si>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</si>
  <si>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</si>
  <si>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</si>
  <si>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</si>
  <si>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</si>
  <si>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</si>
  <si>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</si>
  <si>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</si>
  <si>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</si>
  <si>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</si>
  <si>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</si>
  <si>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</si>
  <si>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</si>
  <si>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</si>
  <si>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</si>
  <si>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</si>
  <si>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</si>
  <si>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</si>
  <si>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</si>
  <si>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</si>
  <si>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</si>
  <si>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</si>
  <si>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</si>
  <si>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</si>
  <si>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</si>
  <si>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</si>
  <si>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</si>
  <si>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</si>
  <si>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</si>
  <si>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</si>
  <si>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</si>
  <si>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</si>
  <si>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</si>
  <si>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</si>
  <si>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</si>
  <si>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</si>
  <si>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</si>
  <si>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</si>
  <si>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</si>
  <si>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</si>
  <si>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</si>
  <si>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</si>
  <si>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</si>
  <si>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</si>
  <si>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</si>
  <si>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</si>
  <si>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</si>
  <si>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</si>
  <si>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</si>
  <si>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</si>
  <si>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</si>
  <si>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</si>
  <si>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</si>
  <si>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</si>
  <si>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</si>
  <si>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</si>
  <si>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</si>
  <si>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</si>
  <si>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</si>
  <si>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</si>
  <si>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</si>
  <si>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</si>
  <si>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</si>
  <si>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</si>
  <si>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</si>
  <si>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</si>
  <si>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</si>
  <si>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</si>
  <si>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</si>
  <si>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</si>
  <si>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</si>
  <si>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</si>
  <si>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</si>
  <si>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</si>
  <si>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</si>
  <si>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</si>
  <si>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</si>
  <si>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</si>
  <si>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</si>
  <si>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</si>
  <si>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</si>
  <si>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</si>
  <si>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</si>
  <si>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</si>
  <si>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</si>
  <si>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</si>
  <si>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</si>
  <si>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</si>
  <si>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</si>
  <si>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</si>
  <si>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</si>
  <si>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</si>
  <si>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</si>
  <si>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</si>
  <si>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</si>
  <si>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</si>
  <si>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</si>
  <si>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</si>
  <si>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</si>
  <si>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</si>
  <si>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</si>
  <si>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</si>
  <si>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</si>
  <si>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</si>
  <si>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</si>
  <si>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</si>
  <si>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</si>
  <si>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</si>
  <si>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</si>
  <si>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</si>
  <si>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</si>
  <si>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</si>
  <si>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</si>
  <si>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</si>
  <si>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</si>
  <si>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</si>
  <si>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</si>
  <si>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</si>
  <si>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</si>
  <si>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</si>
  <si>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</si>
  <si>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</si>
  <si>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</si>
  <si>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</si>
  <si>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</si>
  <si>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</si>
  <si>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</si>
  <si>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</si>
  <si>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</si>
  <si>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</si>
  <si>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</si>
  <si>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</si>
  <si>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</si>
  <si>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</si>
  <si>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</si>
  <si>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</si>
  <si>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</si>
  <si>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</si>
  <si>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</si>
  <si>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</si>
  <si>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</si>
  <si>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</si>
  <si>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</si>
  <si>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</si>
  <si>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</si>
  <si>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</si>
  <si>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</si>
  <si>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</si>
  <si>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</si>
  <si>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</si>
  <si>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</si>
  <si>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</si>
  <si>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</si>
  <si>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</si>
  <si>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</si>
  <si>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</si>
  <si>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</si>
  <si>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</si>
  <si>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</si>
  <si>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</si>
  <si>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</si>
  <si>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</si>
  <si>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</si>
  <si>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</si>
  <si>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</si>
  <si>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</si>
  <si>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</si>
  <si>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</si>
  <si>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</si>
  <si>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</si>
  <si>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</si>
  <si>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</si>
  <si>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</si>
  <si>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</si>
  <si>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</si>
  <si>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</si>
  <si>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</si>
  <si>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</si>
  <si>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</si>
  <si>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</si>
  <si>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</si>
  <si>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</si>
  <si>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</si>
  <si>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</si>
  <si>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</si>
  <si>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</si>
  <si>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</si>
  <si>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</si>
  <si>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</si>
  <si>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</si>
  <si>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</si>
  <si>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</si>
  <si>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</si>
  <si>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</si>
  <si>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</si>
  <si>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</si>
  <si>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</si>
  <si>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</si>
  <si>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</si>
  <si>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</si>
  <si>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</si>
  <si>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</si>
  <si>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</si>
  <si>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</si>
  <si>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</si>
  <si>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</si>
  <si>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</si>
  <si>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</si>
  <si>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</si>
  <si>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</si>
  <si>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</si>
  <si>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</si>
  <si>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</si>
  <si>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</si>
  <si>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</si>
  <si>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</si>
  <si>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</si>
  <si>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</si>
  <si>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</si>
  <si>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</si>
  <si>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</si>
  <si>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</si>
  <si>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</si>
  <si>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</si>
  <si>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</si>
  <si>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</si>
  <si>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</si>
  <si>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</si>
  <si>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</si>
  <si>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</si>
  <si>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</si>
  <si>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</si>
  <si>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</si>
  <si>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</si>
  <si>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</si>
  <si>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</si>
  <si>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</si>
  <si>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</si>
  <si>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</si>
  <si>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</si>
  <si>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</si>
  <si>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</si>
  <si>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</si>
  <si>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</si>
  <si>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</si>
  <si>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</si>
  <si>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</si>
  <si>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</si>
  <si>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</si>
  <si>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</si>
  <si>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</si>
  <si>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</si>
  <si>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</si>
  <si>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</si>
  <si>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</si>
  <si>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</si>
  <si>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</si>
  <si>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</si>
  <si>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</si>
  <si>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</si>
  <si>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</si>
  <si>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</si>
  <si>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</si>
  <si>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</si>
  <si>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</si>
  <si>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</si>
  <si>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</si>
  <si>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</si>
  <si>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</si>
  <si>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</si>
  <si>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</si>
  <si>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</si>
  <si>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</si>
  <si>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</si>
  <si>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</si>
  <si>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</si>
  <si>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</si>
  <si>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</si>
  <si>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</si>
  <si>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</si>
  <si>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</si>
  <si>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</si>
  <si>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</si>
  <si>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</si>
  <si>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</si>
  <si>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</si>
  <si>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</si>
  <si>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</si>
  <si>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</si>
  <si>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</si>
  <si>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</si>
  <si>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</si>
  <si>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</si>
  <si>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</si>
  <si>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</si>
  <si>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</si>
  <si>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</si>
  <si>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</si>
  <si>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</si>
  <si>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</si>
  <si>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</si>
  <si>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</si>
  <si>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</si>
  <si>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</si>
  <si>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</si>
  <si>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</si>
  <si>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</si>
  <si>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</si>
  <si>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</si>
  <si>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</si>
  <si>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</si>
  <si>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</si>
  <si>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</si>
  <si>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</si>
  <si>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</si>
  <si>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</si>
  <si>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</si>
  <si>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</si>
  <si>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</si>
  <si>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</si>
  <si>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</si>
  <si>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</si>
  <si>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</si>
  <si>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</si>
  <si>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</si>
  <si>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</si>
  <si>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</si>
  <si>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</si>
  <si>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</si>
  <si>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</si>
  <si>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</si>
  <si>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</si>
  <si>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</si>
  <si>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</si>
  <si>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</si>
  <si>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</si>
  <si>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</si>
  <si>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</si>
  <si>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</si>
  <si>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</si>
  <si>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</si>
  <si>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</si>
  <si>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</si>
  <si>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</si>
  <si>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</si>
  <si>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</si>
  <si>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</si>
  <si>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</si>
  <si>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</si>
  <si>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</si>
  <si>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</si>
  <si>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</si>
  <si>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</si>
  <si>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</si>
  <si>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</si>
  <si>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</si>
  <si>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</si>
  <si>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</si>
  <si>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</si>
  <si>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</si>
  <si>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</si>
  <si>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</si>
  <si>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</si>
  <si>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</si>
  <si>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</si>
  <si>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</si>
  <si>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</si>
  <si>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</si>
  <si>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</si>
  <si>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</si>
  <si>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</si>
  <si>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</si>
  <si>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</si>
  <si>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</si>
  <si>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</si>
  <si>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</si>
  <si>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</si>
  <si>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</si>
  <si>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</si>
  <si>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</si>
  <si>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</si>
  <si>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</si>
  <si>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</si>
  <si>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</si>
  <si>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</si>
  <si>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</si>
  <si>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</si>
  <si>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</si>
  <si>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</si>
  <si>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</si>
  <si>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</si>
  <si>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</si>
  <si>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</si>
  <si>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</si>
  <si>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</si>
  <si>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</si>
  <si>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</si>
  <si>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</si>
  <si>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</si>
  <si>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</si>
  <si>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</si>
  <si>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</si>
  <si>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</si>
  <si>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</si>
  <si>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</si>
  <si>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</si>
  <si>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</si>
  <si>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</si>
  <si>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</si>
  <si>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</si>
  <si>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</si>
  <si>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</si>
  <si>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</si>
  <si>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</si>
  <si>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</si>
  <si>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</si>
  <si>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</si>
  <si>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</si>
  <si>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</si>
  <si>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</si>
  <si>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</si>
  <si>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</si>
  <si>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</si>
  <si>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</si>
  <si>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</si>
  <si>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</si>
  <si>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</si>
  <si>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</si>
  <si>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</si>
  <si>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</si>
  <si>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</si>
  <si>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</si>
  <si>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</si>
  <si>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</si>
  <si>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</si>
  <si>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</si>
  <si>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</si>
  <si>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</si>
  <si>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</si>
  <si>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</si>
  <si>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</si>
  <si>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</si>
  <si>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</si>
  <si>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</si>
  <si>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</si>
  <si>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</si>
  <si>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</si>
  <si>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</si>
  <si>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</si>
  <si>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</si>
  <si>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</si>
  <si>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</si>
  <si>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</si>
  <si>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</si>
  <si>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</si>
  <si>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</si>
  <si>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</si>
  <si>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</si>
  <si>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</si>
  <si>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</si>
  <si>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</si>
  <si>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</si>
  <si>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</si>
  <si>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</si>
  <si>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</si>
  <si>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</si>
  <si>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</si>
  <si>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</si>
  <si>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</si>
  <si>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</si>
  <si>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</si>
  <si>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</si>
  <si>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</si>
  <si>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</si>
  <si>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</si>
  <si>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</si>
  <si>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</si>
  <si>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</si>
  <si>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</si>
  <si>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</si>
  <si>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</si>
  <si>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</si>
  <si>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</si>
  <si>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</si>
  <si>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</si>
  <si>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</si>
  <si>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</si>
  <si>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</si>
  <si>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</si>
  <si>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</si>
  <si>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</si>
  <si>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</si>
  <si>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</si>
  <si>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</si>
  <si>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</si>
  <si>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</si>
  <si>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</si>
  <si>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</si>
  <si>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</si>
  <si>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</si>
  <si>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</si>
  <si>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</si>
  <si>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</si>
  <si>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</si>
  <si>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</si>
  <si>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</si>
  <si>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</si>
  <si>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</si>
  <si>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</si>
  <si>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</si>
  <si>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</si>
  <si>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</si>
  <si>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</si>
  <si>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</si>
  <si>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</si>
  <si>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</si>
  <si>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</si>
  <si>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</si>
  <si>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</si>
  <si>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</si>
  <si>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</si>
  <si>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</si>
  <si>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</si>
  <si>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</si>
  <si>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</si>
  <si>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</si>
  <si>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</si>
  <si>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</si>
  <si>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</si>
  <si>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</si>
  <si>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</si>
  <si>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</si>
  <si>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</si>
  <si>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</si>
  <si>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</si>
  <si>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</si>
  <si>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</si>
  <si>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</si>
  <si>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</si>
  <si>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</si>
  <si>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</si>
  <si>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</si>
  <si>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</si>
  <si>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</si>
  <si>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</si>
  <si>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</si>
  <si>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</si>
  <si>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</si>
  <si>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</si>
  <si>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</si>
  <si>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</si>
  <si>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</si>
  <si>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</si>
  <si>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</si>
  <si>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</si>
  <si>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</si>
  <si>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</si>
  <si>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</si>
  <si>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</si>
  <si>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</si>
  <si>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</si>
  <si>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</si>
  <si>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</si>
  <si>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</si>
  <si>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</si>
  <si>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</si>
  <si>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</si>
  <si>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</si>
  <si>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</si>
  <si>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</si>
  <si>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</si>
  <si>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</si>
  <si>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</si>
  <si>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</si>
  <si>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</si>
  <si>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</si>
  <si>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</si>
  <si>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</si>
  <si>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</si>
  <si>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</si>
  <si>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</si>
  <si>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</si>
  <si>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</si>
  <si>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</si>
  <si>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</si>
  <si>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</si>
  <si>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</si>
  <si>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</si>
  <si>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</si>
  <si>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</si>
  <si>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</si>
  <si>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</si>
  <si>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</si>
  <si>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</si>
  <si>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</si>
  <si>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</si>
  <si>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</si>
  <si>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</si>
  <si>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</si>
  <si>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</si>
  <si>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</si>
  <si>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</si>
  <si>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</si>
  <si>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</si>
  <si>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</si>
  <si>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</si>
  <si>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</si>
  <si>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</si>
  <si>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</si>
  <si>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</si>
  <si>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</si>
  <si>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</si>
  <si>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</si>
  <si>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</si>
  <si>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</si>
  <si>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</si>
  <si>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</si>
  <si>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</si>
  <si>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</si>
  <si>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</si>
  <si>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</si>
  <si>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</si>
  <si>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</si>
  <si>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</si>
  <si>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</si>
  <si>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</si>
  <si>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</si>
  <si>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</si>
  <si>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</si>
  <si>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</si>
  <si>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</si>
  <si>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</si>
  <si>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</si>
  <si>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</si>
  <si>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</si>
  <si>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</si>
  <si>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</si>
  <si>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</si>
  <si>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</si>
  <si>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</si>
  <si>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</si>
  <si>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</si>
  <si>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</si>
  <si>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</si>
  <si>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</si>
  <si>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</si>
  <si>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</si>
  <si>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</si>
  <si>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</si>
  <si>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</si>
  <si>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</si>
  <si>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</si>
  <si>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</si>
  <si>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</si>
  <si>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</si>
  <si>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</si>
  <si>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</si>
  <si>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</si>
  <si>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</si>
  <si>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</si>
  <si>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</si>
  <si>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</si>
  <si>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</si>
  <si>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</si>
  <si>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</si>
  <si>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</si>
  <si>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</si>
  <si>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</si>
  <si>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</si>
  <si>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</si>
  <si>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</si>
  <si>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</si>
  <si>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</si>
  <si>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</si>
  <si>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</si>
  <si>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</si>
  <si>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</si>
  <si>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</si>
  <si>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</si>
  <si>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</si>
  <si>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</si>
  <si>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</si>
  <si>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</si>
  <si>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</si>
  <si>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</si>
  <si>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</si>
  <si>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</si>
  <si>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</si>
  <si>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</si>
  <si>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</si>
  <si>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</si>
  <si>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</si>
  <si>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</si>
  <si>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</si>
  <si>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</si>
  <si>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</si>
  <si>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</si>
  <si>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</si>
  <si>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</si>
  <si>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</si>
  <si>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</si>
  <si>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</si>
  <si>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</si>
  <si>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</si>
  <si>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</si>
  <si>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</si>
  <si>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</si>
  <si>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</si>
  <si>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</si>
  <si>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</si>
  <si>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</si>
  <si>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</si>
  <si>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</si>
  <si>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</si>
  <si>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</si>
  <si>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</si>
  <si>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</si>
  <si>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</si>
  <si>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</si>
  <si>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</si>
  <si>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</si>
  <si>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</si>
  <si>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</si>
  <si>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</si>
  <si>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</si>
  <si>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</si>
  <si>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</si>
  <si>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</si>
  <si>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</si>
  <si>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</si>
  <si>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</si>
  <si>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</si>
  <si>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</si>
  <si>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</si>
  <si>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</si>
  <si>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</si>
  <si>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</si>
  <si>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</si>
  <si>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</si>
  <si>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</si>
  <si>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</si>
  <si>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</si>
  <si>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</si>
  <si>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</si>
  <si>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</si>
  <si>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</si>
  <si>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</si>
  <si>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</si>
  <si>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</si>
  <si>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</si>
  <si>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</si>
  <si>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</si>
  <si>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</si>
  <si>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</si>
  <si>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</si>
  <si>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</si>
  <si>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</si>
  <si>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</si>
  <si>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</si>
  <si>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</si>
  <si>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</si>
  <si>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</si>
  <si>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</si>
  <si>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</si>
  <si>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</si>
  <si>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</si>
  <si>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</si>
  <si>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</si>
  <si>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</si>
  <si>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</si>
  <si>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</si>
  <si>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</si>
  <si>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</si>
  <si>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</si>
  <si>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</si>
  <si>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</si>
  <si>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</si>
  <si>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</si>
  <si>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</si>
  <si>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</si>
  <si>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</si>
  <si>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</si>
  <si>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</si>
  <si>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</si>
  <si>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</si>
  <si>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</si>
  <si>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</si>
  <si>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</si>
  <si>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</si>
  <si>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</si>
  <si>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</si>
  <si>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</si>
  <si>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</si>
  <si>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</si>
  <si>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</si>
  <si>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</si>
  <si>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</si>
  <si>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</si>
  <si>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</si>
  <si>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</si>
  <si>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</si>
  <si>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</si>
  <si>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</si>
  <si>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</si>
  <si>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</si>
  <si>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</si>
  <si>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</si>
  <si>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</si>
  <si>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</si>
  <si>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</si>
  <si>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</si>
  <si>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</si>
  <si>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</si>
  <si>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</si>
  <si>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</si>
  <si>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</si>
  <si>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</si>
  <si>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</si>
  <si>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</si>
  <si>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</si>
  <si>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</si>
  <si>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</si>
  <si>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</si>
  <si>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</si>
  <si>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</si>
  <si>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</si>
  <si>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</si>
  <si>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</si>
  <si>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</si>
  <si>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</si>
  <si>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</si>
  <si>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</si>
  <si>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</si>
  <si>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</si>
  <si>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</si>
  <si>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</si>
  <si>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</si>
  <si>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</si>
  <si>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</si>
  <si>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</si>
  <si>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</si>
  <si>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</si>
  <si>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</si>
  <si>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</si>
  <si>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</si>
  <si>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</si>
  <si>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</si>
  <si>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</si>
  <si>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</si>
  <si>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</si>
  <si>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</si>
  <si>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</si>
  <si>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</si>
  <si>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</si>
  <si>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</si>
  <si>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</si>
  <si>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</si>
  <si>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</si>
  <si>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</si>
  <si>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</si>
  <si>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</si>
  <si>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</si>
  <si>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</si>
  <si>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</si>
  <si>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</si>
  <si>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</si>
  <si>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</si>
  <si>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</si>
  <si>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</si>
  <si>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</si>
  <si>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</si>
  <si>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</si>
  <si>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</si>
  <si>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</si>
  <si>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</si>
  <si>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</si>
  <si>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</si>
  <si>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</si>
  <si>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</si>
  <si>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</si>
  <si>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</si>
  <si>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</si>
  <si>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</si>
  <si>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</si>
  <si>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</si>
  <si>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</si>
  <si>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</si>
  <si>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</si>
  <si>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</si>
  <si>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</si>
  <si>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</si>
  <si>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</si>
  <si>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</si>
  <si>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</si>
  <si>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</si>
  <si>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</si>
  <si>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</si>
  <si>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</si>
  <si>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</si>
  <si>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</si>
  <si>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</si>
  <si>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</si>
  <si>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</si>
  <si>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</si>
  <si>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</si>
  <si>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</si>
  <si>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</si>
  <si>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</si>
  <si>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</si>
  <si>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</si>
  <si>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</si>
  <si>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</si>
  <si>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</si>
  <si>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</si>
  <si>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</si>
  <si>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</si>
  <si>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</si>
  <si>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</si>
  <si>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</si>
  <si>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</si>
  <si>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</si>
  <si>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</si>
  <si>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</si>
  <si>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</si>
  <si>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</si>
  <si>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</si>
  <si>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</si>
  <si>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</si>
  <si>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</si>
  <si>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</si>
  <si>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</si>
  <si>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</si>
  <si>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</si>
  <si>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</si>
  <si>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</si>
  <si>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</si>
  <si>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</si>
  <si>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</si>
  <si>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</si>
  <si>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</si>
  <si>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</si>
  <si>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</si>
  <si>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</si>
  <si>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</si>
  <si>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</si>
  <si>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</si>
  <si>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</si>
  <si>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</si>
  <si>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</si>
  <si>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</si>
  <si>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</si>
  <si>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</si>
  <si>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</si>
  <si>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</si>
  <si>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</si>
  <si>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</si>
  <si>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</si>
  <si>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</si>
  <si>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</si>
  <si>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</si>
  <si>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</si>
  <si>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</si>
  <si>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</si>
  <si>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</si>
  <si>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</si>
  <si>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</si>
  <si>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</si>
  <si>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</si>
  <si>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</si>
  <si>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</si>
  <si>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</si>
  <si>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</si>
  <si>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</si>
  <si>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</si>
  <si>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</si>
  <si>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</si>
  <si>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</si>
  <si>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</si>
  <si>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</si>
  <si>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</si>
  <si>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</si>
  <si>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</si>
  <si>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</si>
  <si>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</si>
  <si>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</si>
  <si>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</si>
  <si>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</si>
  <si>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</si>
  <si>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</si>
  <si>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</si>
  <si>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</si>
  <si>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</si>
  <si>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</si>
  <si>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</si>
  <si>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</si>
  <si>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</si>
  <si>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</si>
  <si>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</si>
  <si>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</si>
  <si>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</si>
  <si>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</si>
  <si>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</si>
  <si>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</si>
  <si>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</si>
  <si>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</si>
  <si>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</si>
  <si>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</si>
  <si>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</si>
  <si>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</si>
  <si>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</si>
  <si>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</si>
  <si>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</si>
  <si>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</si>
  <si>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</si>
  <si>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</si>
  <si>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</si>
  <si>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</si>
  <si>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</si>
  <si>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</si>
  <si>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</si>
  <si>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</si>
  <si>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</si>
  <si>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</si>
  <si>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</si>
  <si>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</si>
  <si>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</si>
  <si>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</si>
  <si>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</si>
  <si>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</si>
  <si>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</si>
  <si>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</si>
  <si>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</si>
  <si>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</si>
  <si>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</si>
  <si>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</si>
  <si>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</si>
  <si>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</si>
  <si>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</si>
  <si>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</si>
  <si>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</si>
  <si>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</si>
  <si>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</si>
  <si>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</si>
  <si>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</si>
  <si>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</si>
  <si>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</si>
  <si>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</si>
  <si>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</si>
  <si>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</si>
  <si>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</si>
  <si>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</si>
  <si>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</si>
  <si>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</si>
  <si>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</si>
  <si>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</si>
  <si>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</si>
  <si>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</si>
  <si>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</si>
  <si>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</si>
  <si>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</si>
  <si>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</si>
  <si>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</si>
  <si>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</si>
  <si>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</si>
  <si>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</si>
  <si>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</si>
  <si>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</si>
  <si>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</si>
  <si>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</si>
  <si>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</si>
  <si>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</si>
  <si>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</si>
  <si>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</si>
  <si>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</si>
  <si>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</si>
  <si>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</si>
  <si>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</si>
  <si>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</si>
  <si>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</si>
  <si>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</si>
  <si>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</si>
  <si>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</si>
  <si>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</si>
  <si>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</si>
  <si>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</si>
  <si>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</si>
  <si>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</si>
  <si>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</si>
  <si>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</si>
  <si>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</si>
  <si>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</si>
  <si>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</si>
  <si>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</si>
  <si>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</si>
  <si>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</si>
  <si>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</si>
  <si>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</si>
  <si>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</si>
  <si>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</si>
  <si>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</si>
  <si>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</si>
  <si>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</si>
  <si>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</si>
  <si>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</si>
  <si>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</si>
  <si>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</si>
  <si>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</si>
  <si>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</si>
  <si>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</si>
  <si>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</si>
  <si>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</si>
  <si>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</si>
  <si>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</si>
  <si>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</si>
  <si>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</si>
  <si>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</si>
  <si>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</si>
  <si>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</si>
  <si>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</si>
  <si>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</si>
  <si>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</si>
  <si>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</si>
  <si>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</si>
  <si>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</si>
  <si>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</si>
  <si>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</si>
  <si>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</si>
  <si>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</si>
  <si>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</si>
  <si>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</si>
  <si>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</si>
  <si>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</si>
  <si>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</si>
  <si>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</si>
  <si>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</si>
  <si>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</si>
  <si>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</si>
  <si>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</si>
  <si>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</si>
  <si>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</si>
  <si>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</si>
  <si>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</si>
  <si>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</si>
  <si>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</si>
  <si>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</si>
  <si>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</si>
  <si>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</si>
  <si>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</si>
  <si>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</si>
  <si>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</si>
  <si>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</si>
  <si>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</si>
  <si>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</si>
  <si>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</si>
  <si>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</si>
  <si>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</si>
  <si>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</si>
  <si>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</si>
  <si>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</si>
  <si>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</si>
  <si>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</si>
  <si>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</si>
  <si>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</si>
  <si>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</si>
  <si>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</si>
  <si>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</si>
  <si>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</si>
  <si>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</si>
  <si>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</si>
  <si>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</si>
  <si>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</si>
  <si>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</si>
  <si>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</si>
  <si>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</si>
  <si>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</si>
  <si>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</si>
  <si>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</si>
  <si>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</si>
  <si>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</si>
  <si>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</si>
  <si>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</si>
  <si>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</si>
  <si>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</si>
  <si>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</si>
  <si>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</si>
  <si>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</si>
  <si>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</si>
  <si>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</si>
  <si>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</si>
  <si>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</si>
  <si>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</si>
  <si>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</si>
  <si>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</si>
  <si>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</si>
  <si>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</si>
  <si>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</si>
  <si>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</si>
  <si>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</si>
  <si>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</si>
  <si>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</si>
  <si>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</si>
  <si>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</si>
  <si>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</si>
  <si>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</si>
  <si>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</si>
  <si>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</si>
  <si>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</si>
  <si>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</si>
  <si>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</si>
  <si>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</si>
  <si>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</si>
  <si>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</si>
  <si>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</si>
  <si>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</si>
  <si>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</si>
  <si>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</si>
  <si>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</si>
  <si>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</si>
  <si>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</si>
  <si>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</si>
  <si>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</si>
  <si>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</si>
  <si>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</si>
  <si>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</si>
  <si>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</si>
  <si>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</si>
  <si>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</si>
  <si>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</si>
  <si>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</si>
  <si>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</si>
  <si>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</si>
  <si>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</si>
  <si>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</si>
  <si>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</si>
  <si>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</si>
  <si>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</si>
  <si>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</si>
  <si>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</si>
  <si>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</si>
  <si>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</si>
  <si>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</si>
  <si>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</si>
  <si>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</si>
  <si>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</si>
  <si>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</si>
  <si>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</si>
  <si>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</si>
  <si>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</si>
  <si>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</si>
  <si>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</si>
  <si>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</si>
  <si>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</si>
  <si>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</si>
  <si>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</si>
  <si>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</si>
  <si>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</si>
  <si>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</si>
  <si>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</si>
  <si>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</si>
  <si>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</si>
  <si>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</si>
  <si>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</si>
  <si>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</si>
  <si>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</si>
  <si>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</si>
  <si>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</si>
  <si>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</si>
  <si>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</si>
  <si>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</si>
  <si>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</si>
  <si>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</si>
  <si>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</si>
  <si>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</si>
  <si>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</si>
  <si>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</si>
  <si>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</si>
  <si>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</si>
  <si>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</si>
  <si>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</si>
  <si>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</si>
  <si>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</si>
  <si>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</si>
  <si>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</si>
  <si>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</si>
  <si>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</si>
  <si>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</si>
  <si>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</si>
  <si>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</si>
  <si>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</si>
  <si>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</si>
  <si>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</si>
  <si>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</si>
  <si>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</si>
  <si>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</si>
  <si>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</si>
  <si>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</si>
  <si>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</si>
  <si>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</si>
  <si>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</si>
  <si>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</si>
  <si>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</si>
  <si>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</si>
  <si>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</si>
  <si>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</si>
  <si>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</si>
  <si>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</si>
  <si>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</si>
  <si>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</si>
  <si>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</si>
  <si>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</si>
  <si>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</si>
  <si>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</si>
  <si>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</si>
  <si>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</si>
  <si>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</si>
  <si>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</si>
  <si>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</si>
  <si>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</si>
  <si>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</si>
  <si>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</si>
  <si>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</si>
  <si>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</si>
  <si>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</si>
  <si>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</si>
  <si>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</si>
  <si>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</si>
  <si>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</si>
  <si>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</si>
  <si>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</si>
  <si>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</si>
  <si>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</si>
  <si>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</si>
  <si>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</si>
  <si>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</si>
  <si>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</si>
  <si>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</si>
  <si>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</si>
  <si>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</si>
  <si>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</si>
  <si>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</si>
  <si>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</si>
  <si>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</si>
  <si>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</si>
  <si>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</si>
  <si>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</si>
  <si>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</si>
  <si>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</si>
  <si>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</si>
  <si>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</si>
  <si>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</si>
  <si>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</si>
  <si>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</si>
  <si>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</si>
  <si>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</si>
  <si>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</si>
  <si>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</si>
  <si>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</si>
  <si>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</si>
  <si>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</si>
  <si>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</si>
  <si>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</si>
  <si>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</si>
  <si>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</si>
  <si>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</si>
  <si>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</si>
  <si>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</si>
  <si>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</si>
  <si>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</si>
  <si>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</si>
  <si>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</si>
  <si>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</si>
  <si>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</si>
  <si>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</si>
  <si>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</si>
  <si>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</si>
  <si>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</si>
  <si>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</si>
  <si>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</si>
  <si>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</si>
  <si>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</si>
  <si>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</si>
  <si>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</si>
  <si>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</si>
  <si>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</si>
  <si>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</si>
  <si>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</si>
  <si>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</si>
  <si>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</si>
  <si>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</si>
  <si>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</si>
  <si>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</si>
  <si>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</si>
  <si>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</si>
  <si>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</si>
  <si>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</si>
  <si>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</si>
  <si>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</si>
  <si>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</si>
  <si>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</si>
  <si>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</si>
  <si>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</si>
  <si>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</si>
  <si>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</si>
  <si>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</si>
  <si>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</si>
  <si>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</si>
  <si>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</si>
  <si>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</si>
  <si>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</si>
  <si>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</si>
  <si>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</si>
  <si>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</si>
  <si>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</si>
  <si>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</si>
  <si>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</si>
  <si>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</si>
  <si>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</si>
  <si>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</si>
  <si>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</si>
  <si>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</si>
  <si>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</si>
  <si>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</si>
  <si>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</si>
  <si>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</si>
  <si>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</si>
  <si>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</si>
  <si>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</si>
  <si>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</si>
  <si>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</si>
  <si>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</si>
  <si>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</si>
  <si>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</si>
  <si>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</si>
  <si>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</si>
  <si>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</si>
  <si>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</si>
  <si>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</si>
  <si>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</si>
  <si>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</si>
  <si>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</si>
  <si>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</si>
  <si>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</si>
  <si>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</si>
  <si>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</si>
  <si>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</si>
  <si>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</si>
  <si>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</si>
  <si>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</si>
  <si>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</si>
  <si>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</si>
  <si>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</si>
  <si>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</si>
  <si>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</si>
  <si>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</si>
  <si>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</si>
  <si>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</si>
  <si>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</si>
  <si>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</si>
  <si>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</si>
  <si>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</si>
  <si>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</si>
  <si>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</si>
  <si>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</si>
  <si>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</si>
  <si>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</si>
  <si>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</si>
  <si>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</si>
  <si>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</si>
  <si>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</si>
  <si>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</si>
  <si>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</si>
  <si>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</si>
  <si>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</si>
  <si>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</si>
  <si>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</si>
  <si>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</si>
  <si>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</si>
  <si>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</si>
  <si>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</si>
  <si>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</si>
  <si>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</si>
  <si>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</si>
  <si>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</si>
  <si>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</si>
  <si>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</si>
  <si>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</si>
  <si>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</si>
  <si>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</si>
  <si>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</si>
  <si>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</si>
  <si>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</si>
  <si>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</si>
  <si>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</si>
  <si>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</si>
  <si>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</si>
  <si>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</si>
  <si>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</si>
  <si>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</si>
  <si>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</si>
  <si>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</si>
  <si>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</si>
  <si>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</si>
  <si>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</si>
  <si>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</si>
  <si>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</si>
  <si>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</si>
  <si>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</si>
  <si>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</si>
  <si>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</si>
  <si>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</si>
  <si>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</si>
  <si>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</si>
  <si>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</si>
  <si>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</si>
  <si>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</si>
  <si>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</si>
  <si>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</si>
  <si>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</si>
  <si>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</si>
  <si>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</si>
  <si>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</si>
  <si>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</si>
  <si>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</si>
  <si>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</si>
  <si>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</si>
  <si>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</si>
  <si>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</si>
  <si>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</si>
  <si>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</si>
  <si>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</si>
  <si>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</si>
  <si>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</si>
  <si>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</si>
  <si>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</si>
  <si>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</si>
  <si>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</si>
  <si>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</si>
  <si>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</si>
  <si>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</si>
  <si>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</si>
  <si>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</si>
  <si>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</si>
  <si>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</si>
  <si>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</si>
  <si>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</si>
  <si>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</si>
  <si>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</si>
  <si>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</si>
  <si>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</si>
  <si>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</si>
  <si>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</si>
  <si>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</si>
  <si>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</si>
  <si>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</si>
  <si>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</si>
  <si>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</si>
  <si>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</si>
  <si>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</si>
  <si>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</si>
  <si>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</si>
  <si>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</si>
  <si>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</si>
  <si>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</si>
  <si>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</si>
  <si>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</si>
  <si>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</si>
  <si>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</si>
  <si>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</si>
  <si>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</si>
  <si>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</si>
  <si>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</si>
  <si>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</si>
  <si>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</si>
  <si>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</si>
  <si>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</si>
  <si>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</si>
  <si>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</si>
  <si>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</si>
  <si>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</si>
  <si>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</si>
  <si>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</si>
  <si>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</si>
  <si>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</si>
  <si>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</si>
  <si>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</si>
  <si>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</si>
  <si>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</si>
  <si>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</si>
  <si>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</si>
  <si>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</si>
  <si>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</si>
  <si>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</si>
  <si>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</si>
  <si>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</si>
  <si>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</si>
  <si>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</si>
  <si>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</si>
  <si>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</si>
  <si>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</si>
  <si>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</si>
  <si>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</si>
  <si>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</si>
  <si>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</si>
  <si>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</si>
  <si>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</si>
  <si>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</si>
  <si>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</si>
  <si>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</si>
  <si>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</si>
  <si>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</si>
  <si>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</si>
  <si>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</si>
  <si>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</si>
  <si>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</si>
  <si>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</si>
  <si>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</si>
  <si>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</si>
  <si>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</si>
  <si>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</si>
  <si>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</si>
  <si>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</si>
  <si>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</si>
  <si>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</si>
  <si>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</si>
  <si>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</si>
  <si>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</si>
  <si>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</si>
  <si>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</si>
  <si>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</si>
  <si>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</si>
  <si>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</si>
  <si>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</si>
  <si>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</si>
  <si>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</si>
  <si>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</si>
  <si>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</si>
  <si>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</si>
  <si>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</si>
  <si>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</si>
  <si>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</si>
  <si>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</si>
  <si>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</si>
  <si>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</si>
  <si>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</si>
  <si>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</si>
  <si>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</si>
  <si>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</si>
  <si>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</si>
  <si>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</si>
  <si>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</si>
  <si>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</si>
  <si>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</si>
  <si>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</si>
  <si>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</si>
  <si>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</si>
  <si>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</si>
  <si>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</si>
  <si>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</si>
  <si>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</si>
  <si>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</si>
  <si>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</si>
  <si>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</si>
  <si>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</si>
  <si>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</si>
  <si>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</si>
  <si>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</si>
  <si>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</si>
  <si>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</si>
  <si>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</si>
  <si>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</si>
  <si>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</si>
  <si>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</si>
  <si>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</si>
  <si>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</si>
  <si>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</si>
  <si>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</si>
  <si>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</si>
  <si>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</si>
  <si>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</si>
  <si>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</si>
  <si>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</si>
  <si>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</si>
  <si>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</si>
  <si>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</si>
  <si>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</si>
  <si>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</si>
  <si>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</si>
  <si>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</si>
  <si>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</si>
  <si>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</si>
  <si>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</si>
  <si>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</si>
  <si>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</si>
  <si>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</si>
  <si>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</si>
  <si>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</si>
  <si>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</si>
  <si>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</si>
  <si>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</si>
  <si>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</si>
  <si>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</si>
  <si>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</si>
  <si>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</si>
  <si>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</si>
  <si>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</si>
  <si>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</si>
  <si>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</si>
  <si>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</si>
  <si>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</si>
  <si>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</si>
  <si>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</si>
  <si>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</si>
  <si>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</si>
  <si>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</si>
  <si>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</si>
  <si>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</si>
  <si>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</si>
  <si>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</si>
  <si>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</si>
  <si>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</si>
  <si>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</si>
  <si>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</si>
  <si>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</si>
  <si>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</si>
  <si>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</si>
  <si>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</si>
  <si>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</si>
  <si>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</si>
  <si>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</si>
  <si>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</si>
  <si>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</si>
  <si>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</si>
  <si>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</si>
  <si>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</si>
  <si>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</si>
  <si>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</si>
  <si>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</si>
  <si>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</si>
  <si>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</si>
  <si>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</si>
  <si>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</si>
  <si>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</si>
  <si>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</si>
  <si>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</si>
  <si>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</si>
  <si>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</si>
  <si>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</si>
  <si>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</si>
  <si>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</si>
  <si>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</si>
  <si>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</si>
  <si>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</si>
  <si>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</si>
  <si>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</si>
  <si>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</si>
  <si>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</si>
  <si>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</si>
  <si>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</si>
  <si>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</si>
  <si>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</si>
  <si>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</si>
  <si>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</si>
  <si>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</si>
  <si>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</si>
  <si>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</si>
  <si>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</si>
  <si>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</si>
  <si>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</si>
  <si>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</si>
  <si>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</si>
  <si>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</si>
  <si>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</si>
  <si>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</si>
  <si>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</si>
  <si>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</si>
  <si>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</si>
  <si>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</si>
  <si>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</si>
  <si>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</si>
  <si>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</si>
  <si>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</si>
  <si>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</si>
  <si>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</si>
  <si>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</si>
  <si>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</si>
  <si>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</si>
  <si>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</si>
  <si>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</si>
  <si>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</si>
  <si>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</si>
  <si>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</si>
  <si>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</si>
  <si>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</si>
  <si>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</si>
  <si>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</si>
  <si>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</si>
  <si>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</si>
  <si>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</si>
  <si>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</si>
  <si>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</si>
  <si>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</si>
  <si>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</si>
  <si>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</si>
  <si>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</si>
  <si>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</si>
  <si>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</si>
  <si>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</si>
  <si>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</si>
  <si>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</si>
  <si>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</si>
  <si>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</si>
  <si>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</si>
  <si>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</si>
  <si>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</si>
  <si>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</si>
  <si>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</si>
  <si>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</si>
  <si>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</si>
  <si>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</si>
  <si>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</si>
  <si>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</si>
  <si>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</si>
  <si>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</si>
  <si>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</si>
  <si>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</si>
  <si>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</si>
  <si>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</si>
  <si>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</si>
  <si>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</si>
  <si>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</si>
  <si>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</si>
  <si>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</si>
  <si>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</si>
  <si>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</si>
  <si>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</si>
  <si>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</si>
  <si>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</si>
  <si>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</si>
  <si>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</si>
  <si>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</si>
  <si>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</si>
  <si>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</si>
  <si>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</si>
  <si>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</si>
  <si>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</si>
  <si>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</si>
  <si>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</si>
  <si>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</si>
  <si>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</si>
  <si>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</si>
  <si>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</si>
  <si>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</si>
  <si>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</si>
  <si>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</si>
  <si>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</si>
  <si>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</si>
  <si>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</si>
  <si>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</si>
  <si>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</si>
  <si>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</si>
  <si>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</si>
  <si>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</si>
  <si>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</si>
  <si>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</si>
  <si>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</si>
  <si>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</si>
  <si>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</si>
  <si>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</si>
  <si>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</si>
  <si>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</si>
  <si>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</si>
  <si>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</si>
  <si>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</si>
  <si>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</si>
  <si>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</si>
  <si>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</si>
  <si>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</si>
  <si>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</si>
  <si>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</si>
  <si>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</si>
  <si>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</si>
  <si>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</si>
  <si>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</si>
  <si>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</si>
  <si>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</si>
  <si>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</si>
  <si>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</si>
  <si>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</si>
  <si>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</si>
  <si>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</si>
  <si>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</si>
  <si>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</si>
  <si>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</si>
  <si>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</si>
  <si>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</si>
  <si>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</si>
  <si>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</si>
  <si>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</si>
  <si>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</si>
  <si>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</si>
  <si>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</si>
  <si>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</si>
  <si>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</si>
  <si>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</si>
  <si>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</si>
  <si>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</si>
  <si>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</si>
  <si>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</si>
  <si>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</si>
  <si>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</si>
  <si>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</si>
  <si>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</si>
  <si>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</si>
  <si>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</si>
  <si>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</si>
  <si>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</si>
  <si>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</si>
  <si>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</si>
  <si>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</si>
  <si>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</si>
  <si>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</si>
  <si>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</si>
  <si>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</si>
  <si>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</si>
  <si>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</si>
  <si>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</si>
  <si>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</si>
  <si>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</si>
  <si>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</si>
  <si>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</si>
  <si>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</si>
  <si>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</si>
  <si>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</si>
  <si>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</si>
  <si>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</si>
  <si>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</si>
  <si>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</si>
  <si>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</si>
  <si>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</si>
  <si>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</si>
  <si>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</si>
  <si>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</si>
  <si>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</si>
  <si>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</si>
  <si>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</si>
  <si>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</si>
  <si>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</si>
  <si>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</si>
  <si>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</si>
  <si>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</si>
  <si>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</si>
  <si>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</si>
  <si>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</si>
  <si>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</si>
  <si>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</si>
  <si>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</si>
  <si>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</si>
  <si>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</si>
  <si>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</si>
  <si>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</si>
  <si>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</si>
  <si>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</si>
  <si>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</si>
  <si>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</si>
  <si>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</si>
  <si>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</si>
  <si>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</si>
  <si>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</si>
  <si>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</si>
  <si>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</si>
  <si>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</si>
  <si>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</si>
  <si>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</si>
  <si>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</si>
  <si>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</si>
  <si>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</si>
  <si>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</si>
  <si>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</si>
  <si>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</si>
  <si>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</si>
  <si>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</si>
  <si>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</si>
  <si>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</si>
  <si>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</si>
  <si>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</si>
  <si>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</si>
  <si>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</si>
  <si>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</si>
  <si>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</si>
  <si>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</si>
  <si>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</si>
  <si>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</si>
  <si>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</si>
  <si>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</si>
  <si>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</si>
  <si>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</si>
  <si>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</si>
  <si>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</si>
  <si>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</si>
  <si>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</si>
  <si>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</si>
  <si>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</si>
  <si>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</si>
  <si>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</si>
  <si>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</si>
  <si>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</si>
  <si>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</si>
  <si>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</si>
  <si>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</si>
  <si>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</si>
  <si>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</si>
  <si>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</si>
  <si>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</si>
  <si>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</si>
  <si>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</si>
  <si>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</si>
  <si>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</si>
  <si>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</si>
  <si>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</si>
  <si>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</si>
  <si>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</si>
  <si>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</si>
  <si>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</si>
  <si>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</si>
  <si>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</si>
  <si>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</si>
  <si>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</si>
  <si>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</si>
  <si>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</si>
  <si>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</si>
  <si>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</si>
  <si>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</si>
  <si>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</si>
  <si>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</si>
  <si>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</si>
  <si>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</si>
  <si>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</si>
  <si>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</si>
  <si>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</si>
  <si>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</si>
  <si>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</si>
  <si>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</si>
  <si>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</si>
  <si>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</si>
  <si>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</si>
  <si>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</si>
  <si>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</si>
  <si>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</si>
  <si>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</si>
  <si>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</si>
  <si>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</si>
  <si>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</si>
  <si>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</si>
  <si>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</si>
  <si>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</si>
  <si>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</si>
  <si>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</si>
  <si>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</si>
  <si>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</si>
  <si>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</si>
  <si>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</si>
  <si>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</si>
  <si>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</si>
  <si>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</si>
  <si>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</si>
  <si>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</si>
  <si>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</si>
  <si>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</si>
  <si>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</si>
  <si>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</si>
  <si>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</si>
  <si>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</si>
  <si>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</si>
  <si>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</si>
  <si>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</si>
  <si>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</si>
  <si>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</si>
  <si>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</si>
  <si>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</si>
  <si>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</si>
  <si>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</si>
  <si>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</si>
  <si>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</si>
  <si>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</si>
  <si>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</si>
  <si>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</si>
  <si>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</si>
  <si>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</si>
  <si>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</si>
  <si>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</si>
  <si>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</si>
  <si>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</si>
  <si>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</si>
  <si>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</si>
  <si>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</si>
  <si>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</si>
  <si>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</si>
  <si>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</si>
  <si>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</si>
  <si>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</si>
  <si>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</si>
  <si>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</si>
  <si>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</si>
  <si>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</si>
  <si>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</si>
  <si>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</si>
  <si>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</si>
  <si>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</si>
  <si>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</si>
  <si>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</si>
  <si>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</si>
  <si>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</si>
  <si>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</si>
  <si>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</si>
  <si>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</si>
  <si>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</si>
  <si>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</si>
  <si>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</si>
  <si>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</si>
  <si>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</si>
  <si>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</si>
  <si>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</si>
  <si>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</si>
  <si>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</si>
  <si>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</si>
  <si>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</si>
  <si>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</si>
  <si>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</si>
  <si>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</si>
  <si>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</si>
  <si>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</si>
  <si>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</si>
  <si>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</si>
  <si>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</si>
  <si>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</si>
  <si>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</si>
  <si>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</si>
  <si>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</si>
  <si>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</si>
  <si>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</si>
  <si>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</si>
  <si>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</si>
  <si>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</si>
  <si>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</si>
  <si>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</si>
  <si>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</si>
  <si>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</si>
  <si>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</si>
  <si>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</si>
  <si>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</si>
  <si>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</si>
  <si>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</si>
  <si>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</si>
  <si>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</si>
  <si>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</si>
  <si>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</si>
  <si>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</si>
  <si>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</si>
  <si>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</si>
  <si>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</si>
  <si>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</si>
  <si>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</si>
  <si>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</si>
  <si>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</si>
  <si>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</si>
  <si>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</si>
  <si>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</si>
  <si>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</si>
  <si>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</si>
  <si>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</si>
  <si>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</si>
  <si>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</si>
  <si>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</si>
  <si>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</si>
  <si>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</si>
  <si>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</si>
  <si>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</si>
  <si>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</si>
  <si>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</si>
  <si>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</si>
  <si>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</si>
  <si>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</si>
  <si>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</si>
  <si>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</si>
  <si>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</si>
  <si>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</si>
  <si>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</si>
  <si>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</si>
  <si>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</si>
  <si>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</si>
  <si>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</si>
  <si>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</si>
  <si>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</si>
  <si>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</si>
  <si>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</si>
  <si>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</si>
  <si>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</si>
  <si>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</si>
  <si>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</si>
  <si>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</si>
  <si>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</si>
  <si>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</si>
  <si>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</si>
  <si>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</si>
  <si>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</si>
  <si>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</si>
  <si>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</si>
  <si>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</si>
  <si>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</si>
  <si>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</si>
  <si>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</si>
  <si>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</si>
  <si>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</si>
  <si>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</si>
  <si>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</si>
  <si>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</si>
  <si>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</si>
  <si>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</si>
  <si>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</si>
  <si>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</si>
  <si>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</si>
  <si>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</si>
  <si>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</si>
  <si>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</si>
  <si>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</si>
  <si>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</si>
  <si>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</si>
  <si>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</si>
  <si>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</si>
  <si>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</si>
  <si>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</si>
  <si>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</si>
  <si>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</si>
  <si>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</si>
  <si>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</si>
  <si>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</si>
  <si>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</si>
  <si>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</si>
  <si>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</si>
  <si>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</si>
  <si>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</si>
  <si>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</si>
  <si>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</si>
  <si>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</si>
  <si>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</si>
  <si>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</si>
  <si>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</si>
  <si>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</si>
  <si>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</si>
  <si>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</si>
  <si>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</si>
  <si>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</si>
  <si>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</si>
  <si>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</si>
  <si>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</si>
  <si>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</si>
  <si>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</si>
  <si>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</si>
  <si>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</si>
  <si>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</si>
  <si>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</si>
  <si>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</si>
  <si>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</si>
  <si>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</si>
  <si>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</si>
  <si>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</si>
  <si>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</si>
  <si>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</si>
  <si>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</si>
  <si>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</si>
  <si>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</si>
  <si>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</si>
  <si>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</si>
  <si>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</si>
  <si>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</si>
  <si>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</si>
  <si>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</si>
  <si>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</si>
  <si>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</si>
  <si>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</si>
  <si>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</si>
  <si>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</si>
  <si>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</si>
  <si>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</si>
  <si>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</si>
  <si>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</si>
  <si>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</si>
  <si>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</si>
  <si>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</si>
  <si>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</si>
  <si>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</si>
  <si>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</si>
  <si>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</si>
  <si>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</si>
  <si>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</si>
  <si>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</si>
  <si>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</si>
  <si>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</si>
  <si>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</si>
  <si>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</si>
  <si>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</si>
  <si>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</si>
  <si>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</si>
  <si>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</si>
  <si>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</si>
  <si>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</si>
  <si>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</si>
  <si>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</si>
  <si>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</si>
  <si>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</si>
  <si>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</si>
  <si>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</si>
  <si>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</si>
  <si>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</si>
  <si>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</si>
  <si>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</si>
  <si>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</si>
  <si>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</si>
  <si>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</si>
  <si>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</si>
  <si>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</si>
  <si>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</si>
  <si>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</si>
  <si>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</si>
  <si>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</si>
  <si>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</si>
  <si>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</si>
  <si>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</si>
  <si>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</si>
  <si>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</si>
  <si>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</si>
  <si>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</si>
  <si>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</si>
  <si>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</si>
  <si>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</si>
  <si>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</si>
  <si>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</si>
  <si>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</si>
  <si>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</si>
  <si>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</si>
  <si>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</si>
  <si>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</si>
  <si>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</si>
  <si>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</si>
  <si>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</si>
  <si>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</si>
  <si>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</si>
  <si>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</si>
  <si>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</si>
  <si>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</si>
  <si>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</si>
  <si>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</si>
  <si>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</si>
  <si>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</si>
  <si>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</si>
  <si>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</si>
  <si>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</si>
  <si>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</si>
  <si>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</si>
  <si>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</si>
  <si>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</si>
  <si>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</si>
  <si>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</si>
  <si>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</si>
  <si>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</si>
  <si>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</si>
  <si>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</si>
  <si>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</si>
  <si>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</si>
  <si>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</si>
  <si>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</si>
  <si>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</si>
  <si>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</si>
  <si>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</si>
  <si>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</si>
  <si>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</si>
  <si>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</si>
  <si>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</si>
  <si>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</si>
  <si>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</si>
  <si>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</si>
  <si>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</si>
  <si>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</si>
  <si>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</si>
  <si>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</si>
  <si>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</si>
  <si>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</si>
  <si>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</si>
  <si>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</si>
  <si>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</si>
  <si>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</si>
  <si>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</si>
  <si>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</si>
  <si>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</si>
  <si>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</si>
  <si>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</si>
  <si>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</si>
  <si>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</si>
  <si>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</si>
  <si>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</si>
  <si>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</si>
  <si>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</si>
  <si>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</si>
  <si>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</si>
  <si>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</si>
  <si>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</si>
  <si>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</si>
  <si>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</si>
  <si>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</si>
  <si>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</si>
  <si>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</si>
  <si>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</si>
  <si>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</si>
  <si>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</si>
  <si>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</si>
  <si>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</si>
  <si>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</si>
  <si>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</si>
  <si>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</si>
  <si>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</si>
  <si>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</si>
  <si>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</si>
  <si>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</si>
  <si>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</si>
  <si>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</si>
  <si>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</si>
  <si>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</si>
  <si>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</si>
  <si>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</si>
  <si>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</si>
  <si>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</si>
  <si>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</si>
  <si>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</si>
  <si>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</si>
  <si>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</si>
  <si>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</si>
  <si>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</si>
  <si>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</si>
  <si>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</si>
  <si>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</si>
  <si>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</si>
  <si>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</si>
  <si>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</si>
  <si>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</si>
  <si>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</si>
  <si>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</si>
  <si>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</si>
  <si>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</si>
  <si>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</si>
  <si>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</si>
  <si>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</si>
  <si>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</si>
  <si>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</si>
  <si>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</si>
  <si>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</si>
  <si>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</si>
  <si>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</si>
  <si>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</si>
  <si>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</si>
  <si>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</si>
  <si>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</si>
  <si>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</si>
  <si>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</si>
  <si>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</si>
  <si>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</si>
  <si>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</si>
  <si>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</si>
  <si>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</si>
  <si>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</si>
  <si>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</si>
  <si>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</si>
  <si>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</si>
  <si>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</si>
  <si>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</si>
  <si>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</si>
  <si>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</si>
  <si>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</si>
  <si>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</si>
  <si>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</si>
  <si>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</si>
  <si>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</si>
  <si>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</si>
  <si>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</si>
  <si>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</si>
  <si>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</si>
  <si>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</si>
  <si>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</si>
  <si>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</si>
  <si>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</si>
  <si>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</si>
  <si>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</si>
  <si>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</si>
  <si>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</si>
  <si>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</si>
  <si>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</si>
  <si>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</si>
  <si>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</si>
  <si>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</si>
  <si>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</si>
  <si>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</si>
  <si>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</si>
  <si>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</si>
  <si>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</si>
  <si>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</si>
  <si>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</si>
  <si>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</si>
  <si>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</si>
  <si>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</si>
  <si>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</si>
  <si>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</si>
  <si>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</si>
  <si>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</si>
  <si>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</si>
  <si>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</si>
  <si>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</si>
  <si>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</si>
  <si>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</si>
  <si>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</si>
  <si>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</si>
  <si>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</si>
  <si>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</si>
  <si>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</si>
  <si>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</si>
  <si>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</si>
  <si>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</si>
  <si>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</si>
  <si>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</si>
  <si>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</si>
  <si>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</si>
  <si>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</si>
  <si>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</si>
  <si>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</si>
  <si>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</si>
  <si>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</si>
  <si>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</si>
  <si>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</si>
  <si>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</si>
  <si>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</si>
  <si>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</si>
  <si>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</si>
  <si>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</si>
  <si>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</si>
  <si>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</si>
  <si>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</si>
  <si>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</si>
  <si>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</si>
  <si>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</si>
  <si>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</si>
  <si>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</si>
  <si>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</si>
  <si>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</si>
  <si>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</si>
  <si>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</si>
  <si>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</si>
  <si>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</si>
  <si>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</si>
  <si>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</si>
  <si>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</si>
  <si>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</si>
  <si>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</si>
  <si>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</si>
  <si>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</si>
  <si>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</si>
  <si>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</si>
  <si>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</si>
  <si>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</si>
  <si>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</si>
  <si>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</si>
  <si>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</si>
  <si>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</si>
  <si>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</si>
  <si>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</si>
  <si>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</si>
  <si>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</si>
  <si>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</si>
  <si>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</si>
  <si>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</si>
  <si>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</si>
  <si>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</si>
  <si>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</si>
  <si>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</si>
  <si>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</si>
  <si>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</si>
  <si>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</si>
  <si>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</si>
  <si>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</si>
  <si>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</si>
  <si>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</si>
  <si>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</si>
  <si>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</si>
  <si>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</si>
  <si>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</si>
  <si>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</si>
  <si>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</si>
  <si>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</si>
  <si>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</si>
  <si>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</si>
  <si>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</si>
  <si>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</si>
  <si>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</si>
  <si>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</si>
  <si>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</si>
  <si>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</si>
  <si>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</si>
  <si>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</si>
  <si>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</si>
  <si>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</si>
  <si>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</si>
  <si>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</si>
  <si>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</si>
  <si>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</si>
  <si>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</si>
  <si>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</si>
  <si>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</si>
  <si>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</si>
  <si>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</si>
  <si>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</si>
  <si>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</si>
  <si>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</si>
  <si>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</si>
  <si>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</si>
  <si>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</si>
  <si>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</si>
  <si>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</si>
  <si>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</si>
  <si>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</si>
  <si>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</si>
  <si>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</si>
  <si>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</si>
  <si>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</si>
  <si>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</si>
  <si>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</si>
  <si>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</si>
  <si>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</si>
  <si>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</si>
  <si>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</si>
  <si>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</si>
  <si>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</si>
  <si>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</si>
  <si>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</si>
  <si>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</si>
  <si>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</si>
  <si>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</si>
  <si>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</si>
  <si>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</si>
  <si>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</si>
  <si>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</si>
  <si>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</si>
  <si>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</si>
  <si>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</si>
  <si>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</si>
  <si>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</si>
  <si>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</si>
  <si>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</si>
  <si>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</si>
  <si>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</si>
  <si>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</si>
  <si>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</si>
  <si>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</si>
  <si>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</si>
  <si>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</si>
  <si>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</si>
  <si>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</si>
  <si>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</si>
  <si>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</si>
  <si>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</si>
  <si>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</si>
  <si>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</si>
  <si>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</si>
  <si>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</si>
  <si>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</si>
  <si>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</si>
  <si>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</si>
  <si>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</si>
  <si>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</si>
  <si>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</si>
  <si>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</si>
  <si>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</si>
  <si>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</si>
  <si>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</si>
  <si>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</si>
  <si>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</si>
  <si>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</si>
  <si>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</si>
  <si>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</si>
  <si>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</si>
  <si>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</si>
  <si>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</si>
  <si>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</si>
  <si>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</si>
  <si>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</si>
  <si>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</si>
  <si>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</si>
  <si>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</si>
  <si>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</si>
  <si>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</si>
  <si>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</si>
  <si>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</si>
  <si>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</si>
  <si>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</si>
  <si>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</si>
  <si>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</si>
  <si>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</si>
  <si>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</si>
  <si>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</si>
  <si>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</si>
  <si>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</si>
  <si>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</si>
  <si>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</si>
  <si>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</si>
  <si>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</si>
  <si>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</si>
  <si>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</si>
  <si>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</si>
  <si>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</si>
  <si>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</si>
  <si>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</si>
  <si>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</si>
  <si>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</si>
  <si>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</si>
  <si>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</si>
  <si>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</si>
  <si>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</si>
  <si>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</si>
  <si>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</si>
  <si>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</si>
  <si>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</si>
  <si>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</si>
  <si>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</si>
  <si>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</si>
  <si>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</si>
  <si>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</si>
  <si>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</si>
  <si>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</si>
  <si>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</si>
  <si>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</si>
  <si>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</si>
  <si>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</si>
  <si>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</si>
  <si>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</si>
  <si>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</si>
  <si>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</si>
  <si>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</si>
  <si>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</si>
  <si>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</si>
  <si>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</si>
  <si>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</si>
  <si>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</si>
  <si>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</si>
  <si>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</si>
  <si>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</si>
  <si>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</si>
  <si>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</si>
  <si>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</si>
  <si>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</si>
  <si>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</si>
  <si>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</si>
  <si>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</si>
  <si>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</si>
  <si>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</si>
  <si>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</si>
  <si>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</si>
  <si>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</si>
  <si>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</si>
  <si>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</si>
  <si>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</si>
  <si>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</si>
  <si>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</si>
  <si>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</si>
  <si>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</si>
  <si>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</si>
  <si>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</si>
  <si>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</si>
  <si>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</si>
  <si>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</si>
  <si>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</si>
  <si>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</si>
  <si>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</si>
  <si>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</si>
  <si>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</si>
  <si>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</si>
  <si>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</si>
  <si>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</si>
  <si>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</si>
  <si>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</si>
  <si>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</si>
  <si>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</si>
  <si>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</si>
  <si>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</si>
  <si>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</si>
  <si>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</si>
  <si>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</si>
  <si>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</si>
  <si>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</si>
  <si>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</si>
  <si>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</si>
  <si>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</si>
  <si>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</si>
  <si>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</si>
  <si>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</si>
  <si>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</si>
  <si>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</si>
  <si>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</si>
  <si>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</si>
  <si>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</si>
  <si>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</si>
  <si>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</si>
  <si>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</si>
  <si>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</si>
  <si>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</si>
  <si>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</si>
  <si>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</si>
  <si>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</si>
  <si>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</si>
  <si>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</si>
  <si>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</si>
  <si>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</si>
  <si>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</si>
  <si>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</si>
  <si>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</si>
  <si>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</si>
  <si>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</si>
  <si>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</si>
  <si>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</si>
  <si>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</si>
  <si>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</si>
  <si>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</si>
  <si>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</si>
  <si>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</si>
  <si>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</si>
  <si>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</si>
  <si>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</si>
  <si>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</si>
  <si>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</si>
  <si>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</si>
  <si>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</si>
  <si>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</si>
  <si>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</si>
  <si>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</si>
  <si>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</si>
  <si>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</si>
  <si>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</si>
  <si>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</si>
  <si>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</si>
  <si>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</si>
  <si>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</si>
  <si>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</si>
  <si>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</si>
  <si>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</si>
  <si>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</si>
  <si>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</si>
  <si>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</si>
  <si>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</si>
  <si>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</si>
  <si>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</si>
  <si>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</si>
  <si>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</si>
  <si>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</si>
  <si>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</si>
  <si>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</si>
  <si>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</si>
  <si>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</si>
  <si>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</si>
  <si>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</si>
  <si>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</si>
  <si>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</si>
  <si>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</si>
  <si>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</si>
  <si>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</si>
  <si>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</si>
  <si>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</si>
  <si>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</si>
  <si>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</si>
  <si>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</si>
  <si>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</si>
  <si>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</si>
  <si>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</si>
  <si>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</si>
  <si>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</si>
  <si>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</si>
  <si>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</si>
  <si>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</si>
  <si>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</si>
  <si>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</si>
  <si>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</si>
  <si>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</si>
  <si>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</si>
  <si>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</si>
  <si>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</si>
  <si>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</si>
  <si>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</si>
  <si>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</si>
  <si>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</si>
  <si>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</si>
  <si>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</si>
  <si>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</si>
  <si>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</si>
  <si>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</si>
  <si>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</si>
  <si>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</si>
  <si>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</si>
  <si>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</si>
  <si>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</si>
  <si>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</si>
  <si>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</si>
  <si>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</si>
  <si>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</si>
  <si>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</si>
  <si>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</si>
  <si>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</si>
  <si>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</si>
  <si>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</si>
  <si>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</si>
  <si>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</si>
  <si>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</si>
  <si>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</si>
  <si>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</si>
  <si>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</si>
  <si>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</si>
  <si>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</si>
  <si>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</si>
  <si>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</si>
  <si>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</si>
  <si>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</si>
  <si>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</si>
  <si>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</si>
  <si>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</si>
  <si>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</si>
  <si>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</si>
  <si>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</si>
  <si>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</si>
  <si>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</si>
  <si>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</si>
  <si>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</si>
  <si>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</si>
  <si>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</si>
  <si>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</si>
  <si>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</si>
  <si>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</si>
  <si>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</si>
  <si>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</si>
  <si>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</si>
  <si>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</si>
  <si>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</si>
  <si>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</si>
  <si>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</si>
  <si>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</si>
  <si>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</si>
  <si>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</si>
  <si>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</si>
  <si>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</si>
  <si>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</si>
  <si>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</si>
  <si>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</si>
  <si>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</si>
  <si>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</si>
  <si>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</si>
  <si>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</si>
  <si>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</si>
  <si>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</si>
  <si>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</si>
  <si>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</si>
  <si>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</si>
  <si>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</si>
  <si>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</si>
  <si>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</si>
  <si>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</si>
  <si>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</si>
  <si>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</si>
  <si>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</si>
  <si>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</si>
  <si>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</si>
  <si>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</si>
  <si>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</si>
  <si>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</si>
  <si>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</si>
  <si>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</si>
  <si>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</si>
  <si>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</si>
  <si>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</si>
  <si>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</si>
  <si>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</si>
  <si>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</si>
  <si>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</si>
  <si>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</si>
  <si>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</si>
  <si>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</si>
  <si>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</si>
  <si>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</si>
  <si>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</si>
  <si>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</si>
  <si>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</si>
  <si>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</si>
  <si>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</si>
  <si>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</si>
  <si>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</si>
  <si>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</si>
  <si>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</si>
  <si>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</si>
  <si>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</si>
  <si>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</si>
  <si>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</si>
  <si>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</si>
  <si>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</si>
  <si>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</si>
  <si>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</si>
  <si>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</si>
  <si>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</si>
  <si>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</si>
  <si>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</si>
  <si>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</si>
  <si>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</si>
  <si>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</si>
  <si>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</si>
  <si>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</si>
  <si>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</si>
  <si>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</si>
  <si>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</si>
  <si>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</si>
  <si>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</si>
  <si>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</si>
  <si>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</si>
  <si>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</si>
  <si>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</si>
  <si>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</si>
  <si>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</si>
  <si>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</si>
  <si>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</si>
  <si>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</si>
  <si>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</si>
  <si>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</si>
  <si>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</si>
  <si>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</si>
  <si>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</si>
  <si>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</si>
  <si>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</si>
  <si>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</si>
  <si>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</si>
  <si>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</si>
  <si>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</si>
  <si>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</si>
  <si>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</si>
  <si>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</si>
  <si>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</si>
  <si>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</si>
  <si>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</si>
  <si>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</si>
  <si>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</si>
  <si>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</si>
  <si>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</si>
  <si>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</si>
  <si>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</si>
  <si>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</si>
  <si>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</si>
  <si>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</si>
  <si>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</si>
  <si>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</si>
  <si>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</si>
  <si>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</si>
  <si>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</si>
  <si>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</si>
  <si>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</si>
  <si>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</si>
  <si>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</si>
  <si>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</si>
  <si>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</si>
  <si>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</si>
  <si>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</si>
  <si>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</si>
  <si>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</si>
  <si>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</si>
  <si>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</si>
  <si>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</si>
  <si>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</si>
  <si>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</si>
  <si>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</si>
  <si>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</si>
  <si>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</si>
  <si>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</si>
  <si>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</si>
  <si>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</si>
  <si>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</si>
  <si>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</si>
  <si>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</si>
  <si>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</si>
  <si>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</si>
  <si>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</si>
  <si>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</si>
  <si>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</si>
  <si>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</si>
  <si>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</si>
  <si>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</si>
  <si>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</si>
  <si>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</si>
  <si>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</si>
  <si>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</si>
  <si>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</si>
  <si>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</si>
  <si>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</si>
  <si>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</si>
  <si>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</si>
  <si>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</si>
  <si>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</si>
  <si>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</si>
  <si>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</si>
  <si>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</si>
  <si>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</si>
  <si>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</si>
  <si>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</si>
  <si>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</si>
  <si>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</si>
  <si>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</si>
  <si>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</si>
  <si>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</si>
  <si>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</si>
  <si>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</si>
  <si>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</si>
  <si>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</si>
  <si>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</si>
  <si>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</si>
  <si>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</si>
  <si>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</si>
  <si>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</si>
  <si>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</si>
  <si>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</si>
  <si>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</si>
  <si>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</si>
  <si>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</si>
  <si>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</si>
  <si>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</si>
  <si>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</si>
  <si>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</si>
  <si>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</si>
  <si>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</si>
  <si>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</si>
  <si>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</si>
  <si>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</si>
  <si>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</si>
  <si>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</si>
  <si>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</si>
  <si>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</si>
  <si>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</si>
  <si>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</si>
  <si>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</si>
  <si>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</si>
  <si>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</si>
  <si>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</si>
  <si>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</si>
  <si>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</si>
  <si>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</si>
  <si>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</si>
  <si>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</si>
  <si>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</si>
  <si>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</si>
  <si>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</si>
  <si>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</si>
  <si>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</si>
  <si>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</si>
  <si>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</si>
  <si>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</si>
  <si>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</si>
  <si>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</si>
  <si>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</si>
  <si>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</si>
  <si>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</si>
  <si>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</si>
  <si>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</si>
  <si>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</si>
  <si>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</si>
  <si>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</si>
  <si>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</si>
  <si>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</si>
  <si>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</si>
  <si>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</si>
  <si>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</si>
  <si>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</si>
  <si>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</si>
  <si>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</si>
  <si>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</si>
  <si>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</si>
  <si>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</si>
  <si>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</si>
  <si>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</si>
  <si>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</si>
  <si>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</si>
  <si>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</si>
  <si>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</si>
  <si>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</si>
  <si>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</si>
  <si>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</si>
  <si>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</si>
  <si>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</si>
  <si>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</si>
  <si>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</si>
  <si>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</si>
  <si>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</si>
  <si>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</si>
  <si>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</si>
  <si>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</si>
  <si>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</si>
  <si>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</si>
  <si>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</si>
  <si>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</si>
  <si>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</si>
  <si>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</si>
  <si>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</si>
  <si>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</si>
  <si>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</si>
  <si>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</si>
  <si>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</si>
  <si>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</si>
  <si>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</si>
  <si>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</si>
  <si>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</si>
  <si>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</si>
  <si>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</si>
  <si>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</si>
  <si>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</si>
  <si>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</si>
  <si>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</si>
  <si>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</si>
  <si>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</si>
  <si>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</si>
  <si>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</si>
  <si>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</si>
  <si>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</si>
  <si>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</si>
  <si>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</si>
  <si>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</si>
  <si>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</si>
  <si>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</si>
  <si>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</si>
  <si>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</si>
  <si>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</si>
  <si>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</si>
  <si>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</si>
  <si>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</si>
  <si>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</si>
  <si>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</si>
  <si>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</si>
  <si>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</si>
  <si>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</si>
  <si>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</si>
  <si>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</si>
  <si>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</si>
  <si>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</si>
  <si>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</si>
  <si>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</si>
  <si>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</si>
  <si>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</si>
  <si>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</si>
  <si>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</si>
  <si>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</si>
  <si>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</si>
  <si>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</si>
  <si>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</si>
  <si>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</si>
  <si>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</si>
  <si>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</si>
  <si>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</si>
  <si>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</si>
  <si>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</si>
  <si>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</si>
  <si>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</si>
  <si>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</si>
  <si>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</si>
  <si>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</si>
  <si>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</si>
  <si>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</si>
  <si>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</si>
  <si>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</si>
  <si>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</si>
  <si>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</si>
  <si>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</si>
  <si>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</si>
  <si>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</si>
  <si>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</si>
  <si>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</si>
  <si>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</si>
  <si>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</si>
  <si>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</si>
  <si>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</si>
  <si>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</si>
  <si>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</si>
  <si>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</si>
  <si>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</si>
  <si>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</si>
  <si>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</si>
  <si>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</si>
  <si>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</si>
  <si>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</si>
  <si>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</si>
  <si>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</si>
  <si>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</si>
  <si>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</si>
  <si>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</si>
  <si>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</si>
  <si>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</si>
  <si>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</si>
  <si>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</si>
  <si>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</si>
  <si>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</si>
  <si>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</si>
  <si>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</si>
  <si>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</si>
  <si>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</si>
  <si>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</si>
  <si>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</si>
  <si>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</si>
  <si>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</si>
  <si>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</si>
  <si>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</si>
  <si>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</si>
  <si>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</si>
  <si>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</si>
  <si>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</si>
  <si>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</si>
  <si>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</si>
  <si>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</si>
  <si>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</si>
  <si>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</si>
  <si>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</si>
  <si>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</si>
  <si>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</si>
  <si>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</si>
  <si>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</si>
  <si>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</si>
  <si>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</si>
  <si>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</si>
  <si>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</si>
  <si>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</si>
  <si>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</si>
  <si>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</si>
  <si>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</si>
  <si>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</si>
  <si>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</si>
  <si>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</si>
  <si>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</si>
  <si>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</si>
  <si>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</si>
  <si>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</si>
  <si>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</si>
  <si>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</si>
  <si>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</si>
  <si>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</si>
  <si>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</si>
  <si>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</si>
  <si>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</si>
  <si>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</si>
  <si>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</si>
  <si>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</si>
  <si>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</si>
  <si>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</si>
  <si>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</si>
  <si>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</si>
  <si>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</si>
  <si>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</si>
  <si>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</si>
  <si>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</si>
  <si>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</si>
  <si>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</si>
  <si>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</si>
  <si>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</si>
  <si>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</si>
  <si>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</si>
  <si>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</si>
  <si>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</si>
  <si>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</si>
  <si>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</si>
  <si>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</si>
  <si>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</si>
  <si>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</si>
  <si>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</si>
  <si>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</si>
  <si>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</si>
  <si>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</si>
  <si>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</si>
  <si>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</si>
  <si>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</si>
  <si>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</si>
  <si>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</si>
  <si>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</si>
  <si>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</si>
  <si>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</si>
  <si>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</si>
  <si>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</si>
  <si>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</si>
  <si>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</si>
  <si>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</si>
  <si>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</si>
  <si>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</si>
  <si>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</si>
  <si>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</si>
  <si>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</si>
  <si>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</si>
  <si>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</si>
  <si>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</si>
  <si>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</si>
  <si>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</si>
  <si>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</si>
  <si>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</si>
  <si>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</si>
  <si>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</si>
  <si>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</si>
  <si>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</si>
  <si>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</si>
  <si>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</si>
  <si>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</si>
  <si>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</si>
  <si>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</si>
  <si>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</si>
  <si>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</si>
  <si>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</si>
  <si>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</si>
  <si>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</si>
  <si>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</si>
  <si>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</si>
  <si>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</si>
  <si>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</si>
  <si>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</si>
  <si>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</si>
  <si>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</si>
  <si>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</si>
  <si>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</si>
  <si>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</si>
  <si>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</si>
  <si>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</si>
  <si>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</si>
  <si>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</si>
  <si>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</si>
  <si>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</si>
  <si>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</si>
  <si>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</si>
  <si>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</si>
  <si>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</si>
  <si>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</si>
  <si>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</si>
  <si>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</si>
  <si>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</si>
  <si>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</si>
  <si>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</si>
  <si>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</si>
  <si>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</si>
  <si>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</si>
  <si>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</si>
  <si>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</si>
  <si>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</si>
  <si>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</si>
  <si>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</si>
  <si>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</si>
  <si>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</si>
  <si>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</si>
  <si>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</si>
  <si>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</si>
  <si>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</si>
  <si>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</si>
  <si>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</si>
  <si>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</si>
  <si>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</si>
  <si>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</si>
  <si>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</si>
  <si>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</si>
  <si>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</si>
  <si>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</si>
  <si>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</si>
  <si>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</si>
  <si>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</si>
  <si>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</si>
  <si>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</si>
  <si>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</si>
  <si>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</si>
  <si>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</si>
  <si>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</si>
  <si>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</si>
  <si>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</si>
  <si>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</si>
  <si>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</si>
  <si>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</si>
  <si>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</si>
  <si>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</si>
  <si>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</si>
  <si>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</si>
  <si>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</si>
  <si>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</si>
  <si>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</si>
  <si>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</si>
  <si>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</si>
  <si>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</si>
  <si>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</si>
  <si>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</si>
  <si>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</si>
  <si>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</si>
  <si>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</si>
  <si>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</si>
  <si>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</si>
  <si>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</si>
  <si>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</si>
  <si>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</si>
  <si>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</si>
  <si>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</si>
  <si>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</si>
  <si>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</si>
  <si>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</si>
  <si>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</si>
  <si>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</si>
  <si>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</si>
  <si>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</si>
  <si>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</si>
  <si>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</si>
  <si>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</si>
  <si>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</si>
  <si>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</si>
  <si>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</si>
  <si>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</si>
  <si>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</si>
  <si>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</si>
  <si>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</si>
  <si>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</si>
  <si>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</si>
  <si>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</si>
  <si>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</si>
  <si>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</si>
  <si>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</si>
  <si>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</si>
  <si>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</si>
  <si>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</si>
  <si>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</si>
  <si>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</si>
  <si>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</si>
  <si>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</si>
  <si>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</si>
  <si>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</si>
  <si>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</si>
  <si>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</si>
  <si>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</si>
  <si>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</si>
  <si>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</si>
  <si>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</si>
  <si>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</si>
  <si>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</si>
  <si>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</si>
  <si>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</si>
  <si>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</si>
  <si>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</si>
  <si>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</si>
  <si>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</si>
  <si>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</si>
  <si>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</si>
  <si>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</si>
  <si>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</si>
  <si>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</si>
  <si>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</si>
  <si>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</si>
  <si>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</si>
  <si>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</si>
  <si>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</si>
  <si>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</si>
  <si>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</si>
  <si>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</si>
  <si>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</si>
  <si>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</si>
  <si>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</si>
  <si>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</si>
  <si>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</si>
  <si>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</si>
  <si>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</si>
  <si>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</si>
  <si>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</si>
  <si>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</si>
  <si>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</si>
  <si>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</si>
  <si>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</si>
  <si>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</si>
  <si>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</si>
  <si>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</si>
  <si>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</si>
  <si>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</si>
  <si>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</si>
  <si>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</si>
  <si>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</si>
  <si>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</si>
  <si>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</si>
  <si>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</si>
  <si>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</si>
  <si>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</si>
  <si>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</si>
  <si>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</si>
  <si>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</si>
  <si>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</si>
  <si>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</si>
  <si>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</si>
  <si>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</si>
  <si>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</si>
  <si>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</si>
  <si>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</si>
  <si>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</si>
  <si>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</si>
  <si>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</si>
  <si>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</si>
  <si>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</si>
  <si>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</si>
  <si>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</si>
  <si>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</si>
  <si>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</si>
  <si>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</si>
  <si>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</si>
  <si>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</si>
  <si>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</si>
  <si>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</si>
  <si>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</si>
  <si>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</si>
  <si>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</si>
  <si>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</si>
  <si>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</si>
  <si>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</si>
  <si>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</si>
  <si>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</si>
  <si>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</si>
  <si>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</si>
  <si>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</si>
  <si>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</si>
  <si>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</si>
  <si>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</si>
  <si>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</si>
  <si>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</si>
  <si>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</si>
  <si>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</si>
  <si>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</si>
  <si>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</si>
  <si>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</si>
  <si>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</si>
  <si>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</si>
  <si>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</si>
  <si>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</si>
  <si>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</si>
  <si>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</si>
  <si>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</si>
  <si>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</si>
  <si>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</si>
  <si>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</si>
  <si>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</si>
  <si>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</si>
  <si>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</si>
  <si>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</si>
  <si>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</si>
  <si>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</si>
  <si>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</si>
  <si>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</si>
  <si>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</si>
  <si>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</si>
  <si>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</si>
  <si>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</si>
  <si>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</si>
  <si>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</si>
  <si>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</si>
  <si>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</si>
  <si>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</si>
  <si>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</si>
  <si>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</si>
  <si>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</si>
  <si>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</si>
  <si>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</si>
  <si>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</si>
  <si>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</si>
  <si>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</si>
  <si>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</si>
  <si>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</si>
  <si>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</si>
  <si>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</si>
  <si>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</si>
  <si>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</si>
  <si>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</si>
  <si>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</si>
  <si>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</si>
  <si>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</si>
  <si>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</si>
  <si>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</si>
  <si>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</si>
  <si>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</si>
  <si>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</si>
  <si>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</si>
  <si>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</si>
  <si>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</si>
  <si>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</si>
  <si>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</si>
  <si>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</si>
  <si>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</si>
  <si>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</si>
  <si>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</si>
  <si>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</si>
  <si>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</si>
  <si>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</si>
  <si>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</si>
  <si>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</si>
  <si>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</si>
  <si>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</si>
  <si>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</si>
  <si>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</si>
  <si>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</si>
  <si>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</si>
  <si>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</si>
  <si>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</si>
  <si>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</si>
  <si>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</si>
  <si>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</si>
  <si>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</si>
  <si>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</si>
  <si>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</si>
  <si>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</si>
  <si>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</si>
  <si>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</si>
  <si>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</si>
  <si>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</si>
  <si>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</si>
  <si>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</si>
  <si>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</si>
  <si>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</si>
  <si>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</si>
  <si>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</si>
  <si>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</si>
  <si>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</si>
  <si>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</si>
  <si>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</si>
  <si>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</si>
  <si>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</si>
  <si>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</si>
  <si>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</si>
  <si>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</si>
  <si>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</si>
  <si>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</si>
  <si>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</si>
  <si>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</si>
  <si>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</si>
  <si>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</si>
  <si>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</si>
  <si>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</si>
  <si>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</si>
  <si>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</si>
  <si>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</si>
  <si>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</si>
  <si>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</si>
  <si>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</si>
  <si>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</si>
  <si>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</si>
  <si>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</si>
  <si>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</si>
  <si>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</si>
  <si>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</si>
  <si>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</si>
  <si>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</si>
  <si>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</si>
  <si>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</si>
  <si>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</si>
  <si>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</si>
  <si>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</si>
  <si>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</si>
  <si>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</si>
  <si>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</si>
  <si>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</si>
  <si>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</si>
  <si>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</si>
  <si>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</si>
  <si>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</si>
  <si>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</si>
  <si>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</si>
  <si>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</si>
  <si>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</si>
  <si>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</si>
  <si>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</si>
  <si>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</si>
  <si>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</si>
  <si>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</si>
  <si>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</si>
  <si>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</si>
  <si>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</si>
  <si>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</si>
  <si>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</si>
  <si>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</si>
  <si>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</si>
  <si>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</si>
  <si>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</si>
  <si>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</si>
  <si>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</si>
  <si>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</si>
  <si>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</si>
  <si>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</si>
  <si>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</si>
  <si>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</si>
  <si>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</si>
  <si>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</si>
  <si>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</si>
  <si>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</si>
  <si>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</si>
  <si>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</si>
  <si>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</si>
  <si>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</si>
  <si>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</si>
  <si>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</si>
  <si>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</si>
  <si>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</si>
  <si>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</si>
  <si>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</si>
  <si>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</si>
  <si>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</si>
  <si>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</si>
  <si>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</si>
  <si>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</si>
  <si>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</si>
  <si>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</si>
  <si>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</si>
  <si>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</si>
  <si>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</si>
  <si>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</si>
  <si>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</si>
  <si>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</si>
  <si>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</si>
  <si>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</si>
  <si>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</si>
  <si>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</si>
  <si>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</si>
  <si>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</si>
  <si>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</si>
  <si>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</si>
  <si>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</si>
  <si>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</si>
  <si>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</si>
  <si>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</si>
  <si>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</si>
  <si>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</si>
  <si>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</si>
  <si>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</si>
  <si>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</si>
  <si>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</si>
  <si>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</si>
  <si>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</si>
  <si>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</si>
  <si>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</si>
  <si>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</si>
  <si>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</si>
  <si>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</si>
  <si>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</si>
  <si>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</si>
  <si>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</si>
  <si>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</si>
  <si>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</si>
  <si>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</si>
  <si>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</si>
  <si>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</si>
  <si>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</si>
  <si>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</si>
  <si>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</si>
  <si>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</si>
  <si>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</si>
  <si>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</si>
  <si>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</si>
  <si>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</si>
  <si>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</si>
  <si>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</si>
  <si>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</si>
  <si>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</si>
  <si>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</si>
  <si>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</si>
  <si>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</si>
  <si>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</si>
  <si>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</si>
  <si>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</si>
  <si>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</si>
  <si>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</si>
  <si>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</si>
  <si>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</si>
  <si>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</si>
  <si>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</si>
  <si>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</si>
  <si>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</si>
  <si>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</si>
  <si>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</si>
  <si>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</si>
  <si>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</si>
  <si>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</si>
  <si>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</si>
  <si>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</si>
  <si>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</si>
  <si>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</si>
  <si>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</si>
  <si>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</si>
  <si>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</si>
  <si>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</si>
  <si>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</si>
  <si>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</si>
  <si>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</si>
  <si>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</si>
  <si>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</si>
  <si>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</si>
  <si>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</si>
  <si>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</si>
  <si>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</si>
  <si>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</si>
  <si>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</si>
  <si>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</si>
  <si>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</si>
  <si>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</si>
  <si>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</si>
  <si>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</si>
  <si>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</si>
  <si>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</si>
  <si>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</si>
  <si>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</si>
  <si>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</si>
  <si>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</si>
  <si>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</si>
  <si>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</si>
  <si>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</si>
  <si>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</si>
  <si>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</si>
  <si>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</si>
  <si>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</si>
  <si>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</si>
  <si>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</si>
  <si>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</si>
  <si>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</si>
  <si>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</si>
  <si>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</si>
  <si>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</si>
  <si>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</si>
  <si>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</si>
  <si>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</si>
  <si>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</si>
  <si>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</si>
  <si>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</si>
  <si>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</si>
  <si>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</si>
  <si>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</si>
  <si>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</si>
  <si>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</si>
  <si>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</si>
  <si>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</si>
  <si>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</si>
  <si>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</si>
  <si>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</si>
  <si>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</si>
  <si>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</si>
  <si>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</si>
  <si>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</si>
  <si>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</si>
  <si>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</si>
  <si>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</si>
  <si>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</si>
  <si>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</si>
  <si>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</si>
  <si>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</si>
  <si>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</si>
  <si>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</si>
  <si>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</si>
  <si>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</si>
  <si>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</si>
  <si>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</si>
  <si>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</si>
  <si>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</si>
  <si>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</si>
  <si>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</si>
  <si>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</si>
  <si>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</si>
  <si>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</si>
  <si>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</si>
  <si>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</si>
  <si>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</si>
  <si>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</si>
  <si>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</si>
  <si>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</si>
  <si>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</si>
  <si>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</si>
  <si>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</si>
  <si>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</si>
  <si>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</si>
  <si>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</si>
  <si>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</si>
  <si>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</si>
  <si>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</si>
  <si>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</si>
  <si>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</si>
  <si>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</si>
  <si>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</si>
  <si>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</si>
  <si>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</si>
  <si>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</si>
  <si>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</si>
  <si>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</si>
  <si>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</si>
  <si>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</si>
  <si>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</si>
  <si>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</si>
  <si>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</si>
  <si>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</si>
  <si>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</si>
  <si>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</si>
  <si>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</si>
  <si>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</si>
  <si>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</si>
  <si>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</si>
  <si>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</si>
  <si>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</si>
  <si>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</si>
  <si>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</si>
  <si>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</si>
  <si>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</si>
  <si>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</si>
  <si>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</si>
  <si>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</si>
  <si>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</si>
  <si>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</si>
  <si>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</si>
  <si>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</si>
  <si>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</si>
  <si>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</si>
  <si>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</si>
  <si>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</si>
  <si>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</si>
  <si>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</si>
  <si>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</si>
  <si>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</si>
  <si>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</si>
  <si>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</si>
  <si>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</si>
  <si>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</si>
  <si>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</si>
  <si>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</si>
  <si>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</si>
  <si>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</si>
  <si>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</si>
  <si>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</si>
  <si>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</si>
  <si>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</si>
  <si>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</si>
  <si>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</si>
  <si>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</si>
  <si>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</si>
  <si>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</si>
  <si>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</si>
  <si>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</si>
  <si>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</si>
  <si>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</si>
  <si>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</si>
  <si>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</si>
  <si>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</si>
  <si>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</si>
  <si>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</si>
  <si>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</si>
  <si>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</si>
  <si>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</si>
  <si>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</si>
  <si>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</si>
  <si>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</si>
  <si>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</si>
  <si>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</si>
  <si>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</si>
  <si>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</si>
  <si>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</si>
  <si>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</si>
  <si>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</si>
  <si>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</si>
  <si>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</si>
  <si>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</si>
  <si>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</si>
  <si>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</si>
  <si>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</si>
  <si>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</si>
  <si>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</si>
  <si>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</si>
  <si>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</si>
  <si>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</si>
  <si>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</si>
  <si>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</si>
  <si>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</si>
  <si>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</si>
  <si>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</si>
  <si>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</si>
  <si>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</si>
  <si>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</si>
  <si>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</si>
  <si>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</si>
  <si>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</si>
  <si>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</si>
  <si>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</si>
  <si>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</si>
  <si>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</si>
  <si>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</si>
  <si>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</si>
  <si>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</si>
  <si>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</si>
  <si>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</si>
  <si>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</si>
  <si>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</si>
  <si>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</si>
  <si>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</si>
  <si>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</si>
  <si>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</si>
  <si>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</si>
  <si>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</si>
  <si>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</si>
  <si>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</si>
  <si>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</si>
  <si>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</si>
  <si>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</si>
  <si>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</si>
  <si>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</si>
  <si>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</si>
  <si>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</si>
  <si>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</si>
  <si>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</si>
  <si>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</si>
  <si>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</si>
  <si>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</si>
  <si>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</si>
  <si>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</si>
  <si>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</si>
  <si>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</si>
  <si>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</si>
  <si>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</si>
  <si>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</si>
  <si>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</si>
  <si>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</si>
  <si>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</si>
  <si>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</si>
  <si>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</si>
  <si>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</si>
  <si>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</si>
  <si>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</si>
  <si>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</si>
  <si>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</si>
  <si>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</si>
  <si>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</si>
  <si>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</si>
  <si>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</si>
  <si>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</si>
  <si>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</si>
  <si>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</si>
  <si>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</si>
  <si>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</si>
  <si>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</si>
  <si>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</si>
  <si>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</si>
  <si>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</si>
  <si>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</si>
  <si>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</si>
  <si>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</si>
  <si>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</si>
  <si>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</si>
  <si>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</si>
  <si>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</si>
  <si>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</si>
  <si>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</si>
  <si>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</si>
  <si>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</si>
  <si>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</si>
  <si>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</si>
  <si>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</si>
  <si>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</si>
  <si>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</si>
  <si>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</si>
  <si>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</si>
  <si>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</si>
  <si>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</si>
  <si>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</si>
  <si>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</si>
  <si>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</si>
  <si>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</si>
  <si>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</si>
  <si>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</si>
  <si>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</si>
  <si>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</si>
  <si>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</si>
  <si>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</si>
  <si>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</si>
  <si>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</si>
  <si>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</si>
  <si>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</si>
  <si>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</si>
  <si>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</si>
  <si>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</si>
  <si>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</si>
  <si>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</si>
  <si>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</si>
  <si>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</si>
  <si>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</si>
  <si>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</si>
  <si>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</si>
  <si>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</si>
  <si>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</si>
  <si>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</si>
  <si>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</si>
  <si>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</si>
  <si>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</si>
  <si>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</si>
  <si>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</si>
  <si>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</si>
  <si>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</si>
  <si>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</si>
  <si>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</si>
  <si>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</si>
  <si>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</si>
  <si>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</si>
  <si>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</si>
  <si>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</si>
  <si>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</si>
  <si>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</si>
  <si>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</si>
  <si>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</si>
  <si>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</si>
  <si>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</si>
  <si>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</si>
  <si>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</si>
  <si>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</si>
  <si>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</si>
  <si>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</si>
  <si>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</si>
  <si>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</si>
  <si>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</si>
  <si>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</si>
  <si>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</si>
  <si>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</si>
  <si>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</si>
  <si>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</si>
  <si>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</si>
  <si>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</si>
  <si>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</si>
  <si>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</si>
  <si>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</si>
  <si>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</si>
  <si>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</si>
  <si>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</si>
  <si>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</si>
  <si>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</si>
  <si>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</si>
  <si>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</si>
  <si>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</si>
  <si>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</si>
  <si>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</si>
  <si>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</si>
  <si>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</si>
  <si>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</si>
  <si>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</si>
  <si>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</si>
  <si>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</si>
  <si>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</si>
  <si>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</si>
  <si>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</si>
  <si>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</si>
  <si>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</si>
  <si>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</si>
  <si>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</si>
  <si>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</si>
  <si>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</si>
  <si>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</si>
  <si>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</si>
  <si>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</si>
  <si>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</si>
  <si>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</si>
  <si>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</si>
  <si>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</si>
  <si>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</si>
  <si>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</si>
  <si>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</si>
  <si>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</si>
  <si>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</si>
  <si>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</si>
  <si>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</si>
  <si>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</si>
  <si>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</si>
  <si>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</si>
  <si>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</si>
  <si>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</si>
  <si>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</si>
  <si>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</si>
  <si>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</si>
  <si>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</si>
  <si>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</si>
  <si>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</si>
  <si>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</si>
  <si>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</si>
  <si>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</si>
  <si>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</si>
  <si>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</si>
  <si>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</si>
  <si>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</si>
  <si>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</si>
  <si>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</si>
  <si>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</si>
  <si>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</si>
  <si>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</si>
  <si>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</si>
  <si>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</si>
  <si>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</si>
  <si>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</si>
  <si>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</si>
  <si>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</si>
  <si>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</si>
  <si>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</si>
  <si>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</si>
  <si>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</si>
  <si>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</si>
  <si>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</si>
  <si>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</si>
  <si>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</si>
  <si>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</si>
  <si>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</si>
  <si>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</si>
  <si>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</si>
  <si>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</si>
  <si>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</si>
  <si>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</si>
  <si>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</si>
  <si>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</si>
  <si>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</si>
  <si>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</si>
  <si>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</si>
  <si>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</si>
  <si>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</si>
  <si>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</si>
  <si>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</si>
  <si>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</si>
  <si>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</si>
  <si>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</si>
  <si>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</si>
  <si>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</si>
  <si>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</si>
  <si>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</si>
  <si>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</si>
  <si>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</si>
  <si>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</si>
  <si>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</si>
  <si>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</si>
  <si>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</si>
  <si>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</si>
  <si>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</si>
  <si>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</si>
  <si>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</si>
  <si>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</si>
  <si>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</si>
  <si>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</si>
  <si>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</si>
  <si>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</si>
  <si>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</si>
  <si>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</si>
  <si>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</si>
  <si>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</si>
  <si>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</si>
  <si>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</si>
  <si>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</si>
  <si>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</si>
  <si>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</si>
  <si>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</si>
  <si>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</si>
  <si>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</si>
  <si>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</si>
  <si>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</si>
  <si>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</si>
  <si>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</si>
  <si>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</si>
  <si>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</si>
  <si>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</si>
  <si>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</si>
  <si>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</si>
  <si>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</si>
  <si>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</si>
  <si>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</si>
  <si>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</si>
  <si>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</si>
  <si>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</si>
  <si>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</si>
  <si>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</si>
  <si>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</si>
  <si>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</si>
  <si>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</si>
  <si>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</si>
  <si>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</si>
  <si>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</si>
  <si>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</si>
  <si>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</si>
  <si>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</si>
  <si>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</si>
  <si>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</si>
  <si>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</si>
  <si>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</si>
  <si>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</si>
  <si>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</si>
  <si>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</si>
  <si>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</si>
  <si>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</si>
  <si>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</si>
  <si>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</si>
  <si>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</si>
  <si>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</si>
  <si>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</si>
  <si>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</si>
  <si>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</si>
  <si>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</si>
  <si>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</si>
  <si>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</si>
  <si>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</si>
  <si>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</si>
  <si>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</si>
  <si>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</si>
  <si>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</si>
  <si>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</si>
  <si>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</si>
  <si>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</si>
  <si>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</si>
  <si>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</si>
  <si>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</si>
  <si>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</si>
  <si>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</si>
  <si>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</si>
  <si>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</si>
  <si>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</si>
  <si>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</si>
  <si>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</si>
  <si>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</si>
  <si>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</si>
  <si>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</si>
  <si>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</si>
  <si>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</si>
  <si>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</si>
  <si>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</si>
  <si>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</si>
  <si>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</si>
  <si>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</si>
  <si>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</si>
  <si>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</si>
  <si>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</si>
  <si>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</si>
  <si>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</si>
  <si>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</si>
  <si>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</si>
  <si>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</si>
  <si>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</si>
  <si>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</si>
  <si>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</si>
  <si>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</si>
  <si>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</si>
  <si>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</si>
  <si>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</si>
  <si>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</si>
  <si>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</si>
  <si>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</si>
  <si>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</si>
  <si>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</si>
  <si>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</si>
  <si>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</si>
  <si>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</si>
  <si>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</si>
  <si>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</si>
  <si>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</si>
  <si>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</si>
  <si>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</si>
  <si>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</si>
  <si>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</si>
  <si>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</si>
  <si>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</si>
  <si>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</si>
  <si>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</si>
  <si>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</si>
  <si>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</si>
  <si>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</si>
  <si>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</si>
  <si>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</si>
  <si>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</si>
  <si>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</si>
  <si>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</si>
  <si>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</si>
  <si>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</si>
  <si>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</si>
  <si>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</si>
  <si>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</si>
  <si>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</si>
  <si>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</si>
  <si>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</si>
  <si>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</si>
  <si>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</si>
  <si>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</si>
  <si>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</si>
  <si>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</si>
  <si>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</si>
  <si>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</si>
  <si>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</si>
  <si>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</si>
  <si>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</si>
  <si>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</si>
  <si>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</si>
  <si>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</si>
  <si>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</si>
  <si>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</si>
  <si>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</si>
  <si>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</si>
  <si>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</si>
  <si>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</si>
  <si>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</si>
  <si>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</si>
  <si>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</si>
  <si>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</si>
  <si>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</si>
  <si>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</si>
  <si>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</si>
  <si>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</si>
  <si>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</si>
  <si>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</si>
  <si>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</si>
  <si>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</si>
  <si>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</si>
  <si>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</si>
  <si>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</si>
  <si>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</si>
  <si>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</si>
  <si>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</si>
  <si>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</si>
  <si>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</si>
  <si>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</si>
  <si>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</si>
  <si>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</si>
  <si>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</si>
  <si>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</si>
  <si>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</si>
  <si>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</si>
  <si>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</si>
  <si>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</si>
  <si>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</si>
  <si>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</si>
  <si>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</si>
  <si>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</si>
  <si>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</si>
  <si>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</si>
  <si>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</si>
  <si>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</si>
  <si>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</si>
  <si>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</si>
  <si>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</si>
  <si>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</si>
  <si>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</si>
  <si>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</si>
  <si>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</si>
  <si>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</si>
  <si>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</si>
  <si>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</si>
  <si>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</si>
  <si>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</si>
  <si>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</si>
  <si>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</si>
  <si>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</si>
  <si>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</si>
  <si>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</si>
  <si>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</si>
  <si>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</si>
  <si>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</si>
  <si>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</si>
  <si>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</si>
  <si>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</si>
  <si>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</si>
  <si>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</si>
  <si>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</si>
  <si>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</si>
  <si>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</si>
  <si>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</si>
  <si>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</si>
  <si>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</si>
  <si>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</si>
  <si>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</si>
  <si>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</si>
  <si>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</si>
  <si>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</si>
  <si>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</si>
  <si>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</si>
  <si>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</si>
  <si>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</si>
  <si>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</si>
  <si>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</si>
  <si>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</si>
  <si>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</si>
  <si>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</si>
  <si>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</si>
  <si>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</si>
  <si>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</si>
  <si>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</si>
  <si>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</si>
  <si>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</si>
  <si>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</si>
  <si>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</si>
  <si>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</si>
  <si>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</si>
  <si>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</si>
  <si>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</si>
  <si>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</si>
  <si>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</si>
  <si>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</si>
  <si>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</si>
  <si>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</si>
  <si>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</si>
  <si>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</si>
  <si>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</si>
  <si>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</si>
  <si>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</si>
  <si>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</si>
  <si>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</si>
  <si>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</si>
  <si>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</si>
  <si>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</si>
  <si>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</si>
  <si>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</si>
  <si>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</si>
  <si>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</si>
  <si>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</si>
  <si>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</si>
  <si>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</si>
  <si>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</si>
  <si>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</si>
  <si>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</si>
  <si>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</si>
  <si>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</si>
  <si>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</si>
  <si>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</si>
  <si>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</si>
  <si>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</si>
  <si>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</si>
  <si>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</si>
  <si>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</si>
  <si>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</si>
  <si>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</si>
  <si>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</si>
  <si>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</si>
  <si>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</si>
  <si>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</si>
  <si>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</si>
  <si>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</si>
  <si>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</si>
  <si>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</si>
  <si>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</si>
  <si>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</si>
  <si>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</si>
  <si>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</si>
  <si>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</si>
  <si>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</si>
  <si>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</si>
  <si>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</si>
  <si>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</si>
  <si>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</si>
  <si>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</si>
  <si>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</si>
  <si>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</si>
  <si>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</si>
  <si>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</si>
  <si>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</si>
  <si>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</si>
  <si>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</si>
  <si>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</si>
  <si>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</si>
  <si>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</si>
  <si>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</si>
  <si>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</si>
  <si>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</si>
  <si>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</si>
  <si>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</si>
  <si>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</si>
  <si>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</si>
  <si>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</si>
  <si>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</si>
  <si>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</si>
  <si>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</si>
  <si>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</si>
  <si>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</si>
  <si>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</si>
  <si>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</si>
  <si>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</si>
  <si>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</si>
  <si>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</si>
  <si>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</si>
  <si>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</si>
  <si>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</si>
  <si>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</si>
  <si>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</si>
  <si>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</si>
  <si>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</si>
  <si>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</si>
  <si>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</si>
  <si>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</si>
  <si>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</si>
  <si>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</si>
  <si>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</si>
  <si>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</si>
  <si>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</si>
  <si>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</si>
  <si>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</si>
  <si>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</si>
  <si>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</si>
  <si>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</si>
  <si>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</si>
  <si>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</si>
  <si>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</si>
  <si>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</si>
  <si>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</si>
  <si>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</si>
  <si>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</si>
  <si>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</si>
  <si>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</si>
  <si>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</si>
  <si>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</si>
  <si>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</si>
  <si>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</si>
  <si>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</si>
  <si>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</si>
  <si>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</si>
  <si>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</si>
  <si>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</si>
  <si>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</si>
  <si>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</si>
  <si>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</si>
  <si>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</si>
  <si>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</si>
  <si>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</si>
  <si>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</si>
  <si>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</si>
  <si>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</si>
  <si>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</si>
  <si>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</si>
  <si>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</si>
  <si>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</si>
  <si>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</si>
  <si>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</si>
  <si>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</si>
  <si>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</si>
  <si>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</si>
  <si>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</si>
  <si>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</si>
  <si>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</si>
  <si>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</si>
  <si>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</si>
  <si>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</si>
  <si>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</si>
  <si>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</si>
  <si>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</si>
  <si>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</si>
  <si>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</si>
  <si>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</si>
  <si>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</si>
  <si>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</si>
  <si>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</si>
  <si>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</si>
  <si>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</si>
  <si>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</si>
  <si>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</si>
  <si>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</si>
  <si>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</si>
  <si>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</si>
  <si>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</si>
  <si>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</si>
  <si>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</si>
  <si>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</si>
  <si>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</si>
  <si>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</si>
  <si>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</si>
  <si>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</si>
  <si>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</si>
  <si>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</si>
  <si>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</si>
  <si>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</si>
  <si>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</si>
  <si>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</si>
  <si>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</si>
  <si>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</si>
  <si>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</si>
  <si>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</si>
  <si>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</si>
  <si>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</si>
  <si>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</si>
  <si>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</si>
  <si>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</si>
  <si>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</si>
  <si>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</si>
  <si>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</si>
  <si>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</si>
  <si>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</si>
  <si>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</si>
  <si>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</si>
  <si>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</si>
  <si>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</si>
  <si>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</si>
  <si>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</si>
  <si>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</si>
  <si>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</si>
  <si>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</si>
  <si>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</si>
  <si>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</si>
  <si>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</si>
  <si>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</si>
  <si>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</si>
  <si>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</si>
  <si>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</si>
  <si>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</si>
  <si>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</si>
  <si>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</si>
  <si>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</si>
  <si>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</si>
  <si>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</si>
  <si>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</si>
  <si>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</si>
  <si>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</si>
  <si>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</si>
  <si>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</si>
  <si>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</si>
  <si>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</si>
  <si>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</si>
  <si>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</si>
  <si>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</si>
  <si>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</si>
  <si>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</si>
  <si>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</si>
  <si>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</si>
  <si>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</si>
  <si>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</si>
  <si>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</si>
  <si>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</si>
  <si>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</si>
  <si>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</si>
  <si>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</si>
  <si>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</si>
  <si>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</si>
  <si>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</si>
  <si>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</si>
  <si>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</si>
  <si>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</si>
  <si>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</si>
  <si>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</si>
  <si>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</si>
  <si>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</si>
  <si>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</si>
  <si>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</si>
  <si>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</si>
  <si>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</si>
  <si>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</si>
  <si>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</si>
  <si>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</si>
  <si>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</si>
  <si>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</si>
  <si>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</si>
  <si>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</si>
  <si>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</si>
  <si>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</si>
  <si>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</si>
  <si>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</si>
  <si>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</si>
  <si>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</si>
  <si>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</si>
  <si>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</si>
  <si>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</si>
  <si>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</si>
  <si>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</si>
  <si>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</si>
  <si>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</si>
  <si>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</si>
  <si>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</si>
  <si>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</si>
  <si>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</si>
  <si>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</si>
  <si>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</si>
  <si>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</si>
  <si>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</si>
  <si>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</si>
  <si>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</si>
  <si>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</si>
  <si>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</si>
  <si>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</si>
  <si>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</si>
  <si>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</si>
  <si>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</si>
  <si>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</si>
  <si>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</si>
  <si>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</si>
  <si>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</si>
  <si>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</si>
  <si>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</si>
  <si>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</si>
  <si>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</si>
  <si>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</si>
  <si>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</si>
  <si>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</si>
  <si>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</si>
  <si>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</si>
  <si>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</si>
  <si>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</si>
  <si>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</si>
  <si>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</si>
  <si>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</si>
  <si>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</si>
  <si>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</si>
  <si>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</si>
  <si>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</si>
  <si>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</si>
  <si>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</si>
  <si>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</si>
  <si>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</si>
  <si>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</si>
  <si>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</si>
  <si>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</si>
  <si>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</si>
  <si>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</si>
  <si>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</si>
  <si>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</si>
  <si>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</si>
  <si>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</si>
  <si>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</si>
  <si>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</si>
  <si>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</si>
  <si>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</si>
  <si>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</si>
  <si>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</si>
  <si>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</si>
  <si>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</si>
  <si>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</si>
  <si>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</si>
  <si>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</si>
  <si>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</si>
  <si>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</si>
  <si>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</si>
  <si>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</si>
  <si>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</si>
  <si>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</si>
  <si>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</si>
  <si>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</si>
  <si>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</si>
  <si>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</si>
  <si>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</si>
  <si>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</si>
  <si>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</si>
  <si>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</si>
  <si>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</si>
  <si>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</si>
  <si>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</si>
  <si>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</si>
  <si>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</si>
  <si>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</si>
  <si>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</si>
  <si>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</si>
  <si>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</si>
  <si>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</si>
  <si>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</si>
  <si>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</si>
  <si>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</si>
  <si>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</si>
  <si>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</si>
  <si>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</si>
  <si>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</si>
  <si>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</si>
  <si>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</si>
  <si>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</si>
  <si>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</si>
  <si>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</si>
  <si>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</si>
  <si>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</si>
  <si>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</si>
  <si>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</si>
  <si>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</si>
  <si>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</si>
  <si>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</si>
  <si>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</si>
  <si>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</si>
  <si>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</si>
  <si>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</si>
  <si>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</si>
  <si>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</si>
  <si>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</si>
  <si>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</si>
  <si>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</si>
  <si>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</si>
  <si>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</si>
  <si>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</si>
  <si>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</si>
  <si>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</si>
  <si>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</si>
  <si>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</si>
  <si>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</si>
  <si>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</si>
  <si>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</si>
  <si>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</si>
  <si>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</si>
  <si>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</si>
  <si>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</si>
  <si>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</si>
  <si>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</si>
  <si>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</si>
  <si>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</si>
  <si>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</si>
  <si>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</si>
  <si>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</si>
  <si>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</si>
  <si>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</si>
  <si>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</si>
  <si>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</si>
  <si>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</si>
  <si>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</si>
  <si>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</si>
  <si>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</si>
  <si>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</si>
  <si>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</si>
  <si>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</si>
  <si>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</si>
  <si>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</si>
  <si>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</si>
  <si>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</si>
  <si>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</si>
  <si>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</si>
  <si>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</si>
  <si>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</si>
  <si>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</si>
  <si>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</si>
  <si>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</si>
  <si>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</si>
  <si>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</si>
  <si>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</si>
  <si>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</si>
  <si>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</si>
  <si>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</si>
  <si>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</si>
  <si>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</si>
  <si>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</si>
  <si>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</si>
  <si>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</si>
  <si>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</si>
  <si>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</si>
  <si>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</si>
  <si>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</si>
  <si>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</si>
  <si>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</si>
  <si>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</si>
  <si>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</si>
  <si>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</si>
  <si>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</si>
  <si>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</si>
  <si>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</si>
  <si>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</si>
  <si>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</si>
  <si>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</si>
  <si>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</si>
  <si>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</si>
  <si>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</si>
  <si>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</si>
  <si>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</si>
  <si>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</si>
  <si>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</si>
  <si>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</si>
  <si>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</si>
  <si>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</si>
  <si>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</si>
  <si>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</si>
  <si>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</si>
  <si>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</si>
  <si>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</si>
  <si>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</si>
  <si>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</si>
  <si>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</si>
  <si>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</si>
  <si>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</si>
  <si>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</si>
  <si>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</si>
  <si>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</si>
  <si>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</si>
  <si>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</si>
  <si>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</si>
  <si>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</si>
  <si>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</si>
  <si>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</si>
  <si>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</si>
  <si>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</si>
  <si>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</si>
  <si>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</si>
  <si>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</si>
  <si>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</si>
  <si>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</si>
  <si>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</si>
  <si>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</si>
  <si>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</si>
  <si>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</si>
  <si>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</si>
  <si>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</si>
  <si>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</si>
  <si>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</si>
  <si>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</si>
  <si>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</si>
  <si>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</si>
  <si>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</si>
  <si>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</si>
  <si>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</si>
  <si>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</si>
  <si>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</si>
  <si>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</si>
  <si>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</si>
  <si>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</si>
  <si>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</si>
  <si>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</si>
  <si>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</si>
  <si>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</si>
  <si>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</si>
  <si>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</si>
  <si>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</si>
  <si>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</si>
  <si>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</si>
  <si>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</si>
  <si>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</si>
  <si>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</si>
  <si>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</si>
  <si>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</si>
  <si>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</si>
  <si>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</si>
  <si>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</si>
  <si>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</si>
  <si>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</si>
  <si>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</si>
  <si>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</si>
  <si>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</si>
  <si>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</si>
  <si>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</si>
  <si>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</si>
  <si>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</si>
  <si>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</si>
  <si>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</si>
  <si>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</si>
  <si>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</si>
  <si>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</si>
  <si>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</si>
  <si>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</si>
  <si>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</si>
  <si>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</si>
  <si>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</si>
  <si>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</si>
  <si>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</si>
  <si>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</si>
  <si>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</si>
  <si>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</si>
  <si>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</si>
  <si>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</si>
  <si>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</si>
  <si>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</si>
  <si>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</si>
  <si>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</si>
  <si>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</si>
  <si>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</si>
  <si>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</si>
  <si>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</si>
  <si>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</si>
  <si>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</si>
  <si>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</si>
  <si>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</si>
  <si>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</si>
  <si>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</si>
  <si>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</si>
  <si>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</si>
  <si>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</si>
  <si>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</si>
  <si>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</si>
  <si>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</si>
  <si>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</si>
  <si>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</si>
  <si>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</si>
  <si>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</si>
  <si>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</si>
  <si>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</si>
  <si>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</si>
  <si>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</si>
  <si>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</si>
  <si>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</si>
  <si>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</si>
  <si>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</si>
  <si>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</si>
  <si>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</si>
  <si>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</si>
  <si>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</si>
  <si>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</si>
  <si>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</si>
  <si>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</si>
  <si>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</si>
  <si>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</si>
  <si>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</si>
  <si>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</si>
  <si>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</si>
  <si>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</si>
  <si>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</si>
  <si>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</si>
  <si>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</si>
  <si>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</si>
  <si>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</si>
  <si>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</si>
  <si>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</si>
  <si>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</si>
  <si>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</si>
  <si>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</si>
  <si>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</si>
  <si>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</si>
  <si>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</si>
  <si>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</si>
  <si>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</si>
  <si>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</si>
  <si>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</si>
  <si>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</si>
  <si>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</si>
  <si>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</si>
  <si>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</si>
  <si>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</si>
  <si>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</si>
  <si>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</si>
  <si>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</si>
  <si>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</si>
  <si>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</si>
  <si>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</si>
  <si>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</si>
  <si>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</si>
  <si>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</si>
  <si>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</si>
  <si>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</si>
  <si>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</si>
  <si>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</si>
  <si>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</si>
  <si>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</si>
  <si>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</si>
  <si>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</si>
  <si>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</si>
  <si>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</si>
  <si>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</si>
  <si>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</si>
  <si>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</si>
  <si>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</si>
  <si>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</si>
  <si>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</si>
  <si>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</si>
  <si>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</si>
  <si>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</si>
  <si>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</si>
  <si>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</si>
  <si>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</si>
  <si>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</si>
  <si>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</si>
  <si>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</si>
  <si>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</si>
  <si>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</si>
  <si>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</si>
  <si>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</si>
  <si>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</si>
  <si>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</si>
  <si>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</si>
  <si>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</si>
  <si>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</si>
  <si>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</si>
  <si>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</si>
  <si>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</si>
  <si>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</si>
  <si>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</si>
  <si>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</si>
  <si>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</si>
  <si>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</si>
  <si>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</si>
  <si>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</si>
  <si>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</si>
  <si>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</si>
  <si>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</si>
  <si>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</si>
  <si>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</si>
  <si>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</si>
  <si>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</si>
  <si>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</si>
  <si>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</si>
  <si>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</si>
  <si>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</si>
  <si>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</si>
  <si>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</si>
  <si>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</si>
  <si>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</si>
  <si>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</si>
  <si>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</si>
  <si>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</si>
  <si>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</si>
  <si>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</si>
  <si>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</si>
  <si>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</si>
  <si>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</si>
  <si>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</si>
  <si>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</si>
  <si>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</si>
  <si>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</si>
  <si>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</si>
  <si>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</si>
  <si>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</si>
  <si>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</si>
  <si>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</si>
  <si>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</si>
  <si>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</si>
  <si>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</si>
  <si>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</si>
  <si>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</si>
  <si>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</si>
  <si>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</si>
  <si>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</si>
  <si>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</si>
  <si>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</si>
  <si>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</si>
  <si>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</si>
  <si>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</si>
  <si>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</si>
  <si>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</si>
  <si>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</si>
  <si>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</si>
  <si>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</si>
  <si>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</si>
  <si>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</si>
  <si>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</si>
  <si>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</si>
  <si>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</si>
  <si>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</si>
  <si>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</si>
  <si>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</si>
  <si>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</si>
  <si>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</si>
  <si>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</si>
  <si>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</si>
  <si>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</si>
  <si>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</si>
  <si>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</si>
  <si>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</si>
  <si>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</si>
  <si>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</si>
  <si>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</si>
  <si>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</si>
  <si>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</si>
  <si>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</si>
  <si>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</si>
  <si>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</si>
  <si>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</si>
  <si>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</si>
  <si>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</si>
  <si>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</si>
  <si>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</si>
  <si>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</si>
  <si>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</si>
  <si>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</si>
  <si>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</si>
  <si>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</si>
  <si>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</si>
  <si>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</si>
  <si>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</si>
  <si>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</si>
  <si>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</si>
  <si>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</si>
  <si>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</si>
  <si>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</si>
  <si>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</si>
  <si>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</si>
  <si>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</si>
  <si>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</si>
  <si>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</si>
  <si>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</si>
  <si>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</si>
  <si>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</si>
  <si>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</si>
  <si>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</si>
  <si>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</si>
  <si>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</si>
  <si>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</si>
  <si>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</si>
  <si>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</si>
  <si>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</si>
  <si>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</si>
  <si>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</si>
  <si>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</si>
  <si>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</si>
  <si>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</si>
  <si>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</si>
  <si>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</si>
  <si>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</si>
  <si>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</si>
  <si>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</si>
  <si>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</si>
  <si>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</si>
  <si>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</si>
  <si>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</si>
  <si>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</si>
  <si>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</si>
  <si>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</si>
  <si>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</si>
  <si>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</si>
  <si>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</si>
  <si>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</si>
  <si>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</si>
  <si>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</si>
  <si>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</si>
  <si>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</si>
  <si>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</si>
  <si>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</si>
  <si>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</si>
  <si>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</si>
  <si>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</si>
  <si>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</si>
  <si>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</si>
  <si>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</si>
  <si>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</si>
  <si>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</si>
  <si>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</si>
  <si>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</si>
  <si>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</si>
  <si>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</si>
  <si>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</si>
  <si>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</si>
  <si>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</si>
  <si>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</si>
  <si>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</si>
  <si>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</si>
  <si>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</si>
  <si>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</si>
  <si>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</si>
  <si>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</si>
  <si>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</si>
  <si>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</si>
  <si>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</si>
  <si>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</si>
  <si>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</si>
  <si>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</si>
  <si>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</si>
  <si>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</si>
  <si>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</si>
  <si>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</si>
  <si>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</si>
  <si>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</si>
  <si>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</si>
  <si>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</si>
  <si>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</si>
  <si>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</si>
  <si>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</si>
  <si>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</si>
  <si>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</si>
  <si>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</si>
  <si>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</si>
  <si>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</si>
  <si>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</si>
  <si>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</si>
  <si>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</si>
  <si>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</si>
  <si>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</si>
  <si>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</si>
  <si>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</si>
  <si>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</si>
  <si>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</si>
  <si>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</si>
  <si>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</si>
  <si>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</si>
  <si>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</si>
  <si>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</si>
  <si>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</si>
  <si>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</si>
  <si>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</si>
  <si>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</si>
  <si>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</si>
  <si>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</si>
  <si>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</si>
  <si>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</si>
  <si>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</si>
  <si>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</si>
  <si>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</si>
  <si>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</si>
  <si>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</si>
  <si>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</si>
  <si>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</si>
  <si>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</si>
  <si>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</si>
  <si>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</si>
  <si>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</si>
  <si>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</si>
  <si>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</si>
  <si>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</si>
  <si>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</si>
  <si>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</si>
  <si>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</si>
  <si>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</si>
  <si>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</si>
  <si>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</si>
  <si>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</si>
  <si>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</si>
  <si>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</si>
  <si>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</si>
  <si>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</si>
  <si>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</si>
  <si>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</si>
  <si>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</si>
  <si>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</si>
  <si>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</si>
  <si>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</si>
  <si>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</si>
  <si>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</si>
  <si>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</si>
  <si>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</si>
  <si>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</si>
  <si>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</si>
  <si>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</si>
  <si>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</si>
  <si>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</si>
  <si>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</si>
  <si>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</si>
  <si>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</si>
  <si>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</si>
  <si>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</si>
  <si>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</si>
  <si>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</si>
  <si>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</si>
  <si>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</si>
  <si>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</si>
  <si>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</si>
  <si>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</si>
  <si>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</si>
  <si>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</si>
  <si>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</si>
  <si>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</si>
  <si>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</si>
  <si>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</si>
  <si>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</si>
  <si>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</si>
  <si>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</si>
  <si>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</si>
  <si>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</si>
  <si>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</si>
  <si>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</si>
  <si>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</si>
  <si>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</si>
  <si>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</si>
  <si>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</si>
  <si>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</si>
  <si>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</si>
  <si>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</si>
  <si>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</si>
  <si>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</si>
  <si>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</si>
  <si>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</si>
  <si>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</si>
  <si>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</si>
  <si>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</si>
  <si>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</si>
  <si>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</si>
  <si>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</si>
  <si>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</si>
  <si>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</si>
  <si>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</si>
  <si>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</si>
  <si>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</si>
  <si>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</si>
  <si>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</si>
  <si>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</si>
  <si>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</si>
  <si>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</si>
  <si>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</si>
  <si>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</si>
  <si>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</si>
  <si>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</si>
  <si>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</si>
  <si>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</si>
  <si>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</si>
  <si>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</si>
  <si>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</si>
  <si>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</si>
  <si>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</si>
  <si>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</si>
  <si>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</si>
  <si>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</si>
  <si>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</si>
  <si>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</si>
  <si>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</si>
  <si>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</si>
  <si>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</si>
  <si>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</si>
  <si>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</si>
  <si>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</si>
  <si>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</si>
  <si>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</si>
  <si>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</si>
  <si>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</si>
  <si>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</si>
  <si>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</si>
  <si>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</si>
  <si>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</si>
  <si>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</si>
  <si>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</si>
  <si>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</si>
  <si>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</si>
  <si>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</si>
  <si>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</si>
  <si>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</si>
  <si>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</si>
  <si>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</si>
  <si>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</si>
  <si>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</si>
  <si>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</si>
  <si>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</si>
  <si>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</si>
  <si>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</si>
  <si>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</si>
  <si>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</si>
  <si>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</si>
  <si>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</si>
  <si>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</si>
  <si>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</si>
  <si>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</si>
  <si>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</si>
  <si>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</si>
  <si>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</si>
  <si>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</si>
  <si>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</si>
  <si>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</si>
  <si>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</si>
  <si>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</si>
  <si>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</si>
  <si>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</si>
  <si>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</si>
  <si>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</si>
  <si>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</si>
  <si>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</si>
  <si>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</si>
  <si>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</si>
  <si>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</si>
  <si>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</si>
  <si>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</si>
  <si>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</si>
  <si>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</si>
  <si>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</si>
  <si>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</si>
  <si>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</si>
  <si>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</si>
  <si>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</si>
  <si>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</si>
  <si>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</si>
  <si>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</si>
  <si>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</si>
  <si>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</si>
  <si>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</si>
  <si>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</si>
  <si>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</si>
  <si>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</si>
  <si>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</si>
  <si>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</si>
  <si>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</si>
  <si>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</si>
  <si>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</si>
  <si>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</si>
  <si>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</si>
  <si>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</si>
  <si>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</si>
  <si>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</si>
  <si>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</si>
  <si>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</si>
  <si>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</si>
  <si>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</si>
  <si>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</si>
  <si>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</si>
  <si>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</si>
  <si>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</si>
  <si>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</si>
  <si>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</si>
  <si>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</si>
  <si>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</si>
  <si>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</si>
  <si>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</si>
  <si>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</si>
  <si>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</si>
  <si>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</si>
  <si>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</si>
  <si>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</si>
  <si>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</si>
  <si>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</si>
  <si>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</si>
  <si>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</si>
  <si>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</si>
  <si>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</si>
  <si>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</si>
  <si>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</si>
  <si>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</si>
  <si>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</si>
  <si>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</si>
  <si>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</si>
  <si>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</si>
  <si>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</si>
  <si>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</si>
  <si>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</si>
  <si>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</si>
  <si>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</si>
  <si>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</si>
  <si>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</si>
  <si>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</si>
  <si>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</si>
  <si>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</si>
  <si>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</si>
  <si>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</si>
  <si>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</si>
  <si>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</si>
  <si>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</si>
  <si>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</si>
  <si>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</si>
  <si>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</si>
  <si>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</si>
  <si>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</si>
  <si>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</si>
  <si>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</si>
  <si>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</si>
  <si>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</si>
  <si>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</si>
  <si>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</si>
  <si>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</si>
  <si>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</si>
  <si>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</si>
  <si>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</si>
  <si>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</si>
  <si>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</si>
  <si>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</si>
  <si>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</si>
  <si>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</si>
  <si>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</si>
  <si>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</si>
  <si>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</si>
  <si>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</si>
  <si>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</si>
  <si>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</si>
  <si>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</si>
  <si>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</si>
  <si>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</si>
  <si>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</si>
  <si>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</si>
  <si>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</si>
  <si>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</si>
  <si>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</si>
  <si>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</si>
  <si>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</si>
  <si>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</si>
  <si>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</si>
  <si>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</si>
  <si>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</si>
  <si>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</si>
  <si>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</si>
  <si>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</si>
  <si>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</si>
  <si>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</si>
  <si>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</si>
  <si>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</si>
  <si>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</si>
  <si>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</si>
  <si>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</si>
  <si>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</si>
  <si>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</si>
  <si>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</si>
  <si>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</si>
  <si>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</si>
  <si>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</si>
  <si>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</si>
  <si>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</si>
  <si>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</si>
  <si>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</si>
  <si>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</si>
  <si>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</si>
  <si>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</si>
  <si>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</si>
  <si>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</si>
  <si>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</si>
  <si>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</si>
  <si>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</si>
  <si>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</si>
  <si>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</si>
  <si>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</si>
  <si>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</si>
  <si>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</si>
  <si>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</si>
  <si>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</si>
  <si>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</si>
  <si>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</si>
  <si>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</si>
  <si>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</si>
  <si>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</si>
  <si>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</si>
  <si>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</si>
  <si>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</si>
  <si>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</si>
  <si>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</si>
  <si>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</si>
  <si>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</si>
  <si>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</si>
  <si>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</si>
  <si>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</si>
  <si>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</si>
  <si>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</si>
  <si>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</si>
  <si>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</si>
  <si>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</si>
  <si>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</si>
  <si>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</si>
  <si>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</si>
  <si>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</si>
  <si>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</si>
  <si>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</si>
  <si>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</si>
  <si>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</si>
  <si>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</si>
  <si>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</si>
  <si>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</si>
  <si>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</si>
  <si>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</si>
  <si>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</si>
  <si>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</si>
  <si>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</si>
  <si>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</si>
  <si>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</si>
  <si>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</si>
  <si>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</si>
  <si>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</si>
  <si>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</si>
  <si>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</si>
  <si>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</si>
  <si>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</si>
  <si>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</si>
  <si>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</si>
  <si>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</si>
  <si>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</si>
  <si>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</si>
  <si>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</si>
  <si>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</si>
  <si>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</si>
  <si>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</si>
  <si>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</si>
  <si>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</si>
  <si>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</si>
  <si>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</si>
  <si>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</si>
  <si>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</si>
  <si>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</si>
  <si>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</si>
  <si>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</si>
  <si>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</si>
  <si>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</si>
  <si>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</si>
  <si>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</si>
  <si>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</si>
  <si>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</si>
  <si>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</si>
  <si>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</si>
  <si>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</si>
  <si>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</si>
  <si>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</si>
  <si>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</si>
  <si>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</si>
  <si>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</si>
  <si>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</si>
  <si>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</si>
  <si>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</si>
  <si>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</si>
  <si>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</si>
  <si>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</si>
  <si>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</si>
  <si>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</si>
  <si>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</si>
  <si>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</si>
  <si>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</si>
  <si>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</si>
  <si>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</si>
  <si>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</si>
  <si>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</si>
  <si>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</si>
  <si>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</si>
  <si>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</si>
  <si>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</si>
  <si>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</si>
  <si>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</si>
  <si>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</si>
  <si>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</si>
  <si>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</si>
  <si>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</si>
  <si>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</si>
  <si>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</si>
  <si>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</si>
  <si>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</si>
  <si>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</si>
  <si>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</si>
  <si>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</si>
  <si>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</si>
  <si>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</si>
  <si>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</si>
  <si>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</si>
  <si>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</si>
  <si>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</si>
  <si>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</si>
  <si>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</si>
  <si>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</si>
  <si>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</si>
  <si>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</si>
  <si>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</si>
  <si>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</si>
  <si>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</si>
  <si>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</si>
  <si>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</si>
  <si>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</si>
  <si>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</si>
  <si>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</si>
  <si>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</si>
  <si>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</si>
  <si>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</si>
  <si>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</si>
  <si>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</si>
  <si>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</si>
  <si>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</si>
  <si>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</si>
  <si>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</si>
  <si>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</si>
  <si>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</si>
  <si>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</si>
  <si>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</si>
  <si>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</si>
  <si>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</si>
  <si>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</si>
  <si>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</si>
  <si>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</si>
  <si>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</si>
  <si>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</si>
  <si>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</si>
  <si>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</si>
  <si>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</si>
  <si>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</si>
  <si>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</si>
  <si>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</si>
  <si>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</si>
  <si>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</si>
  <si>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</si>
  <si>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</si>
  <si>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</si>
  <si>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</si>
  <si>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</si>
  <si>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</si>
  <si>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</si>
  <si>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</si>
  <si>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</si>
  <si>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</si>
  <si>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</si>
  <si>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</si>
  <si>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</si>
  <si>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</si>
  <si>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</si>
  <si>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</si>
  <si>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</si>
  <si>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</si>
  <si>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</si>
  <si>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</si>
  <si>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</si>
  <si>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</si>
  <si>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</si>
  <si>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</si>
  <si>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</si>
  <si>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</si>
  <si>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</si>
  <si>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</si>
  <si>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</si>
  <si>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</si>
  <si>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</si>
  <si>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</si>
  <si>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</si>
  <si>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</si>
  <si>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</si>
  <si>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</si>
  <si>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</si>
  <si>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</si>
  <si>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</si>
  <si>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</si>
  <si>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</si>
  <si>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</si>
  <si>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</si>
  <si>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</si>
  <si>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</si>
  <si>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</si>
  <si>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</si>
  <si>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</si>
  <si>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</si>
  <si>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</si>
  <si>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</si>
  <si>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</si>
  <si>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</si>
  <si>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</si>
  <si>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</si>
  <si>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</si>
  <si>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</si>
  <si>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</si>
  <si>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</si>
  <si>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</si>
  <si>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</si>
  <si>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</si>
  <si>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</si>
  <si>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</si>
  <si>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</si>
  <si>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</si>
  <si>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</si>
  <si>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</si>
  <si>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</si>
  <si>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</si>
  <si>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</si>
  <si>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</si>
  <si>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</si>
  <si>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</si>
  <si>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</si>
  <si>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</si>
  <si>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</si>
  <si>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</si>
  <si>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</si>
  <si>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</si>
  <si>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</si>
  <si>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</si>
  <si>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</si>
  <si>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</si>
  <si>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</si>
  <si>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</si>
  <si>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</si>
  <si>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</si>
  <si>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</si>
  <si>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</si>
  <si>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</si>
  <si>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</si>
  <si>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</si>
  <si>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</si>
  <si>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</si>
  <si>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</si>
  <si>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</si>
  <si>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</si>
  <si>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</si>
  <si>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</si>
  <si>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</si>
  <si>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</si>
  <si>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</si>
  <si>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</si>
  <si>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</si>
  <si>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</si>
  <si>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</si>
  <si>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</si>
  <si>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</si>
  <si>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</si>
  <si>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</si>
  <si>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</si>
  <si>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</si>
  <si>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</si>
  <si>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</si>
  <si>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</si>
  <si>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</si>
  <si>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</si>
  <si>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</si>
  <si>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</si>
  <si>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</si>
  <si>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</si>
  <si>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</si>
  <si>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</si>
  <si>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</si>
  <si>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</si>
  <si>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</si>
  <si>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</si>
  <si>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</si>
  <si>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</si>
  <si>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</si>
  <si>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</si>
  <si>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</si>
  <si>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</si>
  <si>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</si>
  <si>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</si>
  <si>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</si>
  <si>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</si>
  <si>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</si>
  <si>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</si>
  <si>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</si>
  <si>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</si>
  <si>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</si>
  <si>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</si>
  <si>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</si>
  <si>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</si>
  <si>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</si>
  <si>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</si>
  <si>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</si>
  <si>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</si>
  <si>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</si>
  <si>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</si>
  <si>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</si>
  <si>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</si>
  <si>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</si>
  <si>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</si>
  <si>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</si>
  <si>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</si>
  <si>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</si>
  <si>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</si>
  <si>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</si>
  <si>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</si>
  <si>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</si>
  <si>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</si>
  <si>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</si>
  <si>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</si>
  <si>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</si>
  <si>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</si>
  <si>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</si>
  <si>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</si>
  <si>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</si>
  <si>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</si>
  <si>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</si>
  <si>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</si>
  <si>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</si>
  <si>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</si>
  <si>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</si>
  <si>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</si>
  <si>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</si>
  <si>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</si>
  <si>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</si>
  <si>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</si>
  <si>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</si>
  <si>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</si>
  <si>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</si>
  <si>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</si>
  <si>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</si>
  <si>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</si>
  <si>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</si>
  <si>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</si>
  <si>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</si>
  <si>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</si>
  <si>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</si>
  <si>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</si>
  <si>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</si>
  <si>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</si>
  <si>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</si>
  <si>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</si>
  <si>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</si>
  <si>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</si>
  <si>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</si>
  <si>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</si>
  <si>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</si>
  <si>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</si>
  <si>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</si>
  <si>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</si>
  <si>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</si>
  <si>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</si>
  <si>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</si>
  <si>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</si>
  <si>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</si>
  <si>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</si>
  <si>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</si>
  <si>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</si>
  <si>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</si>
  <si>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</si>
  <si>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</si>
  <si>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</si>
  <si>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</si>
  <si>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</si>
  <si>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</si>
  <si>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</si>
  <si>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</si>
  <si>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</si>
  <si>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</si>
  <si>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</si>
  <si>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</si>
  <si>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</si>
  <si>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</si>
  <si>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</si>
  <si>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</si>
  <si>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</si>
  <si>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</si>
  <si>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</si>
  <si>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</si>
  <si>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</si>
  <si>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</si>
  <si>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</si>
  <si>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</si>
  <si>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</si>
  <si>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</si>
  <si>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</si>
  <si>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</si>
  <si>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</si>
  <si>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</si>
  <si>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</si>
  <si>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</si>
  <si>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</si>
  <si>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</si>
  <si>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</si>
  <si>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</si>
  <si>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</si>
  <si>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</si>
  <si>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</si>
  <si>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</si>
  <si>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</si>
  <si>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</si>
  <si>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</si>
  <si>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</si>
  <si>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</si>
  <si>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</si>
  <si>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</si>
  <si>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</si>
  <si>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</si>
  <si>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</si>
  <si>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</si>
  <si>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</si>
  <si>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</si>
  <si>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</si>
  <si>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</si>
  <si>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</si>
  <si>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</si>
  <si>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</si>
  <si>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</si>
  <si>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</si>
  <si>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</si>
  <si>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</si>
  <si>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</si>
  <si>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</si>
  <si>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</si>
  <si>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</si>
  <si>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</si>
  <si>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</si>
  <si>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</si>
  <si>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</si>
  <si>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</si>
  <si>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</si>
  <si>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</si>
  <si>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</si>
  <si>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</si>
  <si>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</si>
  <si>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</si>
  <si>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</si>
  <si>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</si>
  <si>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</si>
  <si>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</si>
  <si>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</si>
  <si>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</si>
  <si>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</si>
  <si>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</si>
  <si>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</si>
  <si>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</si>
  <si>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</si>
  <si>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</si>
  <si>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</si>
  <si>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</si>
  <si>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</si>
  <si>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</si>
  <si>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</si>
  <si>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</si>
  <si>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</si>
  <si>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</si>
  <si>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</si>
  <si>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</si>
  <si>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</si>
  <si>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</si>
  <si>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</si>
  <si>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</si>
  <si>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</si>
  <si>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</si>
  <si>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</si>
  <si>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</si>
  <si>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</si>
  <si>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</si>
  <si>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</si>
  <si>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</si>
  <si>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</si>
  <si>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</si>
  <si>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</si>
  <si>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</si>
  <si>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</si>
  <si>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</si>
  <si>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</si>
  <si>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</si>
  <si>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</si>
  <si>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</si>
  <si>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</si>
  <si>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</si>
  <si>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</si>
  <si>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</si>
  <si>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</si>
  <si>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</si>
  <si>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</si>
  <si>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</si>
  <si>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</si>
  <si>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</si>
  <si>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</si>
  <si>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</si>
  <si>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</si>
  <si>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</si>
  <si>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</si>
  <si>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</si>
  <si>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</si>
  <si>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</si>
  <si>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</si>
  <si>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</si>
  <si>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</si>
  <si>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</si>
  <si>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</si>
  <si>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</si>
  <si>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</si>
  <si>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</si>
  <si>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</si>
  <si>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</si>
  <si>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</si>
  <si>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</si>
  <si>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</si>
  <si>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</si>
  <si>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</si>
  <si>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</si>
  <si>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</si>
  <si>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</si>
  <si>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</si>
  <si>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</si>
  <si>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</si>
  <si>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</si>
  <si>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</si>
  <si>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</si>
  <si>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</si>
  <si>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</si>
  <si>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</si>
  <si>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</si>
  <si>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</si>
  <si>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</si>
  <si>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</si>
  <si>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</si>
  <si>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</si>
  <si>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</si>
  <si>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</si>
  <si>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</si>
  <si>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</si>
  <si>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</si>
  <si>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</si>
  <si>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</si>
  <si>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</si>
  <si>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</si>
  <si>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</si>
  <si>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</si>
  <si>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</si>
  <si>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</si>
  <si>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</si>
  <si>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</si>
  <si>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</si>
  <si>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</si>
  <si>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</si>
  <si>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</si>
  <si>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</si>
  <si>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</si>
  <si>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</si>
  <si>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</si>
  <si>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</si>
  <si>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</si>
  <si>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</si>
  <si>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</si>
  <si>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</si>
  <si>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</si>
  <si>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</si>
  <si>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</si>
  <si>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</si>
  <si>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</si>
  <si>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</si>
  <si>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</si>
  <si>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</si>
  <si>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</si>
  <si>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</si>
  <si>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</si>
  <si>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</si>
  <si>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</si>
  <si>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</si>
  <si>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</si>
  <si>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</si>
  <si>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</si>
  <si>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</si>
  <si>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</si>
  <si>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</si>
  <si>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</si>
  <si>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</si>
  <si>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</si>
  <si>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</si>
  <si>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</si>
  <si>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</si>
  <si>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</si>
  <si>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</si>
  <si>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</si>
  <si>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</si>
  <si>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</si>
  <si>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</si>
  <si>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</si>
  <si>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</si>
  <si>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</si>
  <si>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</si>
  <si>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</si>
  <si>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</si>
  <si>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</si>
  <si>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</si>
  <si>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</si>
  <si>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</si>
  <si>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</si>
  <si>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</si>
  <si>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</si>
  <si>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</si>
  <si>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</si>
  <si>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</si>
  <si>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</si>
  <si>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</si>
  <si>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</si>
  <si>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</si>
  <si>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</si>
  <si>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</si>
  <si>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</si>
  <si>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</si>
  <si>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</si>
  <si>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</si>
  <si>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</si>
  <si>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</si>
  <si>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</si>
  <si>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</si>
  <si>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</si>
  <si>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</si>
  <si>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</si>
  <si>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</si>
  <si>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</si>
  <si>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</si>
  <si>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</si>
  <si>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</si>
  <si>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</si>
  <si>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</si>
  <si>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</si>
  <si>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</si>
  <si>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</si>
  <si>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</si>
  <si>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</si>
  <si>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</si>
  <si>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</si>
  <si>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</si>
  <si>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</si>
  <si>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</si>
  <si>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</si>
  <si>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</si>
  <si>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</si>
  <si>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</si>
  <si>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</si>
  <si>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</si>
  <si>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</si>
  <si>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</si>
  <si>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</si>
  <si>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</si>
  <si>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</si>
  <si>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</si>
  <si>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</si>
  <si>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</si>
  <si>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</si>
  <si>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</si>
  <si>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</si>
  <si>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</si>
  <si>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</si>
  <si>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</si>
  <si>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</si>
  <si>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</si>
  <si>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</si>
  <si>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</si>
  <si>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</si>
  <si>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</si>
  <si>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</si>
  <si>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</si>
  <si>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</si>
  <si>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</si>
  <si>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</si>
  <si>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</si>
  <si>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</si>
  <si>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</si>
  <si>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</si>
  <si>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</si>
  <si>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</si>
  <si>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</si>
  <si>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</si>
  <si>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</si>
  <si>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</si>
  <si>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</si>
  <si>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</si>
  <si>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</si>
  <si>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</si>
  <si>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</si>
  <si>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</si>
  <si>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</si>
  <si>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</si>
  <si>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</si>
  <si>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</si>
  <si>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</si>
  <si>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</si>
  <si>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</si>
  <si>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</si>
  <si>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</si>
  <si>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</si>
  <si>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</si>
  <si>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</si>
  <si>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</si>
  <si>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</si>
  <si>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</si>
  <si>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</si>
  <si>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</si>
  <si>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</si>
  <si>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</si>
  <si>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</si>
  <si>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</si>
  <si>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</si>
  <si>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</si>
  <si>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</si>
  <si>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</si>
  <si>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</si>
  <si>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</si>
  <si>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</si>
  <si>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</si>
  <si>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</si>
  <si>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</si>
  <si>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</si>
  <si>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</si>
  <si>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</si>
  <si>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</si>
  <si>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</si>
  <si>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</si>
  <si>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</si>
  <si>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</si>
  <si>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</si>
  <si>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</si>
  <si>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</si>
  <si>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</si>
  <si>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</si>
  <si>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</si>
  <si>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</si>
  <si>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</si>
  <si>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</si>
  <si>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</si>
  <si>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</si>
  <si>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</si>
  <si>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</si>
  <si>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</si>
  <si>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</si>
  <si>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</si>
  <si>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</si>
  <si>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</si>
  <si>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</si>
  <si>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</si>
  <si>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</si>
  <si>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</si>
  <si>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</si>
  <si>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</si>
  <si>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</si>
  <si>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</si>
  <si>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</si>
  <si>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</si>
  <si>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</si>
  <si>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</si>
  <si>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</si>
  <si>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</si>
  <si>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</si>
  <si>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</si>
  <si>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</si>
  <si>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</si>
  <si>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</si>
  <si>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</si>
  <si>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</si>
  <si>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</si>
  <si>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</si>
  <si>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</si>
  <si>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</si>
  <si>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</si>
  <si>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</si>
  <si>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</si>
  <si>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</si>
  <si>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</si>
  <si>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</si>
  <si>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</si>
  <si>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</si>
  <si>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</si>
  <si>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</si>
  <si>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</si>
  <si>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</si>
  <si>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</si>
  <si>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</si>
  <si>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</si>
  <si>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</si>
  <si>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</si>
  <si>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</si>
  <si>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</si>
  <si>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</si>
  <si>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</si>
  <si>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</si>
  <si>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</si>
  <si>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</si>
  <si>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</si>
  <si>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</si>
  <si>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</si>
  <si>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</si>
  <si>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</si>
  <si>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</si>
  <si>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</si>
  <si>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</si>
  <si>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</si>
  <si>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</si>
  <si>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</si>
  <si>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</si>
  <si>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</si>
  <si>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</si>
  <si>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</si>
  <si>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</si>
  <si>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</si>
  <si>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</si>
  <si>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</si>
  <si>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</si>
  <si>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</si>
  <si>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</si>
  <si>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</si>
  <si>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</si>
  <si>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</si>
  <si>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</si>
  <si>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</si>
  <si>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</si>
  <si>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</si>
  <si>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</si>
  <si>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</si>
  <si>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</si>
  <si>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</si>
  <si>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</si>
  <si>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</si>
  <si>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</si>
  <si>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</si>
  <si>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</si>
  <si>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</si>
  <si>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</si>
  <si>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</si>
  <si>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</si>
  <si>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</si>
  <si>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</si>
  <si>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</si>
  <si>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</si>
  <si>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</si>
  <si>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</si>
  <si>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</si>
  <si>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</si>
  <si>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</si>
  <si>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</si>
  <si>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</si>
  <si>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</si>
  <si>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</si>
  <si>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</si>
  <si>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</si>
  <si>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</si>
  <si>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</si>
  <si>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</si>
  <si>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</si>
  <si>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</si>
  <si>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</si>
  <si>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</si>
  <si>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</si>
  <si>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</si>
  <si>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</si>
  <si>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</si>
  <si>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</si>
  <si>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</si>
  <si>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</si>
  <si>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</si>
  <si>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</si>
  <si>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</si>
  <si>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</si>
  <si>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</si>
  <si>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</si>
  <si>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</si>
  <si>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</si>
  <si>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</si>
  <si>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</si>
  <si>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</si>
  <si>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</si>
  <si>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</si>
  <si>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</si>
  <si>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</si>
  <si>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</si>
  <si>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</si>
  <si>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</si>
  <si>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</si>
  <si>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</si>
  <si>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</si>
  <si>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</si>
  <si>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</si>
  <si>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</si>
  <si>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</si>
  <si>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</si>
  <si>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</si>
  <si>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</si>
  <si>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</si>
  <si>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</si>
  <si>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</si>
  <si>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</si>
  <si>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</si>
  <si>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</si>
  <si>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</si>
  <si>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</si>
  <si>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</si>
  <si>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</si>
  <si>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</si>
  <si>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</si>
  <si>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</si>
  <si>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</si>
  <si>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</si>
  <si>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</si>
  <si>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</si>
  <si>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</si>
  <si>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</si>
  <si>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</si>
  <si>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</si>
  <si>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</si>
  <si>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</si>
  <si>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</si>
  <si>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</si>
  <si>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</si>
  <si>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</si>
  <si>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</si>
  <si>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</si>
  <si>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</si>
  <si>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</si>
  <si>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</si>
  <si>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</si>
  <si>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</si>
  <si>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</si>
  <si>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</si>
  <si>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</si>
  <si>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</si>
  <si>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</si>
  <si>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</si>
  <si>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</si>
  <si>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</si>
  <si>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</si>
  <si>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</si>
  <si>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</si>
  <si>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</si>
  <si>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</si>
  <si>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</si>
  <si>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</si>
  <si>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</si>
  <si>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</si>
  <si>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</si>
  <si>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</si>
  <si>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</si>
  <si>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</si>
  <si>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</si>
  <si>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</si>
  <si>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</si>
  <si>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</si>
  <si>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</si>
  <si>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</si>
  <si>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</si>
  <si>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</si>
  <si>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</si>
  <si>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</si>
  <si>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</si>
  <si>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</si>
  <si>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</si>
  <si>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</si>
  <si>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</si>
  <si>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</si>
  <si>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</si>
  <si>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</si>
  <si>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</si>
  <si>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</si>
  <si>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</si>
  <si>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</si>
  <si>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</si>
  <si>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</si>
  <si>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</si>
  <si>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</si>
  <si>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</si>
  <si>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</si>
  <si>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</si>
  <si>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</si>
  <si>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</si>
  <si>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</si>
  <si>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</si>
  <si>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</si>
  <si>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</si>
  <si>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</si>
  <si>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</si>
  <si>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</si>
  <si>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</si>
  <si>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</si>
  <si>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</si>
  <si>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</si>
  <si>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</si>
  <si>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</si>
  <si>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</si>
  <si>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</si>
  <si>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</si>
  <si>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</si>
  <si>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</si>
  <si>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</si>
  <si>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</si>
  <si>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</si>
  <si>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</si>
  <si>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</si>
  <si>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</si>
  <si>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</si>
  <si>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</si>
  <si>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</si>
  <si>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</si>
  <si>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</si>
  <si>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</si>
  <si>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</si>
  <si>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</si>
  <si>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</si>
  <si>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</si>
  <si>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</si>
  <si>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</si>
  <si>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</si>
  <si>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</si>
  <si>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</si>
  <si>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</si>
  <si>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</si>
  <si>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</si>
  <si>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</si>
  <si>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</si>
  <si>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</si>
  <si>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</si>
  <si>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</si>
  <si>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</si>
  <si>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</si>
  <si>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</si>
  <si>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</si>
  <si>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</si>
  <si>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</si>
  <si>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</si>
  <si>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</si>
  <si>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</si>
  <si>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</si>
  <si>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</si>
  <si>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</si>
  <si>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</si>
  <si>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</si>
  <si>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</si>
  <si>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</si>
  <si>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</si>
  <si>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</si>
  <si>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</si>
  <si>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</si>
  <si>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</si>
  <si>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</si>
  <si>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</si>
  <si>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</si>
  <si>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</si>
  <si>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</si>
  <si>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</si>
  <si>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</si>
  <si>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</si>
  <si>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</si>
  <si>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</si>
  <si>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</si>
  <si>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</si>
  <si>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</si>
  <si>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</si>
  <si>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</si>
  <si>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</si>
  <si>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</si>
  <si>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</si>
  <si>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</si>
  <si>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</si>
  <si>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</si>
  <si>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</si>
  <si>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</si>
  <si>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</si>
  <si>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</si>
  <si>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</si>
  <si>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</si>
  <si>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</si>
  <si>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</si>
  <si>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</si>
  <si>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</si>
  <si>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</si>
  <si>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</si>
  <si>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</si>
  <si>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</si>
  <si>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</si>
  <si>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</si>
  <si>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</si>
  <si>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</si>
  <si>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</si>
  <si>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</si>
  <si>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</si>
  <si>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</si>
  <si>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</si>
  <si>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</si>
  <si>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</si>
  <si>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</si>
  <si>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</si>
  <si>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</si>
  <si>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</si>
  <si>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</si>
  <si>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</si>
  <si>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</si>
  <si>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</si>
  <si>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</si>
  <si>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</si>
  <si>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</si>
  <si>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</si>
  <si>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</si>
  <si>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</si>
  <si>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</si>
  <si>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</si>
  <si>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</si>
  <si>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</si>
  <si>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</si>
  <si>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</si>
  <si>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</si>
  <si>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</si>
  <si>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</si>
  <si>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</si>
  <si>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</si>
  <si>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</si>
  <si>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</si>
  <si>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</si>
  <si>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</si>
  <si>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</si>
  <si>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</si>
  <si>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</si>
  <si>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</si>
  <si>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</si>
  <si>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</si>
  <si>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</si>
  <si>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</si>
  <si>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</si>
  <si>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</si>
  <si>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</si>
  <si>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</si>
  <si>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</si>
  <si>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</si>
  <si>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</si>
  <si>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</si>
  <si>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</si>
  <si>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</si>
  <si>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</si>
  <si>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</si>
  <si>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</si>
  <si>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</si>
  <si>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</si>
  <si>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</si>
  <si>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</si>
  <si>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</si>
  <si>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</si>
  <si>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</si>
  <si>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</si>
  <si>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</si>
  <si>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</si>
  <si>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</si>
  <si>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</si>
  <si>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</si>
  <si>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</si>
  <si>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</si>
  <si>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</si>
  <si>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</si>
  <si>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</si>
  <si>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</si>
  <si>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</si>
  <si>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</si>
  <si>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</si>
  <si>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</si>
  <si>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</si>
  <si>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</si>
  <si>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</si>
  <si>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</si>
  <si>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</si>
  <si>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</si>
  <si>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</si>
  <si>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</si>
  <si>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</si>
  <si>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</si>
  <si>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</si>
  <si>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</si>
  <si>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</si>
  <si>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</si>
  <si>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</si>
  <si>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</si>
  <si>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</si>
  <si>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</si>
  <si>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</si>
  <si>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</si>
  <si>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</si>
  <si>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</si>
  <si>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</si>
  <si>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</si>
  <si>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</si>
  <si>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</si>
  <si>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</si>
  <si>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</si>
  <si>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</si>
  <si>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</si>
  <si>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</si>
  <si>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</si>
  <si>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</si>
  <si>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</si>
  <si>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</si>
  <si>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</si>
  <si>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</si>
  <si>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</si>
  <si>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</si>
  <si>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</si>
  <si>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</si>
  <si>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</si>
  <si>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</si>
  <si>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</si>
  <si>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</si>
  <si>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</si>
  <si>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</si>
  <si>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</si>
  <si>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</si>
  <si>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</si>
  <si>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</si>
  <si>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</si>
  <si>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</si>
  <si>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</si>
  <si>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</si>
  <si>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</si>
  <si>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</si>
  <si>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</si>
  <si>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</si>
  <si>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</si>
  <si>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</si>
  <si>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</si>
  <si>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</si>
  <si>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</si>
  <si>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</si>
  <si>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</si>
  <si>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</si>
  <si>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</si>
  <si>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</si>
  <si>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</si>
  <si>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</si>
  <si>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</si>
  <si>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</si>
  <si>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</si>
  <si>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</si>
  <si>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</si>
  <si>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</si>
  <si>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</si>
  <si>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</si>
  <si>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</si>
  <si>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</si>
  <si>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</si>
  <si>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</si>
  <si>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</si>
  <si>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</si>
  <si>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</si>
  <si>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</si>
  <si>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</si>
  <si>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</si>
  <si>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</si>
  <si>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</si>
  <si>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</si>
  <si>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</si>
  <si>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</si>
  <si>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</si>
  <si>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</si>
  <si>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</si>
  <si>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</si>
  <si>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</si>
  <si>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</si>
  <si>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</si>
  <si>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</si>
  <si>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</si>
  <si>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</si>
  <si>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</si>
  <si>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</si>
  <si>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</si>
  <si>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</si>
  <si>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</si>
  <si>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</si>
  <si>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</si>
  <si>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</si>
  <si>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</si>
  <si>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</si>
  <si>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</si>
  <si>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</si>
  <si>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</si>
  <si>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</si>
  <si>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</si>
  <si>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</si>
  <si>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</si>
  <si>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</si>
  <si>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</si>
  <si>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</si>
  <si>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</si>
  <si>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</si>
  <si>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</si>
  <si>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</si>
  <si>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</si>
  <si>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</si>
  <si>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</si>
  <si>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</si>
  <si>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</si>
  <si>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</si>
  <si>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</si>
  <si>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</si>
  <si>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</si>
  <si>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</si>
  <si>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</si>
  <si>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</si>
  <si>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</si>
  <si>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</si>
  <si>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</si>
  <si>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</si>
  <si>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</si>
  <si>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</si>
  <si>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</si>
  <si>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</si>
  <si>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</si>
  <si>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</si>
  <si>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</si>
  <si>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</si>
  <si>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</si>
  <si>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</si>
  <si>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</si>
  <si>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</si>
  <si>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</si>
  <si>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</si>
  <si>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</si>
  <si>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</si>
  <si>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</si>
  <si>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</si>
  <si>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</si>
  <si>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</si>
  <si>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</si>
  <si>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</si>
  <si>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</si>
  <si>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</si>
  <si>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</si>
  <si>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</si>
  <si>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</si>
  <si>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</si>
  <si>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</si>
  <si>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</si>
  <si>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</si>
  <si>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</si>
  <si>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</si>
  <si>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</si>
  <si>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</si>
  <si>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</si>
  <si>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</si>
  <si>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</si>
  <si>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</si>
  <si>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</si>
  <si>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</si>
  <si>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</si>
  <si>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</si>
  <si>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</si>
  <si>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</si>
  <si>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</si>
  <si>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</si>
  <si>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</si>
  <si>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</si>
  <si>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</si>
  <si>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</si>
  <si>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</si>
  <si>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</si>
  <si>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</si>
  <si>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</si>
  <si>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</si>
  <si>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</si>
  <si>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</si>
  <si>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</si>
  <si>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</si>
  <si>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</si>
  <si>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</si>
  <si>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</si>
  <si>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</si>
  <si>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</si>
  <si>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</si>
  <si>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</si>
  <si>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</si>
  <si>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</si>
  <si>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</si>
  <si>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</si>
  <si>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</si>
  <si>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</si>
  <si>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</si>
  <si>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</si>
  <si>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</si>
  <si>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</si>
  <si>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</si>
  <si>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</si>
  <si>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</si>
  <si>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</si>
  <si>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</si>
  <si>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</si>
  <si>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</si>
  <si>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</si>
  <si>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</si>
  <si>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</si>
  <si>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</si>
  <si>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</si>
  <si>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</si>
  <si>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</si>
  <si>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</si>
  <si>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</si>
  <si>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</si>
  <si>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</si>
  <si>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</si>
  <si>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</si>
  <si>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</si>
  <si>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</si>
  <si>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</si>
  <si>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</si>
  <si>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</si>
  <si>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</si>
  <si>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</si>
  <si>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</si>
  <si>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</si>
  <si>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</si>
  <si>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</si>
  <si>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</si>
  <si>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</si>
  <si>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</si>
  <si>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</si>
  <si>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</si>
  <si>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</si>
  <si>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</si>
  <si>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</si>
  <si>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</si>
  <si>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</si>
  <si>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</si>
  <si>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</si>
  <si>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</si>
  <si>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</si>
  <si>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</si>
  <si>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</si>
  <si>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</si>
  <si>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</si>
  <si>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</si>
  <si>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</si>
  <si>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</si>
  <si>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</si>
  <si>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</si>
  <si>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</si>
  <si>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</si>
  <si>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</si>
  <si>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</si>
  <si>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</si>
  <si>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</si>
  <si>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</si>
  <si>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</si>
  <si>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</si>
  <si>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</si>
  <si>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</si>
  <si>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</si>
  <si>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</si>
  <si>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</si>
  <si>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</si>
  <si>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</si>
  <si>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</si>
  <si>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</si>
  <si>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</si>
  <si>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</si>
  <si>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</si>
  <si>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</si>
  <si>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</si>
  <si>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</si>
  <si>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</si>
  <si>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</si>
  <si>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</si>
  <si>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</si>
  <si>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</si>
  <si>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</si>
  <si>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</si>
  <si>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</si>
  <si>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</si>
  <si>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</si>
  <si>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</si>
  <si>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</si>
  <si>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</si>
  <si>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</si>
  <si>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</si>
  <si>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</si>
  <si>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</si>
  <si>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</si>
  <si>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</si>
  <si>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</si>
  <si>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</si>
  <si>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</si>
  <si>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</si>
  <si>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</si>
  <si>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</si>
  <si>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</si>
  <si>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</si>
  <si>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</si>
  <si>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</si>
  <si>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</si>
  <si>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</si>
  <si>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</si>
  <si>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</si>
  <si>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</si>
  <si>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</si>
  <si>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</si>
  <si>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</si>
  <si>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</si>
  <si>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</si>
  <si>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</si>
  <si>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</si>
  <si>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</si>
  <si>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</si>
  <si>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</si>
  <si>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</si>
  <si>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</si>
  <si>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</si>
  <si>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</si>
  <si>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</si>
  <si>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</si>
  <si>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</si>
  <si>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</si>
  <si>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</si>
  <si>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</si>
  <si>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</si>
  <si>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</si>
  <si>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</si>
  <si>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</si>
  <si>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</si>
  <si>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</si>
  <si>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</si>
  <si>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</si>
  <si>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</si>
  <si>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</si>
  <si>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</si>
  <si>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</si>
  <si>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</si>
  <si>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</si>
  <si>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</si>
  <si>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</si>
  <si>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</si>
  <si>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</si>
  <si>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</si>
  <si>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</si>
  <si>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</si>
  <si>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</si>
  <si>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</si>
  <si>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</si>
  <si>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</si>
  <si>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</si>
  <si>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</si>
  <si>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</si>
  <si>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</si>
  <si>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</si>
  <si>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</si>
  <si>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</si>
  <si>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</si>
  <si>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</si>
  <si>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</si>
  <si>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</si>
  <si>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</si>
  <si>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</si>
  <si>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</si>
  <si>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</si>
  <si>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</si>
  <si>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</si>
  <si>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</si>
  <si>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</si>
  <si>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</si>
  <si>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</si>
  <si>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</si>
  <si>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</si>
  <si>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</si>
  <si>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</si>
  <si>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</si>
  <si>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</si>
  <si>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</si>
  <si>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</si>
  <si>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</si>
  <si>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</si>
  <si>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</si>
  <si>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</si>
  <si>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</si>
  <si>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</si>
  <si>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</si>
  <si>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</si>
  <si>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</si>
  <si>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</si>
  <si>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</si>
  <si>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</si>
  <si>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</si>
  <si>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</si>
  <si>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</si>
  <si>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</si>
  <si>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</si>
  <si>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</si>
  <si>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</si>
  <si>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</si>
  <si>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</si>
  <si>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</si>
  <si>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</si>
  <si>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</si>
  <si>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</si>
  <si>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</si>
  <si>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</si>
  <si>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</si>
  <si>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</si>
  <si>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</si>
  <si>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</si>
  <si>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</si>
  <si>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</si>
  <si>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</si>
  <si>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</si>
  <si>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</si>
  <si>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</si>
  <si>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</si>
  <si>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</si>
  <si>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</si>
  <si>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</si>
  <si>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</si>
  <si>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</si>
  <si>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</si>
  <si>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</si>
  <si>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</si>
  <si>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</si>
  <si>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</si>
  <si>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</si>
  <si>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</si>
  <si>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</si>
  <si>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</si>
  <si>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</si>
  <si>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</si>
  <si>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</si>
  <si>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</si>
  <si>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</si>
  <si>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</si>
  <si>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</si>
  <si>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</si>
  <si>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</si>
  <si>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</si>
  <si>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</si>
  <si>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</si>
  <si>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</si>
  <si>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</si>
  <si>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</si>
  <si>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</si>
  <si>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</si>
  <si>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</si>
  <si>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</si>
  <si>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</si>
  <si>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</si>
  <si>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</si>
  <si>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</si>
  <si>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</si>
  <si>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</si>
  <si>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</si>
  <si>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</si>
  <si>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</si>
  <si>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</si>
  <si>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</si>
  <si>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</si>
  <si>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</si>
  <si>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</si>
  <si>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</si>
  <si>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</si>
  <si>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</si>
  <si>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</si>
  <si>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</si>
  <si>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</si>
  <si>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</si>
  <si>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</si>
  <si>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</si>
  <si>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</si>
  <si>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</si>
  <si>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</si>
  <si>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</si>
  <si>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</si>
  <si>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</si>
  <si>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</si>
  <si>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</si>
  <si>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</si>
  <si>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</si>
  <si>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</si>
  <si>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</si>
  <si>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</si>
  <si>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</si>
  <si>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</si>
  <si>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</si>
  <si>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</si>
  <si>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</si>
  <si>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</si>
  <si>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</si>
  <si>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</si>
  <si>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</si>
  <si>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</si>
  <si>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</si>
  <si>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</si>
  <si>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</si>
  <si>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</si>
  <si>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</si>
  <si>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</si>
  <si>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</si>
  <si>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</si>
  <si>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</si>
  <si>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</si>
  <si>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</si>
  <si>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</si>
  <si>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</si>
  <si>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</si>
  <si>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</si>
  <si>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</si>
  <si>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</si>
  <si>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</si>
  <si>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</si>
  <si>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</si>
  <si>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</si>
  <si>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</si>
  <si>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</si>
  <si>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</si>
  <si>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</si>
  <si>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</si>
  <si>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</si>
  <si>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</si>
  <si>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</si>
  <si>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</si>
  <si>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</si>
  <si>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</si>
  <si>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</si>
  <si>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</si>
  <si>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</si>
  <si>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</si>
  <si>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</si>
  <si>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</si>
  <si>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</si>
  <si>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</si>
  <si>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</si>
  <si>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</si>
  <si>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</si>
  <si>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</si>
  <si>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</si>
  <si>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</si>
  <si>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</si>
  <si>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</si>
  <si>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</si>
  <si>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</si>
  <si>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</si>
  <si>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</si>
  <si>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</si>
  <si>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</si>
  <si>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</si>
  <si>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</si>
  <si>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</si>
  <si>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</si>
  <si>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</si>
  <si>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</si>
  <si>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</si>
  <si>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</si>
  <si>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</si>
  <si>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</si>
  <si>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</si>
  <si>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</si>
  <si>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</si>
  <si>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</si>
  <si>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</si>
  <si>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</si>
  <si>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</si>
  <si>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</si>
  <si>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</si>
  <si>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</si>
  <si>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</si>
  <si>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</si>
  <si>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</si>
  <si>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</si>
  <si>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</si>
  <si>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</si>
  <si>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</si>
  <si>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</si>
  <si>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</si>
  <si>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</si>
  <si>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</si>
  <si>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</si>
  <si>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</si>
  <si>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</si>
  <si>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</si>
  <si>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</si>
  <si>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</si>
  <si>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</si>
  <si>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</si>
  <si>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</si>
  <si>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</si>
  <si>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</si>
  <si>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</si>
  <si>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</si>
  <si>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</si>
  <si>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</si>
  <si>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</si>
  <si>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</si>
  <si>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</si>
  <si>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</si>
  <si>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</si>
  <si>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</si>
  <si>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</si>
  <si>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</si>
  <si>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</si>
  <si>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</si>
  <si>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</si>
  <si>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</si>
  <si>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</si>
  <si>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</si>
  <si>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</si>
  <si>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</si>
  <si>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</si>
  <si>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</si>
  <si>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</si>
  <si>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</si>
  <si>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</si>
  <si>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</si>
  <si>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</si>
  <si>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</si>
  <si>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</si>
  <si>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</si>
  <si>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</si>
  <si>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</si>
  <si>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</si>
  <si>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</si>
  <si>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</si>
  <si>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</si>
  <si>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</si>
  <si>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</si>
  <si>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</si>
  <si>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</si>
  <si>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</si>
  <si>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</si>
  <si>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</si>
  <si>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</si>
  <si>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</si>
  <si>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</si>
  <si>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</si>
  <si>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</si>
  <si>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</si>
  <si>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</si>
  <si>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</si>
  <si>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</si>
  <si>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</si>
  <si>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</si>
  <si>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</si>
  <si>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</si>
  <si>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</si>
  <si>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</si>
  <si>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</si>
  <si>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</si>
  <si>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</si>
  <si>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</si>
  <si>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</si>
  <si>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</si>
  <si>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</si>
  <si>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</si>
  <si>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</si>
  <si>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</si>
  <si>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</si>
  <si>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</si>
  <si>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</si>
  <si>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</si>
  <si>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</si>
  <si>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</si>
  <si>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</si>
  <si>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</si>
  <si>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</si>
  <si>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</si>
  <si>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</si>
  <si>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</si>
  <si>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</si>
  <si>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</si>
  <si>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</si>
  <si>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</si>
  <si>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</si>
  <si>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</si>
  <si>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</si>
  <si>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</si>
  <si>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</si>
  <si>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</si>
  <si>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</si>
  <si>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</si>
  <si>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</si>
  <si>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</si>
  <si>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</si>
  <si>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</si>
  <si>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</si>
  <si>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</si>
  <si>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</si>
  <si>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</si>
  <si>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</si>
  <si>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</si>
  <si>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</si>
  <si>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</si>
  <si>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</si>
  <si>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</si>
  <si>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</si>
  <si>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</si>
  <si>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</si>
  <si>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</si>
  <si>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</si>
  <si>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</si>
  <si>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</si>
  <si>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</si>
  <si>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</si>
  <si>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</si>
  <si>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</si>
  <si>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</si>
  <si>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</si>
  <si>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</si>
  <si>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</si>
  <si>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</si>
  <si>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</si>
  <si>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</si>
  <si>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</si>
  <si>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</si>
  <si>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</si>
  <si>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</si>
  <si>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</si>
  <si>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</si>
  <si>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</si>
  <si>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</si>
  <si>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</si>
  <si>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</si>
  <si>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</si>
  <si>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</si>
  <si>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</si>
  <si>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</si>
  <si>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</si>
  <si>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</si>
  <si>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</si>
  <si>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</si>
  <si>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</si>
  <si>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</si>
  <si>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</si>
  <si>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</si>
  <si>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</si>
  <si>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</si>
  <si>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</si>
  <si>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</si>
  <si>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</si>
  <si>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</si>
  <si>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</si>
  <si>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</si>
  <si>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</si>
  <si>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</si>
  <si>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</si>
  <si>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</si>
  <si>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</si>
  <si>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</si>
  <si>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</si>
  <si>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</si>
  <si>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</si>
  <si>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</si>
  <si>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</si>
  <si>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</si>
  <si>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</si>
  <si>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</si>
  <si>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</si>
  <si>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</si>
  <si>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</si>
  <si>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</si>
  <si>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</si>
  <si>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</si>
  <si>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</si>
  <si>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</si>
  <si>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</si>
  <si>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</si>
  <si>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</si>
  <si>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</si>
  <si>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</si>
  <si>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</si>
  <si>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</si>
  <si>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</si>
  <si>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</si>
  <si>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</si>
  <si>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</si>
  <si>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</si>
  <si>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</si>
  <si>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</si>
  <si>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</si>
  <si>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</si>
  <si>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</si>
  <si>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</si>
  <si>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</si>
  <si>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</si>
  <si>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</si>
  <si>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</si>
  <si>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</si>
  <si>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</si>
  <si>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</si>
  <si>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</si>
  <si>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</si>
  <si>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</si>
  <si>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</si>
  <si>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</si>
  <si>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</si>
  <si>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</si>
  <si>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</si>
  <si>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</si>
  <si>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</si>
  <si>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</si>
  <si>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</si>
  <si>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</si>
  <si>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</si>
  <si>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</si>
  <si>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</si>
  <si>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</si>
  <si>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</si>
  <si>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</si>
  <si>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</si>
  <si>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</si>
  <si>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</si>
  <si>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</si>
  <si>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</si>
  <si>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</si>
  <si>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</si>
  <si>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</si>
  <si>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</si>
  <si>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</si>
  <si>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</si>
  <si>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</si>
  <si>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</si>
  <si>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</si>
  <si>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</si>
  <si>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</si>
  <si>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</si>
  <si>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</si>
  <si>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</si>
  <si>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</si>
  <si>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</si>
  <si>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</si>
  <si>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</si>
  <si>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</si>
  <si>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</si>
  <si>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</si>
  <si>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</si>
  <si>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</si>
  <si>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</si>
  <si>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</si>
  <si>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</si>
  <si>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</si>
  <si>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</si>
  <si>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</si>
  <si>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</si>
  <si>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</si>
  <si>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</si>
  <si>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</si>
  <si>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</si>
  <si>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</si>
  <si>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</si>
  <si>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</si>
  <si>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</si>
  <si>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</si>
  <si>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</si>
  <si>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</si>
  <si>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</si>
  <si>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</si>
  <si>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</si>
  <si>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</si>
  <si>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</si>
  <si>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</si>
  <si>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</si>
  <si>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</si>
  <si>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</si>
  <si>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</si>
  <si>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</si>
  <si>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</si>
  <si>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</si>
  <si>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</si>
  <si>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</si>
  <si>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</si>
  <si>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</si>
  <si>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</si>
  <si>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</si>
  <si>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</si>
  <si>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</si>
  <si>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</si>
  <si>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</si>
  <si>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</si>
  <si>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</si>
  <si>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</si>
  <si>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</si>
  <si>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</si>
  <si>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</si>
  <si>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</si>
  <si>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</si>
  <si>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</si>
  <si>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</si>
  <si>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</si>
  <si>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</si>
  <si>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</si>
  <si>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</si>
  <si>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</si>
  <si>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</si>
  <si>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</si>
  <si>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</si>
  <si>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</si>
  <si>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</si>
  <si>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</si>
  <si>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</si>
  <si>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</si>
  <si>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</si>
  <si>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</si>
  <si>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</si>
  <si>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</si>
  <si>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</si>
  <si>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</si>
  <si>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</si>
  <si>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</si>
  <si>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</si>
  <si>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</si>
  <si>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</si>
  <si>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</si>
  <si>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</si>
  <si>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</si>
  <si>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</si>
  <si>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</si>
  <si>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</si>
  <si>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</si>
  <si>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</si>
  <si>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</si>
  <si>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</si>
  <si>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</si>
  <si>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</si>
  <si>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</si>
  <si>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</si>
  <si>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</si>
  <si>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</si>
  <si>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</si>
  <si>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</si>
  <si>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</si>
  <si>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</si>
  <si>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</si>
  <si>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</si>
  <si>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</si>
  <si>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</si>
  <si>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</si>
  <si>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</si>
  <si>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</si>
  <si>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</si>
  <si>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</si>
  <si>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</si>
  <si>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</si>
  <si>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</si>
  <si>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</si>
  <si>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</si>
  <si>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</si>
  <si>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</si>
  <si>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</si>
  <si>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</si>
  <si>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</si>
  <si>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</si>
  <si>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</si>
  <si>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</si>
  <si>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</si>
  <si>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</si>
  <si>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</si>
  <si>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</si>
  <si>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</si>
  <si>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</si>
  <si>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</si>
  <si>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</si>
  <si>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</si>
  <si>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</si>
  <si>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</si>
  <si>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</si>
  <si>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</si>
  <si>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</si>
  <si>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</si>
  <si>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</si>
  <si>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</si>
  <si>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</si>
  <si>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</si>
  <si>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</si>
  <si>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</si>
  <si>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</si>
  <si>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</si>
  <si>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</si>
  <si>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</si>
  <si>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</si>
  <si>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</si>
  <si>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</si>
  <si>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</si>
  <si>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</si>
  <si>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</si>
  <si>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</si>
  <si>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</si>
  <si>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</si>
  <si>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</si>
  <si>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</si>
  <si>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</si>
  <si>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</si>
  <si>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</si>
  <si>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</si>
  <si>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</si>
  <si>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</si>
  <si>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</si>
  <si>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</si>
  <si>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</si>
  <si>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</si>
  <si>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</si>
  <si>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</si>
  <si>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</si>
  <si>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</si>
  <si>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</si>
  <si>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</si>
  <si>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</si>
  <si>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</si>
  <si>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</si>
  <si>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</si>
  <si>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</si>
  <si>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</si>
  <si>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</si>
  <si>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</si>
  <si>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</si>
  <si>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</si>
  <si>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</si>
  <si>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</si>
  <si>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</si>
  <si>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</si>
  <si>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</si>
  <si>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</si>
  <si>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</si>
  <si>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</si>
  <si>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</si>
  <si>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</si>
  <si>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</si>
  <si>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</si>
  <si>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</si>
  <si>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</si>
  <si>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</si>
  <si>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</si>
  <si>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</si>
  <si>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</si>
  <si>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</si>
  <si>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</si>
  <si>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</si>
  <si>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</si>
  <si>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</si>
  <si>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</si>
  <si>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</si>
  <si>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</si>
  <si>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</si>
  <si>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</si>
  <si>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</si>
  <si>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</si>
  <si>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</si>
  <si>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</si>
  <si>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</si>
  <si>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</si>
  <si>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</si>
  <si>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</si>
  <si>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</si>
  <si>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</si>
  <si>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</si>
  <si>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</si>
  <si>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</si>
  <si>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</si>
  <si>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</si>
  <si>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</si>
  <si>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</si>
  <si>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</si>
  <si>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</si>
  <si>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</si>
  <si>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</si>
  <si>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</si>
  <si>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</si>
  <si>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</si>
  <si>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</si>
  <si>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</si>
  <si>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</si>
  <si>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</si>
  <si>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</si>
  <si>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</si>
  <si>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</si>
  <si>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</si>
  <si>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</si>
  <si>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</si>
  <si>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</si>
  <si>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</si>
  <si>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</si>
  <si>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</si>
  <si>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</si>
  <si>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</si>
  <si>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</si>
  <si>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</si>
  <si>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</si>
  <si>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</si>
  <si>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</si>
  <si>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</si>
  <si>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</si>
  <si>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</si>
  <si>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</si>
  <si>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</si>
  <si>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</si>
  <si>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</si>
  <si>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</si>
  <si>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</si>
  <si>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</si>
  <si>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</si>
  <si>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</si>
  <si>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</si>
  <si>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</si>
  <si>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</si>
  <si>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</si>
  <si>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</si>
  <si>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</si>
  <si>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</si>
  <si>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</si>
  <si>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</si>
  <si>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</si>
  <si>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</si>
  <si>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</si>
  <si>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</si>
  <si>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</si>
  <si>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</si>
  <si>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</si>
  <si>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</si>
  <si>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</si>
  <si>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</si>
  <si>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</si>
  <si>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</si>
  <si>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</si>
  <si>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</si>
  <si>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</si>
  <si>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</si>
  <si>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</si>
  <si>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</si>
  <si>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</si>
  <si>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</si>
  <si>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</si>
  <si>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</si>
  <si>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</si>
  <si>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</si>
  <si>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</si>
  <si>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</si>
  <si>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</si>
  <si>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</si>
  <si>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</si>
  <si>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</si>
  <si>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</si>
  <si>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</si>
  <si>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</si>
  <si>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</si>
  <si>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</si>
  <si>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</si>
  <si>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</si>
  <si>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</si>
  <si>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</si>
  <si>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</si>
  <si>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</si>
  <si>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</si>
  <si>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</si>
  <si>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</si>
  <si>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</si>
  <si>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</si>
  <si>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</si>
  <si>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</si>
  <si>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</si>
  <si>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</si>
  <si>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</si>
  <si>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</si>
  <si>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</si>
  <si>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</si>
  <si>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</si>
  <si>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</si>
  <si>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</si>
  <si>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</si>
  <si>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</si>
  <si>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</si>
  <si>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</si>
  <si>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</si>
  <si>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</si>
  <si>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</si>
  <si>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</si>
  <si>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</si>
  <si>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</si>
  <si>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</si>
  <si>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</si>
  <si>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</si>
  <si>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</si>
  <si>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</si>
  <si>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</si>
  <si>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</si>
  <si>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</si>
  <si>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</si>
  <si>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</si>
  <si>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</si>
  <si>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</si>
  <si>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</si>
  <si>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</si>
  <si>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</si>
  <si>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</si>
  <si>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</si>
  <si>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</si>
  <si>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</si>
  <si>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</si>
  <si>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</si>
  <si>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</si>
  <si>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</si>
  <si>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</si>
  <si>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</si>
  <si>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</si>
  <si>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</si>
  <si>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</si>
  <si>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</si>
  <si>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</si>
  <si>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</si>
  <si>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</si>
  <si>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</si>
  <si>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</si>
  <si>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</si>
  <si>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</si>
  <si>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</si>
  <si>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</si>
  <si>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</si>
  <si>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</si>
  <si>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</si>
  <si>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</si>
  <si>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</si>
  <si>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</si>
  <si>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</si>
  <si>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</si>
  <si>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</si>
  <si>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</si>
  <si>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</si>
  <si>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</si>
  <si>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</si>
  <si>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</si>
  <si>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</si>
  <si>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</si>
  <si>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</si>
  <si>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</si>
  <si>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</si>
  <si>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</si>
  <si>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</si>
  <si>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</si>
  <si>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</si>
  <si>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</si>
  <si>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</si>
  <si>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</si>
  <si>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</si>
  <si>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</si>
  <si>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</si>
  <si>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</si>
  <si>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</si>
  <si>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</si>
  <si>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</si>
  <si>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</si>
  <si>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</si>
  <si>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</si>
  <si>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</si>
  <si>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</si>
  <si>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</si>
  <si>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</si>
  <si>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</si>
  <si>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</si>
  <si>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</si>
  <si>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</si>
  <si>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</si>
  <si>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</si>
  <si>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</si>
  <si>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</si>
  <si>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</si>
  <si>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</si>
  <si>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</si>
  <si>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</si>
  <si>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</si>
  <si>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</si>
  <si>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</si>
  <si>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</si>
  <si>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</si>
  <si>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</si>
  <si>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</si>
  <si>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</si>
  <si>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</si>
  <si>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</si>
  <si>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</si>
  <si>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</si>
  <si>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</si>
  <si>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</si>
  <si>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</si>
  <si>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</si>
  <si>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</si>
  <si>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</si>
  <si>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</si>
  <si>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</si>
  <si>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</si>
  <si>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</si>
  <si>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</si>
  <si>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</si>
  <si>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</si>
  <si>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</si>
  <si>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</si>
  <si>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</si>
  <si>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</si>
  <si>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</si>
  <si>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</si>
  <si>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</si>
  <si>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</si>
  <si>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</si>
  <si>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</si>
  <si>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</si>
  <si>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</si>
  <si>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</si>
  <si>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</si>
  <si>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</si>
  <si>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</si>
  <si>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</si>
  <si>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</si>
  <si>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</si>
  <si>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</si>
  <si>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</si>
  <si>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</si>
  <si>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</si>
  <si>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</si>
  <si>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</si>
  <si>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</si>
  <si>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</si>
  <si>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</si>
  <si>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</si>
  <si>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</si>
  <si>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</si>
  <si>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</si>
  <si>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</si>
  <si>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</si>
  <si>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</si>
  <si>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</si>
  <si>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</si>
  <si>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</si>
  <si>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</si>
  <si>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</si>
  <si>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</si>
  <si>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</si>
  <si>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</si>
  <si>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</si>
  <si>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</si>
  <si>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</si>
  <si>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</si>
  <si>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</si>
  <si>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</si>
  <si>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</si>
  <si>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</si>
  <si>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</si>
  <si>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</si>
  <si>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</si>
  <si>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</si>
  <si>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</si>
  <si>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</si>
  <si>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</si>
  <si>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</si>
  <si>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</si>
  <si>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</si>
  <si>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</si>
  <si>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</si>
  <si>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</si>
  <si>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</si>
  <si>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</si>
  <si>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</si>
  <si>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</si>
  <si>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</si>
  <si>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</si>
  <si>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</si>
  <si>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</si>
  <si>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</si>
  <si>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</si>
  <si>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</si>
  <si>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</si>
  <si>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</si>
  <si>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</si>
  <si>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</si>
  <si>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</si>
  <si>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</si>
  <si>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</si>
  <si>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</si>
  <si>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</si>
  <si>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</si>
  <si>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</si>
  <si>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</si>
  <si>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</si>
  <si>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</si>
  <si>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</si>
  <si>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</si>
  <si>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</si>
  <si>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</si>
  <si>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</si>
  <si>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</si>
  <si>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</si>
  <si>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</si>
  <si>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</si>
  <si>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</si>
  <si>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</si>
  <si>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</si>
  <si>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</si>
  <si>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</si>
  <si>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</si>
  <si>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</si>
  <si>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</si>
  <si>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</si>
  <si>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</si>
  <si>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</si>
  <si>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</si>
  <si>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</si>
  <si>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</si>
  <si>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</si>
  <si>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</si>
  <si>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</si>
  <si>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</si>
  <si>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</si>
  <si>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</si>
  <si>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</si>
  <si>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</si>
  <si>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</si>
  <si>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</si>
  <si>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</si>
  <si>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</si>
  <si>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</si>
  <si>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</si>
  <si>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</si>
  <si>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</si>
  <si>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</si>
  <si>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</si>
  <si>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</si>
  <si>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</si>
  <si>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</si>
  <si>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</si>
  <si>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</si>
  <si>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</si>
  <si>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</si>
  <si>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</si>
  <si>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</si>
  <si>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</si>
  <si>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</si>
  <si>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</si>
  <si>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</si>
  <si>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</si>
  <si>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</si>
  <si>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</si>
  <si>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</si>
  <si>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</si>
  <si>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</si>
  <si>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</si>
  <si>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</si>
  <si>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</si>
  <si>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</si>
  <si>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</si>
  <si>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</si>
  <si>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</si>
  <si>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</si>
  <si>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</si>
  <si>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</si>
  <si>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</si>
  <si>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</si>
  <si>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</si>
  <si>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</si>
  <si>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</si>
  <si>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</si>
  <si>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</si>
  <si>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</si>
  <si>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</si>
  <si>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</si>
  <si>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</si>
  <si>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</si>
  <si>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</si>
  <si>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</si>
  <si>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</si>
  <si>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</si>
  <si>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</si>
  <si>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</si>
  <si>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</si>
  <si>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</si>
  <si>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</si>
  <si>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</si>
  <si>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</si>
  <si>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</si>
  <si>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</si>
  <si>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</si>
  <si>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</si>
  <si>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</si>
  <si>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</si>
  <si>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</si>
  <si>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</si>
  <si>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</si>
  <si>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</si>
  <si>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</si>
  <si>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</si>
  <si>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</si>
  <si>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</si>
  <si>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</si>
  <si>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</si>
  <si>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</si>
  <si>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</si>
  <si>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</si>
  <si>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</si>
  <si>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</si>
  <si>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</si>
  <si>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</si>
  <si>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</si>
  <si>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</si>
  <si>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</si>
  <si>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</si>
  <si>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</si>
  <si>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</si>
  <si>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</si>
  <si>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</si>
  <si>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</si>
  <si>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</si>
  <si>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</si>
  <si>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</si>
  <si>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</si>
  <si>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</si>
  <si>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</si>
  <si>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</si>
  <si>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</si>
  <si>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</si>
  <si>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</si>
  <si>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</si>
  <si>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</si>
  <si>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</si>
  <si>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</si>
  <si>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</si>
  <si>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</si>
  <si>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</si>
  <si>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</si>
  <si>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</si>
  <si>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</si>
  <si>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</si>
  <si>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</si>
  <si>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</si>
  <si>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</si>
  <si>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</si>
  <si>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</si>
  <si>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</si>
  <si>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</si>
  <si>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</si>
  <si>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</si>
  <si>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</si>
  <si>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</si>
  <si>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</si>
  <si>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</si>
  <si>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</si>
  <si>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</si>
  <si>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</si>
  <si>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</si>
  <si>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</si>
  <si>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</si>
  <si>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</si>
  <si>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</si>
  <si>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</si>
  <si>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</si>
  <si>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</si>
  <si>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</si>
  <si>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</si>
  <si>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</si>
  <si>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</si>
  <si>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</si>
  <si>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</si>
  <si>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</si>
  <si>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</si>
  <si>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</si>
  <si>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</si>
  <si>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</si>
  <si>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</si>
  <si>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</si>
  <si>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</si>
  <si>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</si>
  <si>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</si>
  <si>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</si>
  <si>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</si>
  <si>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</si>
  <si>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</si>
  <si>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</si>
  <si>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</si>
  <si>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</si>
  <si>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</si>
  <si>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</si>
  <si>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</si>
  <si>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</si>
  <si>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</si>
  <si>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</si>
  <si>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</si>
  <si>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</si>
  <si>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</si>
  <si>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</si>
  <si>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</si>
  <si>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</si>
  <si>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</si>
  <si>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</si>
  <si>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</si>
  <si>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</si>
  <si>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</si>
  <si>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</si>
  <si>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</si>
  <si>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</si>
  <si>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</si>
  <si>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</si>
  <si>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</si>
  <si>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</si>
  <si>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</si>
  <si>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</si>
  <si>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</si>
  <si>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</si>
  <si>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</si>
  <si>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</si>
  <si>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</si>
  <si>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</si>
  <si>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</si>
  <si>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</si>
  <si>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</si>
  <si>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</si>
  <si>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</si>
  <si>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</si>
  <si>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</si>
  <si>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</si>
  <si>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</si>
  <si>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</si>
  <si>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</si>
  <si>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</si>
  <si>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</si>
  <si>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</si>
  <si>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</si>
  <si>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</si>
  <si>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</si>
  <si>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</si>
  <si>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</si>
  <si>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</si>
  <si>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</si>
  <si>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</si>
  <si>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</si>
  <si>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</si>
  <si>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</si>
  <si>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</si>
  <si>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</si>
  <si>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</si>
  <si>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</si>
  <si>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</si>
  <si>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</si>
  <si>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</si>
  <si>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</si>
  <si>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</si>
  <si>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</si>
  <si>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</si>
  <si>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</si>
  <si>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</si>
  <si>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</si>
  <si>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</si>
  <si>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</si>
  <si>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</si>
  <si>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</si>
  <si>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</si>
  <si>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</si>
  <si>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</si>
  <si>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</si>
  <si>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</si>
  <si>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</si>
  <si>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</si>
  <si>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</si>
  <si>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</si>
  <si>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</si>
  <si>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</si>
  <si>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</si>
  <si>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</si>
  <si>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</si>
  <si>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</si>
  <si>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</si>
  <si>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</si>
  <si>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</si>
  <si>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</si>
  <si>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</si>
  <si>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</si>
  <si>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</si>
  <si>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</si>
  <si>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</si>
  <si>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</si>
  <si>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</si>
  <si>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</si>
  <si>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</si>
  <si>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</si>
  <si>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</si>
  <si>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</si>
  <si>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</si>
  <si>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</si>
  <si>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</si>
  <si>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</si>
  <si>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</si>
  <si>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</si>
  <si>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</si>
  <si>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</si>
  <si>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</si>
  <si>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</si>
  <si>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</si>
  <si>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</si>
  <si>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</si>
  <si>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</si>
  <si>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</si>
  <si>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</si>
  <si>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</si>
  <si>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</si>
  <si>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</si>
  <si>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</si>
  <si>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</si>
  <si>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</si>
  <si>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</si>
  <si>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</si>
  <si>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</si>
  <si>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</si>
  <si>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</si>
  <si>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</si>
  <si>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</si>
  <si>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</si>
  <si>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</si>
  <si>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</si>
  <si>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</si>
  <si>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</si>
  <si>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</si>
  <si>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</si>
  <si>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</si>
  <si>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</si>
  <si>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</si>
  <si>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</si>
  <si>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</si>
  <si>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</si>
  <si>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</si>
  <si>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</si>
  <si>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</si>
  <si>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</si>
  <si>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</si>
  <si>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</si>
  <si>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</si>
  <si>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</si>
  <si>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</si>
  <si>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</si>
  <si>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</si>
  <si>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</si>
  <si>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</si>
  <si>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</si>
  <si>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</si>
  <si>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</si>
  <si>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</si>
  <si>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</si>
  <si>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</si>
  <si>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</si>
  <si>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</si>
  <si>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</si>
  <si>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</si>
  <si>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</si>
  <si>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</si>
  <si>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</si>
  <si>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</si>
  <si>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</si>
  <si>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</si>
  <si>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</si>
  <si>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</si>
  <si>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</si>
  <si>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</si>
  <si>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</si>
  <si>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</si>
  <si>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</si>
  <si>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</si>
  <si>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</si>
  <si>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</si>
  <si>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</si>
  <si>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</si>
  <si>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</si>
  <si>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</si>
  <si>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</si>
  <si>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</si>
  <si>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</si>
  <si>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</si>
  <si>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</si>
  <si>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</si>
  <si>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</si>
  <si>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</si>
  <si>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</si>
  <si>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</si>
  <si>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</si>
  <si>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</si>
  <si>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</si>
  <si>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</si>
  <si>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</si>
  <si>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</si>
  <si>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</si>
  <si>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</si>
  <si>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</si>
  <si>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</si>
  <si>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</si>
  <si>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</si>
  <si>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</si>
  <si>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</si>
  <si>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</si>
  <si>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</si>
  <si>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</si>
  <si>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</si>
  <si>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</si>
  <si>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</si>
  <si>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</si>
  <si>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</si>
  <si>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</si>
  <si>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</si>
  <si>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</si>
  <si>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</si>
  <si>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</si>
  <si>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</si>
  <si>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</si>
  <si>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</si>
  <si>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</si>
  <si>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</si>
  <si>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</si>
  <si>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</si>
  <si>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</si>
  <si>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</si>
  <si>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</si>
  <si>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</si>
  <si>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</si>
  <si>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</si>
  <si>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</si>
  <si>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</si>
  <si>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</si>
  <si>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</si>
  <si>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</si>
  <si>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</si>
  <si>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</si>
  <si>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</si>
  <si>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</si>
  <si>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</si>
  <si>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</si>
  <si>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</si>
  <si>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</si>
  <si>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</si>
  <si>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</si>
  <si>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</si>
  <si>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</si>
  <si>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</si>
  <si>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</si>
  <si>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</si>
  <si>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</si>
  <si>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</si>
  <si>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</si>
  <si>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</si>
  <si>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</si>
  <si>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</si>
  <si>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</si>
  <si>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</si>
  <si>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</si>
  <si>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</si>
  <si>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</si>
  <si>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</si>
  <si>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</si>
  <si>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</si>
  <si>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</si>
  <si>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</si>
  <si>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</si>
  <si>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</si>
  <si>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</si>
  <si>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</si>
  <si>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</si>
  <si>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</si>
  <si>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</si>
  <si>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</si>
  <si>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</si>
  <si>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</si>
  <si>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</si>
  <si>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</si>
  <si>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</si>
  <si>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</si>
  <si>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</si>
  <si>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</si>
  <si>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</si>
  <si>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</si>
  <si>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</si>
  <si>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</si>
  <si>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</si>
  <si>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</si>
  <si>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</si>
  <si>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</si>
  <si>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</si>
  <si>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</si>
  <si>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</si>
  <si>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</si>
  <si>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</si>
  <si>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</si>
  <si>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</si>
  <si>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</si>
  <si>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</si>
  <si>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</si>
  <si>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</si>
  <si>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</si>
  <si>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</si>
  <si>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</si>
  <si>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</si>
  <si>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</si>
  <si>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</si>
  <si>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</si>
  <si>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</si>
  <si>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</si>
  <si>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</si>
  <si>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</si>
  <si>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</si>
  <si>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</si>
  <si>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</si>
  <si>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</si>
  <si>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</si>
  <si>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</si>
  <si>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</si>
  <si>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</si>
  <si>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</si>
  <si>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</si>
  <si>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</si>
  <si>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</si>
  <si>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</si>
  <si>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</si>
  <si>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</si>
  <si>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</si>
  <si>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</si>
  <si>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</si>
  <si>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</si>
  <si>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</si>
  <si>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</si>
  <si>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</si>
  <si>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</si>
  <si>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</si>
  <si>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</si>
  <si>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</si>
  <si>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</si>
  <si>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</si>
  <si>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</si>
  <si>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</si>
  <si>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</si>
  <si>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</si>
  <si>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</si>
  <si>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</si>
  <si>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</si>
  <si>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</si>
  <si>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</si>
  <si>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</si>
  <si>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</si>
  <si>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</si>
  <si>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</si>
  <si>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</si>
  <si>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</si>
  <si>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</si>
  <si>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</si>
  <si>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</si>
  <si>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</si>
  <si>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</si>
  <si>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</si>
  <si>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</si>
  <si>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</si>
  <si>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</si>
  <si>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</si>
  <si>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</si>
  <si>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</si>
  <si>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</si>
  <si>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</si>
  <si>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</si>
  <si>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</si>
  <si>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</si>
  <si>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</si>
  <si>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</si>
  <si>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</si>
  <si>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</si>
  <si>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</si>
  <si>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</si>
  <si>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</si>
  <si>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</si>
  <si>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</si>
  <si>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</si>
  <si>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</si>
  <si>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</si>
  <si>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</si>
  <si>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</si>
  <si>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</si>
  <si>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</si>
  <si>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</si>
  <si>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</si>
  <si>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</si>
  <si>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</si>
  <si>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</si>
  <si>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</si>
  <si>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</si>
  <si>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</si>
  <si>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</si>
  <si>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</si>
  <si>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</si>
  <si>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</si>
  <si>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</si>
  <si>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</si>
  <si>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</si>
  <si>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</si>
  <si>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</si>
  <si>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</si>
  <si>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</si>
  <si>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</si>
  <si>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</si>
  <si>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</si>
  <si>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</si>
  <si>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</si>
  <si>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</si>
  <si>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</si>
  <si>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</si>
  <si>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</si>
  <si>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</si>
  <si>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</si>
  <si>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</si>
  <si>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</si>
  <si>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</si>
  <si>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</si>
  <si>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</si>
  <si>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</si>
  <si>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</si>
  <si>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</si>
  <si>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</si>
  <si>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</si>
  <si>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</si>
  <si>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</si>
  <si>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</si>
  <si>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</si>
  <si>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</si>
  <si>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</si>
  <si>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</si>
  <si>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</si>
  <si>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</si>
  <si>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</si>
  <si>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</si>
  <si>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</si>
  <si>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</si>
  <si>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</si>
  <si>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</si>
  <si>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</si>
  <si>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</si>
  <si>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</si>
  <si>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Done for 1000</t>
  </si>
  <si>
    <t>Done for 1000/Done for KR00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</si>
  <si>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</si>
  <si>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</si>
  <si>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</si>
  <si>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</si>
  <si>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</si>
  <si>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</si>
  <si>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</si>
  <si>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</si>
  <si>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</si>
  <si>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</si>
  <si>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</si>
  <si>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</si>
  <si>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</si>
  <si>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</si>
  <si>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</si>
  <si>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</si>
  <si>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</si>
  <si>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</si>
  <si>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</si>
  <si>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</si>
  <si>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</si>
  <si>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</si>
  <si>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</si>
  <si>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</si>
  <si>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</si>
  <si>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</si>
  <si>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</si>
  <si>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</si>
  <si>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</si>
  <si>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</si>
  <si>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</si>
  <si>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</si>
  <si>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</si>
  <si>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</si>
  <si>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</si>
  <si>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</si>
  <si>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</si>
  <si>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</si>
  <si>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</si>
  <si>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</si>
  <si>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</si>
  <si>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</si>
  <si>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</si>
  <si>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</si>
  <si>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</si>
  <si>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</si>
  <si>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</si>
  <si>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</si>
  <si>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</si>
  <si>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</si>
  <si>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</si>
  <si>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</si>
  <si>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</si>
  <si>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</si>
  <si>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</si>
  <si>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</si>
  <si>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</si>
  <si>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</si>
  <si>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</si>
  <si>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</si>
  <si>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</si>
  <si>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</si>
  <si>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</si>
  <si>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</si>
  <si>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</si>
  <si>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</si>
  <si>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</si>
  <si>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</si>
  <si>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</si>
  <si>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</si>
  <si>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</si>
  <si>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</si>
  <si>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</si>
  <si>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</si>
  <si>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</si>
  <si>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</si>
  <si>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</si>
  <si>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</si>
  <si>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</si>
  <si>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</si>
  <si>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</si>
  <si>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</si>
  <si>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</si>
  <si>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</si>
  <si>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</si>
  <si>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</si>
  <si>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</si>
  <si>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</si>
  <si>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</si>
  <si>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</si>
  <si>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</si>
  <si>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</si>
  <si>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</si>
  <si>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</si>
  <si>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</si>
  <si>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</si>
  <si>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</si>
  <si>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</si>
  <si>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</si>
  <si>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</si>
  <si>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</si>
  <si>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</si>
  <si>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</si>
  <si>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</si>
  <si>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</si>
  <si>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</si>
  <si>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</si>
  <si>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</si>
  <si>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</si>
  <si>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</si>
  <si>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</si>
  <si>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</si>
  <si>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</si>
  <si>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</si>
  <si>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</si>
  <si>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</si>
  <si>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</si>
  <si>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</si>
  <si>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</si>
  <si>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</si>
  <si>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</si>
  <si>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</si>
  <si>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</si>
  <si>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</si>
  <si>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</si>
  <si>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</si>
  <si>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</si>
  <si>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</si>
  <si>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</si>
  <si>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</si>
  <si>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</si>
  <si>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</si>
  <si>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</si>
  <si>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</si>
  <si>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</si>
  <si>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</si>
  <si>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</si>
  <si>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</si>
  <si>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</si>
  <si>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</si>
  <si>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</si>
  <si>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</si>
  <si>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</si>
  <si>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</si>
  <si>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</si>
  <si>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</si>
  <si>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</si>
  <si>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</si>
  <si>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</si>
  <si>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</si>
  <si>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</si>
  <si>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</si>
  <si>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</si>
  <si>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</si>
  <si>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</si>
  <si>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</si>
  <si>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</si>
  <si>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</si>
  <si>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</si>
  <si>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</si>
  <si>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</si>
  <si>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</si>
  <si>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</si>
  <si>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</si>
  <si>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</si>
  <si>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</si>
  <si>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</si>
  <si>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</si>
  <si>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</si>
  <si>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</si>
  <si>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</si>
  <si>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</si>
  <si>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</si>
  <si>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</si>
  <si>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</si>
  <si>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</si>
  <si>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</si>
  <si>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</si>
  <si>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</si>
  <si>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</si>
  <si>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</si>
  <si>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</si>
  <si>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</si>
  <si>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</si>
  <si>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</si>
  <si>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</si>
  <si>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</si>
  <si>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</si>
  <si>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</si>
  <si>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</si>
  <si>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</si>
  <si>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</si>
  <si>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</si>
  <si>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</si>
  <si>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</si>
  <si>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</si>
  <si>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</si>
  <si>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</si>
  <si>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</si>
  <si>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</si>
  <si>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</si>
  <si>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</si>
  <si>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</si>
  <si>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</si>
  <si>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</si>
  <si>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</si>
  <si>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</si>
  <si>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</si>
  <si>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</si>
  <si>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</si>
  <si>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</si>
  <si>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</si>
  <si>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</si>
  <si>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</si>
  <si>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</si>
  <si>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</si>
  <si>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</si>
  <si>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</si>
  <si>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</si>
  <si>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</si>
  <si>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</si>
  <si>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</si>
  <si>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</si>
  <si>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</si>
  <si>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</si>
  <si>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</si>
  <si>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</si>
  <si>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</si>
  <si>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</si>
  <si>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</si>
  <si>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</si>
  <si>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</si>
  <si>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</si>
  <si>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</si>
  <si>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</si>
  <si>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</si>
  <si>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</si>
  <si>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</si>
  <si>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</si>
  <si>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</si>
  <si>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</si>
  <si>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</si>
  <si>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</si>
  <si>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</si>
  <si>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</si>
  <si>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</si>
  <si>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</si>
  <si>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</si>
  <si>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</si>
  <si>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</si>
  <si>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</si>
  <si>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</si>
  <si>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</si>
  <si>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</si>
  <si>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</si>
  <si>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</si>
  <si>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</si>
  <si>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</si>
  <si>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</si>
  <si>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</si>
  <si>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</si>
  <si>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</si>
  <si>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</si>
  <si>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</si>
  <si>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</si>
  <si>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</si>
  <si>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</si>
  <si>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</si>
  <si>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</si>
  <si>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</si>
  <si>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</si>
  <si>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</si>
  <si>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</si>
  <si>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</si>
  <si>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</si>
  <si>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</si>
  <si>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</si>
  <si>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</si>
  <si>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</si>
  <si>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</si>
  <si>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</si>
  <si>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</si>
  <si>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</si>
  <si>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</si>
  <si>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</si>
  <si>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</si>
  <si>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</si>
  <si>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</si>
  <si>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</si>
  <si>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</si>
  <si>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</si>
  <si>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</si>
  <si>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</si>
  <si>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</si>
  <si>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</si>
  <si>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</si>
  <si>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</si>
  <si>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</si>
  <si>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</si>
  <si>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</si>
  <si>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</si>
  <si>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</si>
  <si>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</si>
  <si>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</si>
  <si>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</si>
  <si>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</si>
  <si>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</si>
  <si>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</si>
  <si>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</si>
  <si>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</si>
  <si>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</si>
  <si>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</si>
  <si>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</si>
  <si>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</si>
  <si>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</si>
  <si>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</si>
  <si>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</si>
  <si>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</si>
  <si>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</si>
  <si>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</si>
  <si>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</si>
  <si>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</si>
  <si>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</si>
  <si>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</si>
  <si>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</si>
  <si>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</si>
  <si>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</si>
  <si>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</si>
  <si>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</si>
  <si>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</si>
  <si>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</si>
  <si>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</si>
  <si>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</si>
  <si>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</si>
  <si>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</si>
  <si>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</si>
  <si>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</si>
  <si>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</si>
  <si>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</si>
  <si>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</si>
  <si>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</si>
  <si>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</si>
  <si>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</si>
  <si>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</si>
  <si>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</si>
  <si>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</si>
  <si>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</si>
  <si>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</si>
  <si>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</si>
  <si>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</si>
  <si>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</si>
  <si>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</si>
  <si>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</si>
  <si>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</si>
  <si>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</si>
  <si>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</si>
  <si>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</si>
  <si>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</si>
  <si>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</si>
  <si>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</si>
  <si>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</si>
  <si>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</si>
  <si>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</si>
  <si>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</si>
  <si>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</si>
  <si>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</si>
  <si>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</si>
  <si>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</si>
  <si>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</si>
  <si>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</si>
  <si>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</si>
  <si>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</si>
  <si>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</si>
  <si>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</si>
  <si>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</si>
  <si>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</si>
  <si>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</si>
  <si>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</si>
  <si>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</si>
  <si>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</si>
  <si>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</si>
  <si>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</si>
  <si>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</si>
  <si>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</si>
  <si>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</si>
  <si>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</si>
  <si>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</si>
  <si>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</si>
  <si>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</si>
  <si>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</si>
  <si>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</si>
  <si>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</si>
  <si>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</si>
  <si>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</si>
  <si>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</si>
  <si>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</si>
  <si>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</si>
  <si>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</si>
  <si>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</si>
  <si>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</si>
  <si>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</si>
  <si>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</si>
  <si>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</si>
  <si>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</si>
  <si>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</si>
  <si>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</si>
  <si>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</si>
  <si>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</si>
  <si>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</si>
  <si>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</si>
  <si>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</si>
  <si>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</si>
  <si>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</si>
  <si>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</si>
  <si>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</si>
  <si>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</si>
  <si>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</si>
  <si>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</si>
  <si>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</si>
  <si>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</si>
  <si>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</si>
  <si>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</si>
  <si>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</si>
  <si>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</si>
  <si>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</si>
  <si>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</si>
  <si>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</si>
  <si>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</si>
  <si>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</si>
  <si>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</si>
  <si>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</si>
  <si>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</si>
  <si>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</si>
  <si>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</si>
  <si>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</si>
  <si>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</si>
  <si>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</si>
  <si>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</si>
  <si>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</si>
  <si>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</si>
  <si>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</si>
  <si>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</si>
  <si>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</si>
  <si>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</si>
  <si>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</si>
  <si>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</si>
  <si>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</si>
  <si>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</si>
  <si>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</si>
  <si>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</si>
  <si>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</si>
  <si>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</si>
  <si>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</si>
  <si>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</si>
  <si>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</si>
  <si>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</si>
  <si>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</si>
  <si>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</si>
  <si>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</si>
  <si>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</si>
  <si>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</si>
  <si>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</si>
  <si>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</si>
  <si>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</si>
  <si>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</si>
  <si>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</si>
  <si>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</si>
  <si>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</si>
  <si>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</si>
  <si>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</si>
  <si>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</si>
  <si>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</si>
  <si>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</si>
  <si>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</si>
  <si>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</si>
  <si>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</si>
  <si>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</si>
  <si>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</si>
  <si>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</si>
  <si>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</si>
  <si>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</si>
  <si>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</si>
  <si>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</si>
  <si>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</si>
  <si>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</si>
  <si>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</si>
  <si>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</si>
  <si>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</si>
  <si>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</si>
  <si>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</si>
  <si>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</si>
  <si>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</si>
  <si>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</si>
  <si>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</si>
  <si>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</si>
  <si>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</si>
  <si>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</si>
  <si>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</si>
  <si>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</si>
  <si>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</si>
  <si>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</si>
  <si>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</si>
  <si>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</si>
  <si>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</si>
  <si>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</si>
  <si>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</si>
  <si>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</si>
  <si>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</si>
  <si>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</si>
  <si>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</si>
  <si>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</si>
  <si>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</si>
  <si>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</si>
  <si>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</si>
  <si>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</si>
  <si>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</si>
  <si>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</si>
  <si>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</si>
  <si>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</si>
  <si>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</si>
  <si>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</si>
  <si>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</si>
  <si>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</si>
  <si>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</si>
  <si>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</si>
  <si>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</si>
  <si>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</si>
  <si>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</si>
  <si>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</si>
  <si>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</si>
  <si>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</si>
  <si>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</si>
  <si>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</si>
  <si>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</si>
  <si>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</si>
  <si>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</si>
  <si>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</si>
  <si>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</si>
  <si>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</si>
  <si>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</si>
  <si>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</si>
  <si>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</si>
  <si>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</si>
  <si>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</si>
  <si>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</si>
  <si>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</si>
  <si>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</si>
  <si>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</si>
  <si>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</si>
  <si>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</si>
  <si>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</si>
  <si>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</si>
  <si>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</si>
  <si>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</si>
  <si>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</si>
  <si>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</si>
  <si>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</si>
  <si>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</si>
  <si>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</si>
  <si>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</si>
  <si>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</si>
  <si>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</si>
  <si>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</si>
  <si>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</si>
  <si>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</si>
  <si>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</si>
  <si>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</si>
  <si>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</si>
  <si>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</si>
  <si>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</si>
  <si>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</si>
  <si>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</si>
  <si>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</si>
  <si>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</si>
  <si>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</si>
  <si>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</si>
  <si>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</si>
  <si>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</si>
  <si>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</si>
  <si>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</si>
  <si>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</si>
  <si>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</si>
  <si>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</si>
  <si>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</si>
  <si>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</si>
  <si>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</si>
  <si>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</si>
  <si>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</si>
  <si>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</si>
  <si>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</si>
  <si>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</si>
  <si>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</si>
  <si>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</si>
  <si>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</si>
  <si>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</si>
  <si>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</si>
  <si>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</si>
  <si>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</si>
  <si>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</si>
  <si>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</si>
  <si>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</si>
  <si>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</si>
  <si>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</si>
  <si>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</si>
  <si>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</si>
  <si>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</si>
  <si>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</si>
  <si>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</si>
  <si>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</si>
  <si>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</si>
  <si>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</si>
  <si>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</si>
  <si>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</si>
  <si>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</si>
  <si>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</si>
  <si>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</si>
  <si>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</si>
  <si>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</si>
  <si>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</si>
  <si>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</si>
  <si>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</si>
  <si>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</si>
  <si>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</si>
  <si>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</si>
  <si>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</si>
  <si>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</si>
  <si>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</si>
  <si>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</si>
  <si>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</si>
  <si>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</si>
  <si>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</si>
  <si>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</si>
  <si>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</si>
  <si>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</si>
  <si>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</si>
  <si>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</si>
  <si>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</si>
  <si>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</si>
  <si>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</si>
  <si>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</si>
  <si>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</si>
  <si>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</si>
  <si>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</si>
  <si>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</si>
  <si>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</si>
  <si>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</si>
  <si>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</si>
  <si>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</si>
  <si>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</si>
  <si>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</si>
  <si>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</si>
  <si>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</si>
  <si>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</si>
  <si>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</si>
  <si>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</si>
  <si>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</si>
  <si>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</si>
  <si>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</si>
  <si>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</si>
  <si>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</si>
  <si>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</si>
  <si>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</si>
  <si>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</si>
  <si>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</si>
  <si>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</si>
  <si>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</si>
  <si>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</si>
  <si>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</si>
  <si>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</si>
  <si>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</si>
  <si>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</si>
  <si>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</si>
  <si>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</si>
  <si>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</si>
  <si>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</si>
  <si>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</si>
  <si>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</si>
  <si>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</si>
  <si>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</si>
  <si>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</si>
  <si>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</si>
  <si>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</si>
  <si>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</si>
  <si>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</si>
  <si>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</si>
  <si>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</si>
  <si>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</si>
  <si>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</si>
  <si>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</si>
  <si>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</si>
  <si>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</si>
  <si>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</si>
  <si>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</si>
  <si>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</si>
  <si>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</si>
  <si>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</si>
  <si>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</si>
  <si>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</si>
  <si>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</si>
  <si>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</si>
  <si>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</si>
  <si>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</si>
  <si>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</si>
  <si>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</si>
  <si>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</si>
  <si>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</si>
  <si>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</si>
  <si>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</si>
  <si>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</si>
  <si>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</si>
  <si>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</si>
  <si>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</si>
  <si>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</si>
  <si>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</si>
  <si>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</si>
  <si>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</si>
  <si>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</si>
  <si>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</si>
  <si>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</si>
  <si>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</si>
  <si>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</si>
  <si>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</si>
  <si>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</si>
  <si>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</si>
  <si>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</si>
  <si>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</si>
  <si>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</si>
  <si>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</si>
  <si>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</si>
  <si>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</si>
  <si>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</si>
  <si>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</si>
  <si>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</si>
  <si>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</si>
  <si>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</si>
  <si>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</si>
  <si>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</si>
  <si>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</si>
  <si>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</si>
  <si>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</si>
  <si>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</si>
  <si>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</si>
  <si>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</si>
  <si>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</si>
  <si>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</si>
  <si>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</si>
  <si>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</si>
  <si>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</si>
  <si>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</si>
  <si>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</si>
  <si>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</si>
  <si>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</si>
  <si>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</si>
  <si>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</si>
  <si>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</si>
  <si>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</si>
  <si>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</si>
  <si>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</si>
  <si>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</si>
  <si>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</si>
  <si>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</si>
  <si>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</si>
  <si>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</si>
  <si>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</si>
  <si>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</si>
  <si>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</si>
  <si>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</si>
  <si>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</si>
  <si>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</si>
  <si>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</si>
  <si>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</si>
  <si>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</si>
  <si>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</si>
  <si>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</si>
  <si>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</si>
  <si>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</si>
  <si>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</si>
  <si>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</si>
  <si>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</si>
  <si>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</si>
  <si>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</si>
  <si>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</si>
  <si>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</si>
  <si>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</si>
  <si>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</si>
  <si>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</si>
  <si>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</si>
  <si>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</si>
  <si>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</si>
  <si>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</si>
  <si>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</si>
  <si>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</si>
  <si>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</si>
  <si>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</si>
  <si>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</si>
  <si>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</si>
  <si>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</si>
  <si>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</si>
  <si>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</si>
  <si>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</si>
  <si>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</si>
  <si>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</si>
  <si>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</si>
  <si>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</si>
  <si>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</si>
  <si>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</si>
  <si>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</si>
  <si>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</si>
  <si>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</si>
  <si>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</si>
  <si>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</si>
  <si>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</si>
  <si>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</si>
  <si>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</si>
  <si>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</si>
  <si>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</si>
  <si>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</si>
  <si>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</si>
  <si>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</si>
  <si>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</si>
  <si>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</si>
  <si>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</si>
  <si>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</si>
  <si>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</si>
  <si>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</si>
  <si>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</si>
  <si>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</si>
  <si>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</si>
  <si>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</si>
  <si>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</si>
  <si>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</si>
  <si>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</si>
  <si>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</si>
  <si>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</si>
  <si>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</si>
  <si>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</si>
  <si>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</si>
  <si>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</si>
  <si>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</si>
  <si>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</si>
  <si>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</si>
  <si>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</si>
  <si>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</si>
  <si>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</si>
  <si>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</si>
  <si>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</si>
  <si>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</si>
  <si>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</si>
  <si>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</si>
  <si>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</si>
  <si>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</si>
  <si>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</si>
  <si>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</si>
  <si>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</si>
  <si>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</si>
  <si>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</si>
  <si>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</si>
  <si>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</si>
  <si>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</si>
  <si>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</si>
  <si>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</si>
  <si>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</si>
  <si>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</si>
  <si>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</si>
  <si>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</si>
  <si>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</si>
  <si>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</si>
  <si>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</si>
  <si>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</si>
  <si>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</si>
  <si>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</si>
  <si>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</si>
  <si>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</si>
  <si>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</si>
  <si>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</si>
  <si>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</si>
  <si>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</si>
  <si>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</si>
  <si>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</si>
  <si>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</si>
  <si>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</si>
  <si>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</si>
  <si>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</si>
  <si>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</si>
  <si>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</si>
  <si>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</si>
  <si>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</si>
  <si>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</si>
  <si>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</si>
  <si>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</si>
  <si>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</si>
  <si>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</si>
  <si>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</si>
  <si>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</si>
  <si>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</si>
  <si>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</si>
  <si>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</si>
  <si>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</si>
  <si>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</si>
  <si>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</si>
  <si>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</si>
  <si>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</si>
  <si>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</si>
  <si>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</si>
  <si>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</si>
  <si>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</si>
  <si>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</si>
  <si>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</si>
  <si>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</si>
  <si>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</si>
  <si>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</si>
  <si>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</si>
  <si>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</si>
  <si>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</si>
  <si>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</si>
  <si>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</si>
  <si>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</si>
  <si>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</si>
  <si>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</si>
  <si>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</si>
  <si>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</si>
  <si>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</si>
  <si>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</si>
  <si>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</si>
  <si>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</si>
  <si>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</si>
  <si>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</si>
  <si>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</si>
  <si>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</si>
  <si>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</si>
  <si>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</si>
  <si>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</si>
  <si>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</si>
  <si>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</si>
  <si>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</si>
  <si>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</si>
  <si>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</si>
  <si>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</si>
  <si>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</si>
  <si>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</si>
  <si>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</si>
  <si>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</si>
  <si>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</si>
  <si>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</si>
  <si>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</si>
  <si>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</si>
  <si>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</si>
  <si>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</si>
  <si>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</si>
  <si>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</si>
  <si>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</si>
  <si>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</si>
  <si>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</si>
  <si>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</si>
  <si>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</si>
  <si>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</si>
  <si>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</si>
  <si>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</si>
  <si>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</si>
  <si>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</si>
  <si>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</si>
  <si>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</si>
  <si>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</si>
  <si>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</si>
  <si>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</si>
  <si>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</si>
  <si>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</si>
  <si>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</si>
  <si>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</si>
  <si>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</si>
  <si>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</si>
  <si>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</si>
  <si>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</si>
  <si>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</si>
  <si>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</si>
  <si>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</si>
  <si>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</si>
  <si>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</si>
  <si>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</si>
  <si>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</si>
  <si>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</si>
  <si>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</si>
  <si>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</si>
  <si>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</si>
  <si>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</si>
  <si>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</si>
  <si>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</si>
  <si>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</si>
  <si>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</si>
  <si>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</si>
  <si>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</si>
  <si>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</si>
  <si>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</si>
  <si>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</si>
  <si>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</si>
  <si>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</si>
  <si>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</si>
  <si>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</si>
  <si>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</si>
  <si>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</si>
  <si>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</si>
  <si>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</si>
  <si>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</si>
  <si>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</si>
  <si>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</si>
  <si>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</si>
  <si>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(blank)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</si>
  <si>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</si>
  <si>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</si>
  <si>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</si>
  <si>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</si>
  <si>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</si>
  <si>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</si>
  <si>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</si>
  <si>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</si>
  <si>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</si>
  <si>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</si>
  <si>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</si>
  <si>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</si>
  <si>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</si>
  <si>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</si>
  <si>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</si>
  <si>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</si>
  <si>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</si>
  <si>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</si>
  <si>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</si>
  <si>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</si>
  <si>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</si>
  <si>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</si>
  <si>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</si>
  <si>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</si>
  <si>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</si>
  <si>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</si>
  <si>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</si>
  <si>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</si>
  <si>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</si>
  <si>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</si>
  <si>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</si>
  <si>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</si>
  <si>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</si>
  <si>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</si>
  <si>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</si>
  <si>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</si>
  <si>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</si>
  <si>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</si>
  <si>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</si>
  <si>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</si>
  <si>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</si>
  <si>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</si>
  <si>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</si>
  <si>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</si>
  <si>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</si>
  <si>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</si>
  <si>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</si>
  <si>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</si>
  <si>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</si>
  <si>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</si>
  <si>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</si>
  <si>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</si>
  <si>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</si>
  <si>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</si>
  <si>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</si>
  <si>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Standard</t>
  </si>
  <si>
    <t>X</t>
  </si>
  <si>
    <t>KR00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</si>
  <si>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</si>
  <si>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</si>
  <si>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</si>
  <si>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</si>
  <si>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</si>
  <si>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</si>
  <si>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</si>
  <si>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</si>
  <si>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</si>
  <si>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</si>
  <si>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</si>
  <si>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</si>
  <si>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</si>
  <si>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</si>
  <si>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</si>
  <si>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</si>
  <si>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</si>
  <si>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</si>
  <si>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</si>
  <si>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</si>
  <si>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</si>
  <si>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</si>
  <si>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</si>
  <si>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</si>
  <si>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</si>
  <si>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</si>
  <si>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</si>
  <si>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</si>
  <si>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</si>
  <si>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</si>
  <si>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</si>
  <si>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</si>
  <si>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</si>
  <si>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</si>
  <si>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</si>
  <si>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</si>
  <si>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</si>
  <si>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</si>
  <si>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</si>
  <si>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</si>
  <si>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</si>
  <si>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</si>
  <si>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</si>
  <si>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</si>
  <si>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</si>
  <si>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</si>
  <si>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</si>
  <si>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</si>
  <si>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</si>
  <si>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</si>
  <si>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</si>
  <si>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</si>
  <si>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</si>
  <si>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</si>
  <si>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</si>
  <si>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</si>
  <si>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</si>
  <si>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</si>
  <si>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</si>
  <si>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</si>
  <si>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</si>
  <si>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</si>
  <si>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</si>
  <si>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</si>
  <si>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</si>
  <si>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</si>
  <si>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</si>
  <si>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</si>
  <si>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</si>
  <si>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</si>
  <si>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</si>
  <si>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</si>
  <si>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</si>
  <si>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</si>
  <si>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</si>
  <si>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</si>
  <si>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</si>
  <si>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</si>
  <si>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</si>
  <si>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</si>
  <si>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</si>
  <si>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</si>
  <si>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</si>
  <si>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</si>
  <si>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</si>
  <si>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</si>
  <si>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</si>
  <si>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</si>
  <si>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</si>
  <si>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</si>
  <si>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</si>
  <si>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</si>
  <si>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</si>
  <si>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</si>
  <si>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</si>
  <si>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</si>
  <si>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</si>
  <si>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</si>
  <si>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</si>
  <si>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</si>
  <si>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</si>
  <si>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</si>
  <si>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</si>
  <si>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</si>
  <si>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</si>
  <si>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</si>
  <si>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</si>
  <si>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</si>
  <si>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</si>
  <si>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</si>
  <si>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</si>
  <si>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</si>
  <si>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</si>
  <si>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</si>
  <si>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</si>
  <si>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</si>
  <si>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</si>
  <si>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</si>
  <si>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</si>
  <si>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</si>
  <si>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</si>
  <si>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</si>
  <si>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</si>
  <si>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</si>
  <si>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</si>
  <si>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</si>
  <si>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</si>
  <si>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</si>
  <si>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</si>
  <si>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</si>
  <si>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</si>
  <si>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</si>
  <si>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</si>
  <si>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</si>
  <si>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</si>
  <si>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</si>
  <si>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</si>
  <si>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</si>
  <si>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</si>
  <si>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</si>
  <si>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</si>
  <si>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</si>
  <si>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</si>
  <si>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</si>
  <si>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</si>
  <si>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</si>
  <si>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</si>
  <si>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</si>
  <si>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</si>
  <si>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</si>
  <si>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</si>
  <si>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</si>
  <si>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</si>
  <si>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</si>
  <si>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</si>
  <si>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</si>
  <si>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</si>
  <si>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</si>
  <si>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</si>
  <si>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</si>
  <si>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</si>
  <si>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</si>
  <si>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</si>
  <si>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</si>
  <si>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</si>
  <si>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</si>
  <si>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</si>
  <si>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</si>
  <si>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</si>
  <si>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</si>
  <si>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</si>
  <si>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</si>
  <si>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</si>
  <si>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</si>
  <si>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</si>
  <si>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</si>
  <si>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</si>
  <si>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</si>
  <si>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</si>
  <si>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</si>
  <si>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</si>
  <si>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</si>
  <si>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</si>
  <si>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</si>
  <si>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</si>
  <si>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</si>
  <si>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</si>
  <si>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</si>
  <si>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</si>
  <si>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</si>
  <si>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</si>
  <si>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</si>
  <si>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</si>
  <si>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</si>
  <si>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</si>
  <si>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</si>
  <si>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</si>
  <si>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</si>
  <si>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</si>
  <si>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</si>
  <si>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</si>
  <si>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</si>
  <si>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</si>
  <si>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</si>
  <si>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</si>
  <si>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</si>
  <si>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</si>
  <si>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</si>
  <si>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</si>
  <si>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</si>
  <si>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</si>
  <si>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</si>
  <si>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</si>
  <si>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</si>
  <si>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</si>
  <si>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</si>
  <si>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</si>
  <si>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</si>
  <si>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</si>
  <si>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</si>
  <si>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</si>
  <si>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</si>
  <si>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</si>
  <si>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</si>
  <si>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</si>
  <si>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</si>
  <si>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</si>
  <si>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</si>
  <si>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</si>
  <si>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</si>
  <si>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</si>
  <si>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</si>
  <si>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</si>
  <si>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</si>
  <si>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</si>
  <si>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</si>
  <si>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</si>
  <si>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</si>
  <si>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</si>
  <si>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</si>
  <si>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</si>
  <si>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</si>
  <si>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</si>
  <si>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</si>
  <si>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</si>
  <si>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</si>
  <si>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</si>
  <si>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</si>
  <si>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</si>
  <si>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</si>
  <si>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</si>
  <si>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</si>
  <si>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</si>
  <si>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</si>
  <si>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</si>
  <si>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</si>
  <si>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</si>
  <si>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</si>
  <si>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</si>
  <si>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</si>
  <si>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</si>
  <si>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</si>
  <si>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</si>
  <si>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</si>
  <si>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</si>
  <si>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</si>
  <si>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</si>
  <si>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</si>
  <si>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</si>
  <si>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</si>
  <si>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</si>
  <si>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</si>
  <si>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</si>
  <si>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</si>
  <si>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</si>
  <si>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</si>
  <si>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</si>
  <si>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</si>
  <si>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</si>
  <si>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</si>
  <si>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</si>
  <si>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</si>
  <si>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</si>
  <si>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</si>
  <si>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</si>
  <si>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</si>
  <si>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</si>
  <si>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</si>
  <si>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</si>
  <si>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</si>
  <si>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</si>
  <si>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</si>
  <si>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</si>
  <si>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</si>
  <si>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</si>
  <si>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</si>
  <si>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</si>
  <si>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</si>
  <si>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</si>
  <si>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</si>
  <si>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</si>
  <si>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</si>
  <si>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</si>
  <si>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</si>
  <si>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</si>
  <si>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</si>
  <si>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</si>
  <si>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</si>
  <si>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</si>
  <si>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</si>
  <si>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</si>
  <si>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</si>
  <si>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</si>
  <si>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</si>
  <si>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</si>
  <si>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</si>
  <si>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</si>
  <si>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</si>
  <si>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</si>
  <si>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</si>
  <si>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</si>
  <si>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</si>
  <si>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</si>
  <si>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</si>
  <si>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</si>
  <si>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</si>
  <si>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</si>
  <si>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</si>
  <si>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</si>
  <si>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</si>
  <si>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</si>
  <si>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</si>
  <si>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</si>
  <si>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</si>
  <si>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</si>
  <si>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</si>
  <si>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</si>
  <si>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</si>
  <si>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</si>
  <si>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</si>
  <si>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</si>
  <si>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</si>
  <si>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</si>
  <si>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</si>
  <si>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</si>
  <si>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</si>
  <si>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</si>
  <si>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</si>
  <si>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</si>
  <si>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</si>
  <si>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</si>
  <si>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</si>
  <si>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</si>
  <si>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</si>
  <si>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</si>
  <si>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</si>
  <si>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</si>
  <si>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</si>
  <si>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</si>
  <si>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</si>
  <si>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</si>
  <si>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</si>
  <si>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</si>
  <si>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</si>
  <si>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</si>
  <si>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</si>
  <si>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</si>
  <si>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</si>
  <si>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</si>
  <si>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</si>
  <si>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</si>
  <si>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</si>
  <si>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</si>
  <si>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</si>
  <si>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</si>
  <si>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</si>
  <si>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</si>
  <si>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</si>
  <si>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</si>
  <si>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</si>
  <si>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</si>
  <si>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</si>
  <si>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</si>
  <si>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</si>
  <si>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</si>
  <si>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</si>
  <si>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</si>
  <si>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</si>
  <si>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</si>
  <si>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</si>
  <si>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</si>
  <si>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</si>
  <si>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</si>
  <si>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</si>
  <si>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</si>
  <si>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</si>
  <si>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</si>
  <si>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</si>
  <si>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</si>
  <si>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</si>
  <si>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</si>
  <si>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</si>
  <si>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</si>
  <si>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</si>
  <si>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</si>
  <si>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</si>
  <si>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</si>
  <si>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</si>
  <si>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</si>
  <si>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</si>
  <si>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</si>
  <si>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</si>
  <si>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</si>
  <si>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</si>
  <si>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</si>
  <si>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</si>
  <si>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</si>
  <si>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</si>
  <si>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</si>
  <si>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</si>
  <si>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</si>
  <si>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</si>
  <si>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</si>
  <si>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</si>
  <si>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</si>
  <si>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</si>
  <si>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</si>
  <si>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</si>
  <si>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</si>
  <si>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</si>
  <si>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</si>
  <si>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Processing</t>
  </si>
  <si>
    <t>Rejected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</si>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</sst>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7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0" fillId="0" borderId="34" xfId="0" applyFont="1" applyBorder="1" applyAlignment="1"/>
  </cellXfs>
  <cellStyles count="17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82.001464120367" createdVersion="7" refreshedVersion="7" minRefreshableVersion="3" recordCount="3634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634"/>
    </cacheField>
    <cacheField name="Forecast?" numFmtId="0">
      <sharedItems/>
    </cacheField>
    <cacheField name="Ticket" numFmtId="0">
      <sharedItems containsBlank="1" count="202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5">
        <s v="ON TM1"/>
        <s v="RETURNED TO ORIGINAL NODE"/>
        <s v="Cancelled"/>
        <m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34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s v="Done for 1000"/>
    <m/>
    <s v="Anna Glab"/>
  </r>
  <r>
    <n v="1619"/>
    <s v="F2"/>
    <x v="66"/>
    <s v="H000005110"/>
    <s v="Field Force Fert"/>
    <s v="H000004951"/>
    <s v="New"/>
    <x v="0"/>
    <x v="0"/>
    <s v="HC"/>
    <s v="Done for 1000"/>
    <m/>
    <s v="Anna Glab"/>
  </r>
  <r>
    <n v="1620"/>
    <s v="F2"/>
    <x v="67"/>
    <s v="H000004389"/>
    <s v="CN - RT ISS MKT Pimi"/>
    <s v="H000005100"/>
    <s v="Move"/>
    <x v="0"/>
    <x v="0"/>
    <s v="HC"/>
    <s v="Done for 1000"/>
    <b v="1"/>
    <s v="John Poulie Borromeo"/>
  </r>
  <r>
    <n v="1621"/>
    <s v="F2"/>
    <x v="67"/>
    <s v="H000004390"/>
    <s v="CN - RT Sales Promotion Pimi"/>
    <s v="H000005099"/>
    <s v="Move"/>
    <x v="0"/>
    <x v="0"/>
    <s v="HC"/>
    <s v="Done for 1000"/>
    <b v="1"/>
    <s v="John Poulie Borromeo"/>
  </r>
  <r>
    <n v="1622"/>
    <s v="F2"/>
    <x v="67"/>
    <s v="H000005107"/>
    <m/>
    <s v="O000000009"/>
    <s v="Remove"/>
    <x v="0"/>
    <x v="0"/>
    <s v="HC"/>
    <s v="Done for 1000"/>
    <b v="1"/>
    <s v="John Poulie Borromeo"/>
  </r>
  <r>
    <n v="1623"/>
    <s v="F2"/>
    <x v="67"/>
    <s v="H000005108"/>
    <m/>
    <s v="O000000009"/>
    <s v="Remove"/>
    <x v="0"/>
    <x v="0"/>
    <s v="HC"/>
    <s v="Done for 1000"/>
    <b v="1"/>
    <s v="John Poulie Borromeo"/>
  </r>
  <r>
    <n v="1624"/>
    <s v="F2"/>
    <x v="68"/>
    <s v="H000005111"/>
    <s v="Specialty Care"/>
    <s v="H000004956"/>
    <s v="New"/>
    <x v="0"/>
    <x v="0"/>
    <s v="HC"/>
    <s v="Done for 1000"/>
    <b v="1"/>
    <s v="Henry Jr Ifurung"/>
  </r>
  <r>
    <n v="1625"/>
    <s v="F2"/>
    <x v="68"/>
    <s v="H000005112"/>
    <s v="Fertility and Endocrinology"/>
    <s v="H000004956"/>
    <s v="New"/>
    <x v="0"/>
    <x v="0"/>
    <s v="HC"/>
    <s v="Done for 1000"/>
    <b v="1"/>
    <s v="Henry Jr Ifurung"/>
  </r>
  <r>
    <n v="1626"/>
    <s v="F2"/>
    <x v="68"/>
    <s v="H000005113"/>
    <s v="New Product Planning (NPP)"/>
    <s v="H000004956"/>
    <s v="New"/>
    <x v="0"/>
    <x v="0"/>
    <s v="HC"/>
    <s v="Done for 1000"/>
    <b v="1"/>
    <s v="Henry Jr Ifurung"/>
  </r>
  <r>
    <n v="1627"/>
    <s v="F2"/>
    <x v="68"/>
    <s v="H000000175"/>
    <s v="GBF Cardiometabolic"/>
    <m/>
    <s v="Rename"/>
    <x v="0"/>
    <x v="0"/>
    <s v="HC"/>
    <s v="Done for 1000"/>
    <m/>
    <s v="Henry Jr Ifurung"/>
  </r>
  <r>
    <n v="1628"/>
    <s v="F2"/>
    <x v="68"/>
    <s v="H000000454"/>
    <s v="Global Commercial Excellence (GCE)"/>
    <m/>
    <s v="Rename"/>
    <x v="0"/>
    <x v="0"/>
    <s v="HC"/>
    <s v="Done for 1000"/>
    <m/>
    <s v="Henry Jr Ifurung"/>
  </r>
  <r>
    <n v="1629"/>
    <s v="F2"/>
    <x v="68"/>
    <s v="H000000162"/>
    <m/>
    <s v="H000005111"/>
    <s v="Move"/>
    <x v="0"/>
    <x v="0"/>
    <s v="HC"/>
    <s v="Done for 1000"/>
    <b v="1"/>
    <s v="Henry Jr Ifurung"/>
  </r>
  <r>
    <n v="1630"/>
    <s v="F2"/>
    <x v="68"/>
    <s v="H000000163"/>
    <m/>
    <s v="H000005111"/>
    <s v="Move"/>
    <x v="0"/>
    <x v="0"/>
    <s v="HC"/>
    <s v="Done for 1000"/>
    <b v="1"/>
    <s v="Henry Jr Ifurung"/>
  </r>
  <r>
    <n v="1631"/>
    <s v="F2"/>
    <x v="68"/>
    <s v="H000000176"/>
    <m/>
    <s v="H000005112"/>
    <s v="Move"/>
    <x v="0"/>
    <x v="0"/>
    <s v="HC"/>
    <s v="Done for 1000"/>
    <b v="1"/>
    <s v="Henry Jr Ifurung"/>
  </r>
  <r>
    <n v="1632"/>
    <s v="F2"/>
    <x v="68"/>
    <s v="H000002267"/>
    <m/>
    <s v="H000005112"/>
    <s v="Move"/>
    <x v="0"/>
    <x v="0"/>
    <s v="HC"/>
    <s v="Done for 1000"/>
    <b v="1"/>
    <s v="Henry Jr Ifurung"/>
  </r>
  <r>
    <n v="1633"/>
    <s v="F2"/>
    <x v="68"/>
    <s v="H000004345"/>
    <m/>
    <s v="H000005113"/>
    <s v="Move"/>
    <x v="0"/>
    <x v="0"/>
    <s v="HC"/>
    <s v="Done for 1000"/>
    <b v="1"/>
    <s v="Henry Jr Ifurung"/>
  </r>
  <r>
    <n v="1634"/>
    <s v="F2"/>
    <x v="68"/>
    <s v="H000004385"/>
    <m/>
    <s v="H000004956"/>
    <s v="Move"/>
    <x v="0"/>
    <x v="0"/>
    <s v="HC"/>
    <s v="Done for 1000"/>
    <b v="1"/>
    <s v="Henry Jr Ifurung"/>
  </r>
  <r>
    <n v="1635"/>
    <s v="F2"/>
    <x v="68"/>
    <s v="H000000164"/>
    <m/>
    <s v="H000000000"/>
    <s v="Move"/>
    <x v="0"/>
    <x v="0"/>
    <s v="HC"/>
    <s v="Done for 1000"/>
    <b v="1"/>
    <s v="Henry Jr Ifurung"/>
  </r>
  <r>
    <n v="1636"/>
    <s v="F2"/>
    <x v="69"/>
    <s v="H000005014"/>
    <s v="RD-O Global Clinical Development"/>
    <s v="H000000975"/>
    <s v="Rename/Move"/>
    <x v="0"/>
    <x v="0"/>
    <s v="MGF"/>
    <s v="Done for 1000"/>
    <b v="1"/>
    <s v="Erjo Miguel Tagle"/>
  </r>
  <r>
    <n v="1637"/>
    <s v="F2"/>
    <x v="69"/>
    <s v="H000005015"/>
    <s v="RD-P Program Strategy and Leadership"/>
    <s v="H000000975"/>
    <s v="Rename/Move"/>
    <x v="0"/>
    <x v="0"/>
    <s v="MGF"/>
    <s v="Done for 1000"/>
    <b v="1"/>
    <s v="Erjo Miguel Tagle"/>
  </r>
  <r>
    <n v="1638"/>
    <s v="F2"/>
    <x v="70"/>
    <s v="P000001487"/>
    <s v="EL-PS Surface Solutions Sales &amp; COGs"/>
    <s v="P000000024"/>
    <s v="New"/>
    <x v="0"/>
    <x v="0"/>
    <s v="EL"/>
    <s v="Done for 1000/Done for KR00"/>
    <b v="1"/>
    <s v="Roselle Delos Angeles"/>
  </r>
  <r>
    <n v="1639"/>
    <s v="F2"/>
    <x v="70"/>
    <s v="P000001488"/>
    <s v="EL Group Allocations"/>
    <s v="P000000962"/>
    <s v="New"/>
    <x v="0"/>
    <x v="0"/>
    <s v="EL"/>
    <s v="Done for 1000/Done for KR00"/>
    <b v="1"/>
    <s v="Roselle Delos Angeles"/>
  </r>
  <r>
    <n v="1640"/>
    <s v="F2"/>
    <x v="70"/>
    <s v="P000001489"/>
    <s v="EL Vacation Accruals"/>
    <s v="P000000962"/>
    <s v="New"/>
    <x v="0"/>
    <x v="0"/>
    <s v="EL"/>
    <s v="Done for 1000/Done for KR00"/>
    <b v="1"/>
    <s v="Roselle Delos Angeles"/>
  </r>
  <r>
    <n v="1641"/>
    <s v="F2"/>
    <x v="70"/>
    <s v="P000001490"/>
    <s v="EL-ND Technical Objects"/>
    <s v="P000000554"/>
    <s v="New"/>
    <x v="0"/>
    <x v="0"/>
    <s v="EL"/>
    <s v="Done for 1000/Done for KR00"/>
    <b v="1"/>
    <s v="Roselle Delos Angeles"/>
  </r>
  <r>
    <n v="1642"/>
    <s v="F2"/>
    <x v="70"/>
    <s v="P000001491"/>
    <s v="EL-TF Technical Objects"/>
    <s v="P000000641"/>
    <s v="New"/>
    <x v="0"/>
    <x v="0"/>
    <s v="EL"/>
    <s v="Done for 1000/Done for KR00"/>
    <b v="1"/>
    <s v="Roselle Delos Angeles"/>
  </r>
  <r>
    <n v="1643"/>
    <s v="F2"/>
    <x v="70"/>
    <s v="P000001492"/>
    <s v="EL-SG Technical Objects"/>
    <s v="P000000644"/>
    <s v="New"/>
    <x v="0"/>
    <x v="0"/>
    <s v="EL"/>
    <s v="Done for 1000/Done for KR00"/>
    <b v="1"/>
    <s v="Roselle Delos Angeles"/>
  </r>
  <r>
    <n v="1644"/>
    <s v="F2"/>
    <x v="70"/>
    <s v="P000001493"/>
    <s v="EL Technical Objects"/>
    <s v="P000000962"/>
    <s v="New"/>
    <x v="0"/>
    <x v="0"/>
    <s v="EL"/>
    <s v="Done for 1000/Done for KR00"/>
    <b v="1"/>
    <s v="Roselle Delos Angeles"/>
  </r>
  <r>
    <n v="1645"/>
    <s v="F2"/>
    <x v="70"/>
    <s v="P000001494"/>
    <s v="EL-FO-P Technical Objects"/>
    <s v="P000000642"/>
    <s v="New"/>
    <x v="0"/>
    <x v="0"/>
    <s v="EL"/>
    <s v="Done for 1000/Done for KR00"/>
    <b v="1"/>
    <s v="Roselle Delos Angeles"/>
  </r>
  <r>
    <n v="1646"/>
    <s v="F2"/>
    <x v="70"/>
    <s v="P000001495"/>
    <s v="EL-FO-A Technical Objects"/>
    <s v="P000000643"/>
    <s v="New"/>
    <x v="0"/>
    <x v="0"/>
    <s v="EL"/>
    <s v="Done for 1000/Done for KR00"/>
    <b v="1"/>
    <s v="Roselle Delos Angeles"/>
  </r>
  <r>
    <n v="1647"/>
    <s v="F2"/>
    <x v="70"/>
    <s v="P000001496"/>
    <s v="EL-OP Litigations"/>
    <s v="P000000002"/>
    <s v="New"/>
    <x v="0"/>
    <x v="0"/>
    <s v="EL"/>
    <s v="Done for 1000/Done for KR00"/>
    <b v="1"/>
    <s v="Roselle Delos Angeles"/>
  </r>
  <r>
    <n v="1648"/>
    <s v="F2"/>
    <x v="70"/>
    <s v="P000001497"/>
    <s v="EL-OP Capital Gains &amp; Losses"/>
    <s v="P000000002"/>
    <s v="New"/>
    <x v="0"/>
    <x v="0"/>
    <s v="EL"/>
    <s v="Done for 1000/Done for KR00"/>
    <b v="1"/>
    <s v="Roselle Delos Angeles"/>
  </r>
  <r>
    <n v="1649"/>
    <s v="F2"/>
    <x v="70"/>
    <s v="P000001498"/>
    <s v="EL-OP OKB9 Cost Center"/>
    <s v="P000000002"/>
    <s v="New"/>
    <x v="0"/>
    <x v="0"/>
    <s v="EL"/>
    <s v="Done for 1000/Done for KR00"/>
    <b v="1"/>
    <s v="Roselle Delos Angeles"/>
  </r>
  <r>
    <n v="1650"/>
    <s v="F2"/>
    <x v="70"/>
    <s v="P000001499"/>
    <s v="EL-OP Cross-Charges"/>
    <s v="P000000002"/>
    <s v="New"/>
    <x v="0"/>
    <x v="0"/>
    <s v="EL"/>
    <s v="Done for 1000/Done for KR00"/>
    <b v="1"/>
    <s v="Roselle Delos Angeles"/>
  </r>
  <r>
    <n v="1651"/>
    <s v="F2"/>
    <x v="70"/>
    <s v="P000001500"/>
    <s v="EL-PS Intangibles"/>
    <s v="P000000041"/>
    <s v="New"/>
    <x v="0"/>
    <x v="0"/>
    <s v="EL"/>
    <s v="Done for 1000/Done for KR00"/>
    <b v="1"/>
    <s v="Roselle Delos Angeles"/>
  </r>
  <r>
    <n v="1652"/>
    <s v="F2"/>
    <x v="70"/>
    <s v="P000001501"/>
    <s v="EL-PS Litigations"/>
    <s v="P000000041"/>
    <s v="New"/>
    <x v="0"/>
    <x v="0"/>
    <s v="EL"/>
    <s v="Done for 1000/Done for KR00"/>
    <b v="1"/>
    <s v="Roselle Delos Angeles"/>
  </r>
  <r>
    <n v="1653"/>
    <s v="F2"/>
    <x v="70"/>
    <s v="P000001502"/>
    <s v="EL-PS Capital Gains &amp; Losses"/>
    <s v="P000000041"/>
    <s v="New"/>
    <x v="0"/>
    <x v="0"/>
    <s v="EL"/>
    <s v="Done for 1000/Done for KR00"/>
    <b v="1"/>
    <s v="Roselle Delos Angeles"/>
  </r>
  <r>
    <n v="1654"/>
    <s v="F2"/>
    <x v="70"/>
    <s v="P000001503"/>
    <s v="EL-PS OKB9 Cost Center"/>
    <s v="P000000041"/>
    <s v="New"/>
    <x v="0"/>
    <x v="0"/>
    <s v="EL"/>
    <s v="Done for 1000/Done for KR00"/>
    <b v="1"/>
    <s v="Roselle Delos Angeles"/>
  </r>
  <r>
    <n v="1655"/>
    <s v="F2"/>
    <x v="70"/>
    <s v="P000001504"/>
    <s v="EL-ND Intangibles"/>
    <s v="P000001490"/>
    <s v="New"/>
    <x v="0"/>
    <x v="0"/>
    <s v="EL"/>
    <s v="Done for 1000/Done for KR00"/>
    <b v="1"/>
    <s v="Roselle Delos Angeles"/>
  </r>
  <r>
    <n v="1656"/>
    <s v="F2"/>
    <x v="70"/>
    <s v="P000001505"/>
    <s v="EL-ND Litigations"/>
    <s v="P000001490"/>
    <s v="New"/>
    <x v="0"/>
    <x v="0"/>
    <s v="EL"/>
    <s v="Done for 1000/Done for KR00"/>
    <b v="1"/>
    <s v="Roselle Delos Angeles"/>
  </r>
  <r>
    <n v="1657"/>
    <s v="F2"/>
    <x v="70"/>
    <s v="P000001506"/>
    <s v="EL-ND Capital Gains &amp; Losses"/>
    <s v="P000001490"/>
    <s v="New"/>
    <x v="0"/>
    <x v="0"/>
    <s v="EL"/>
    <s v="Done for 1000/Done for KR00"/>
    <b v="1"/>
    <s v="Roselle Delos Angeles"/>
  </r>
  <r>
    <n v="1658"/>
    <s v="F2"/>
    <x v="70"/>
    <s v="P000001507"/>
    <s v="EL-ND OKB9 Cost Center"/>
    <s v="P000001490"/>
    <s v="New"/>
    <x v="0"/>
    <x v="0"/>
    <s v="EL"/>
    <s v="Done for 1000/Done for KR00"/>
    <b v="1"/>
    <s v="Roselle Delos Angeles"/>
  </r>
  <r>
    <n v="1659"/>
    <s v="F2"/>
    <x v="70"/>
    <s v="P000001508"/>
    <s v="EL-ND Cross-Charges"/>
    <s v="P000001490"/>
    <s v="New"/>
    <x v="0"/>
    <x v="0"/>
    <s v="EL"/>
    <s v="Done for 1000/Done for KR00"/>
    <b v="1"/>
    <s v="Roselle Delos Angeles"/>
  </r>
  <r>
    <n v="1660"/>
    <s v="F2"/>
    <x v="70"/>
    <s v="P000001509"/>
    <s v="EL-TF Intangibles"/>
    <s v="P000001491"/>
    <s v="New"/>
    <x v="0"/>
    <x v="0"/>
    <s v="EL"/>
    <s v="Done for 1000/Done for KR00"/>
    <b v="1"/>
    <s v="Roselle Delos Angeles"/>
  </r>
  <r>
    <n v="1661"/>
    <s v="F2"/>
    <x v="70"/>
    <s v="P000001510"/>
    <s v="EL-TF Litigations"/>
    <s v="P000001491"/>
    <s v="New"/>
    <x v="0"/>
    <x v="0"/>
    <s v="EL"/>
    <s v="Done for 1000/Done for KR00"/>
    <b v="1"/>
    <s v="Roselle Delos Angeles"/>
  </r>
  <r>
    <n v="1662"/>
    <s v="F2"/>
    <x v="70"/>
    <s v="P000001511"/>
    <s v="EL-TF Capital Gains &amp; Losses"/>
    <s v="P000001491"/>
    <s v="New"/>
    <x v="0"/>
    <x v="0"/>
    <s v="EL"/>
    <s v="Done for 1000/Done for KR00"/>
    <b v="1"/>
    <s v="Roselle Delos Angeles"/>
  </r>
  <r>
    <n v="1663"/>
    <s v="F2"/>
    <x v="70"/>
    <s v="P000001512"/>
    <s v="EL-TF OKB9 Cost Center"/>
    <s v="P000001491"/>
    <s v="New"/>
    <x v="0"/>
    <x v="0"/>
    <s v="EL"/>
    <s v="Done for 1000/Done for KR00"/>
    <b v="1"/>
    <s v="Roselle Delos Angeles"/>
  </r>
  <r>
    <n v="1664"/>
    <s v="F2"/>
    <x v="70"/>
    <s v="P000001513"/>
    <s v="EL-TF Cross-Charges"/>
    <s v="P000001491"/>
    <s v="New"/>
    <x v="0"/>
    <x v="0"/>
    <s v="EL"/>
    <s v="Done for 1000/Done for KR00"/>
    <b v="1"/>
    <s v="Roselle Delos Angeles"/>
  </r>
  <r>
    <n v="1665"/>
    <s v="F2"/>
    <x v="70"/>
    <s v="P000001514"/>
    <s v="EL-SG Intangibles"/>
    <s v="P000001492"/>
    <s v="New"/>
    <x v="0"/>
    <x v="0"/>
    <s v="EL"/>
    <s v="Done for 1000/Done for KR00"/>
    <b v="1"/>
    <s v="Roselle Delos Angeles"/>
  </r>
  <r>
    <n v="1666"/>
    <s v="F2"/>
    <x v="70"/>
    <s v="P000001515"/>
    <s v="EL-SG Litigations"/>
    <s v="P000001492"/>
    <s v="New"/>
    <x v="0"/>
    <x v="0"/>
    <s v="EL"/>
    <s v="Done for 1000/Done for KR00"/>
    <b v="1"/>
    <s v="Roselle Delos Angeles"/>
  </r>
  <r>
    <n v="1667"/>
    <s v="F2"/>
    <x v="70"/>
    <s v="P000001516"/>
    <s v="EL-SG Capital Gains &amp; Losses"/>
    <s v="P000001492"/>
    <s v="New"/>
    <x v="0"/>
    <x v="0"/>
    <s v="EL"/>
    <s v="Done for 1000/Done for KR00"/>
    <b v="1"/>
    <s v="Roselle Delos Angeles"/>
  </r>
  <r>
    <n v="1668"/>
    <s v="F2"/>
    <x v="70"/>
    <s v="P000001517"/>
    <s v="EL-SG OKB9 Cost Center"/>
    <s v="P000001492"/>
    <s v="New"/>
    <x v="0"/>
    <x v="0"/>
    <s v="EL"/>
    <s v="Done for 1000/Done for KR00"/>
    <b v="1"/>
    <s v="Roselle Delos Angeles"/>
  </r>
  <r>
    <n v="1669"/>
    <s v="F2"/>
    <x v="70"/>
    <s v="P000001518"/>
    <s v="EL-SG Cross-Charges"/>
    <s v="P000001492"/>
    <s v="New"/>
    <x v="0"/>
    <x v="0"/>
    <s v="EL"/>
    <s v="Done for 1000/Done for KR00"/>
    <b v="1"/>
    <s v="Roselle Delos Angeles"/>
  </r>
  <r>
    <n v="1670"/>
    <s v="F2"/>
    <x v="70"/>
    <s v="P000001519"/>
    <s v="EL Intangibles"/>
    <s v="P000001493"/>
    <s v="New"/>
    <x v="0"/>
    <x v="0"/>
    <s v="EL"/>
    <s v="Done for 1000/Done for KR00"/>
    <b v="1"/>
    <s v="Roselle Delos Angeles"/>
  </r>
  <r>
    <n v="1671"/>
    <s v="F2"/>
    <x v="70"/>
    <s v="P000001520"/>
    <s v="EL Technical Other"/>
    <s v="P000001493"/>
    <s v="New"/>
    <x v="0"/>
    <x v="0"/>
    <s v="EL"/>
    <s v="Done for 1000/Done for KR00"/>
    <b v="1"/>
    <s v="Roselle Delos Angeles"/>
  </r>
  <r>
    <n v="1672"/>
    <s v="F2"/>
    <x v="70"/>
    <s v="P000001521"/>
    <s v="EL Capital Gains &amp; Losses"/>
    <s v="P000001493"/>
    <s v="New"/>
    <x v="0"/>
    <x v="0"/>
    <s v="EL"/>
    <s v="Done for 1000/Done for KR00"/>
    <b v="1"/>
    <s v="Roselle Delos Angeles"/>
  </r>
  <r>
    <n v="1673"/>
    <s v="F2"/>
    <x v="70"/>
    <s v="P000001522"/>
    <s v="EL OKB9 Cost Center"/>
    <s v="P000001493"/>
    <s v="New"/>
    <x v="0"/>
    <x v="0"/>
    <s v="EL"/>
    <s v="Done for 1000/Done for KR00"/>
    <b v="1"/>
    <s v="Roselle Delos Angeles"/>
  </r>
  <r>
    <n v="1674"/>
    <s v="F2"/>
    <x v="70"/>
    <s v="P000001523"/>
    <s v="EL Cross-Charges"/>
    <s v="P000001493"/>
    <s v="New"/>
    <x v="0"/>
    <x v="0"/>
    <s v="EL"/>
    <s v="Done for 1000/Done for KR00"/>
    <b v="1"/>
    <s v="Roselle Delos Angeles"/>
  </r>
  <r>
    <n v="1675"/>
    <s v="F2"/>
    <x v="70"/>
    <s v="P000001524"/>
    <s v="EL-FO-P Intangibles"/>
    <s v="P000001494"/>
    <s v="New"/>
    <x v="0"/>
    <x v="0"/>
    <s v="EL"/>
    <s v="Done for 1000/Done for KR00"/>
    <b v="1"/>
    <s v="Roselle Delos Angeles"/>
  </r>
  <r>
    <n v="1676"/>
    <s v="F2"/>
    <x v="70"/>
    <s v="P000001525"/>
    <s v="EL-FO-P Litigations"/>
    <s v="P000001494"/>
    <s v="New"/>
    <x v="0"/>
    <x v="0"/>
    <s v="EL"/>
    <s v="Done for 1000/Done for KR00"/>
    <b v="1"/>
    <s v="Roselle Delos Angeles"/>
  </r>
  <r>
    <n v="1677"/>
    <s v="F2"/>
    <x v="70"/>
    <s v="P000001526"/>
    <s v="EL-FO-P Capital Gains &amp; Losses"/>
    <s v="P000001494"/>
    <s v="New"/>
    <x v="0"/>
    <x v="0"/>
    <s v="EL"/>
    <s v="Done for 1000/Done for KR00"/>
    <b v="1"/>
    <s v="Roselle Delos Angeles"/>
  </r>
  <r>
    <n v="1678"/>
    <s v="F2"/>
    <x v="70"/>
    <s v="P000001527"/>
    <s v="EL-FO-P OKB9 Cost Center"/>
    <s v="P000001494"/>
    <s v="New"/>
    <x v="0"/>
    <x v="0"/>
    <s v="EL"/>
    <s v="Done for 1000/Done for KR00"/>
    <b v="1"/>
    <s v="Roselle Delos Angeles"/>
  </r>
  <r>
    <n v="1679"/>
    <s v="F2"/>
    <x v="70"/>
    <s v="P000001528"/>
    <s v="EL-FO-P Cross-Charges"/>
    <s v="P000001494"/>
    <s v="New"/>
    <x v="0"/>
    <x v="0"/>
    <s v="EL"/>
    <s v="Done for 1000/Done for KR00"/>
    <b v="1"/>
    <s v="Roselle Delos Angeles"/>
  </r>
  <r>
    <n v="1680"/>
    <s v="F2"/>
    <x v="70"/>
    <s v="P000001529"/>
    <s v="EL-FO-A Intangibles"/>
    <s v="P000001495"/>
    <s v="New"/>
    <x v="0"/>
    <x v="0"/>
    <s v="EL"/>
    <s v="Done for 1000/Done for KR00"/>
    <b v="1"/>
    <s v="Roselle Delos Angeles"/>
  </r>
  <r>
    <n v="1681"/>
    <s v="F2"/>
    <x v="70"/>
    <s v="P000001530"/>
    <s v="EL-FO-A Litigations"/>
    <s v="P000001495"/>
    <s v="New"/>
    <x v="0"/>
    <x v="0"/>
    <s v="EL"/>
    <s v="Done for 1000/Done for KR00"/>
    <b v="1"/>
    <s v="Roselle Delos Angeles"/>
  </r>
  <r>
    <n v="1682"/>
    <s v="F2"/>
    <x v="70"/>
    <s v="P000001531"/>
    <s v="EL-FO-A Capital Gains &amp; Losses"/>
    <s v="P000001495"/>
    <s v="New"/>
    <x v="0"/>
    <x v="0"/>
    <s v="EL"/>
    <s v="Done for 1000/Done for KR00"/>
    <b v="1"/>
    <s v="Roselle Delos Angeles"/>
  </r>
  <r>
    <n v="1683"/>
    <s v="F2"/>
    <x v="70"/>
    <s v="P000001532"/>
    <s v="EL-FO-A OKB9 Cost Center"/>
    <s v="P000001495"/>
    <s v="New"/>
    <x v="0"/>
    <x v="0"/>
    <s v="EL"/>
    <s v="Done for 1000/Done for KR00"/>
    <b v="1"/>
    <s v="Roselle Delos Angeles"/>
  </r>
  <r>
    <n v="1684"/>
    <s v="F2"/>
    <x v="70"/>
    <s v="P000001533"/>
    <s v="EL-FO-A Cross-Charges"/>
    <s v="P000001495"/>
    <s v="New"/>
    <x v="0"/>
    <x v="0"/>
    <s v="EL"/>
    <s v="Done for 1000/Done for KR00"/>
    <b v="1"/>
    <s v="Roselle Delos Angeles"/>
  </r>
  <r>
    <n v="1685"/>
    <s v="F2"/>
    <x v="70"/>
    <s v="P000001534"/>
    <s v="EL Forecast for HC knots"/>
    <s v="P000000965"/>
    <s v="New"/>
    <x v="0"/>
    <x v="0"/>
    <s v="EL"/>
    <s v="Done for 1000/Done for KR00"/>
    <b v="1"/>
    <s v="Roselle Delos Angeles"/>
  </r>
  <r>
    <n v="1686"/>
    <s v="F2"/>
    <x v="70"/>
    <s v="P000001535"/>
    <s v="EL Forecast for LS knots"/>
    <s v="P000000965"/>
    <s v="New"/>
    <x v="0"/>
    <x v="0"/>
    <s v="EL"/>
    <s v="Done for 1000/Done for KR00"/>
    <b v="1"/>
    <s v="Roselle Delos Angeles"/>
  </r>
  <r>
    <n v="1687"/>
    <s v="F2"/>
    <x v="70"/>
    <s v="P000000002"/>
    <s v="EL-OP Technical Objects"/>
    <m/>
    <s v="Rename"/>
    <x v="0"/>
    <x v="0"/>
    <s v="EL"/>
    <s v="Done for 1000/Done for KR00"/>
    <m/>
    <s v="Roselle Delos Angeles"/>
  </r>
  <r>
    <n v="1688"/>
    <s v="F2"/>
    <x v="70"/>
    <s v="P000000697"/>
    <s v="EL-OP Intangibles"/>
    <m/>
    <s v="Rename"/>
    <x v="0"/>
    <x v="0"/>
    <s v="EL"/>
    <s v="Done for 1000/Done for KR00"/>
    <m/>
    <s v="Roselle Delos Angeles"/>
  </r>
  <r>
    <n v="1689"/>
    <s v="F2"/>
    <x v="70"/>
    <s v="P000000041"/>
    <s v="EL-PS Technical Objects"/>
    <m/>
    <s v="Rename"/>
    <x v="0"/>
    <x v="0"/>
    <s v="EL"/>
    <s v="Done for 1000/Done for KR00"/>
    <m/>
    <s v="Roselle Delos Angeles"/>
  </r>
  <r>
    <n v="1690"/>
    <s v="F2"/>
    <x v="70"/>
    <s v="P000000613"/>
    <s v="EL-PS Cross-Charges"/>
    <m/>
    <s v="Rename"/>
    <x v="0"/>
    <x v="0"/>
    <s v="EL"/>
    <s v="Done for 1000/Done for KR00"/>
    <m/>
    <s v="Roselle Delos Angeles"/>
  </r>
  <r>
    <n v="1691"/>
    <s v="F2"/>
    <x v="70"/>
    <s v="P000000418"/>
    <m/>
    <s v="P000000962"/>
    <s v="Move"/>
    <x v="0"/>
    <x v="0"/>
    <s v="EL"/>
    <s v="Done for 1000/Done for KR00"/>
    <b v="1"/>
    <s v="Roselle Delos Angeles"/>
  </r>
  <r>
    <n v="1692"/>
    <s v="F2"/>
    <x v="70"/>
    <s v="P000000706"/>
    <m/>
    <s v="O000000009"/>
    <s v="Remove"/>
    <x v="0"/>
    <x v="0"/>
    <s v="EL"/>
    <s v="Done for 1000/Done for KR00"/>
    <b v="1"/>
    <s v="Roselle Delos Angeles"/>
  </r>
  <r>
    <n v="1693"/>
    <s v="F2"/>
    <x v="70"/>
    <s v="P000000707"/>
    <m/>
    <s v="O000000009"/>
    <s v="Remove"/>
    <x v="0"/>
    <x v="0"/>
    <s v="EL"/>
    <s v="Done for 1000/Done for KR00"/>
    <b v="1"/>
    <s v="Roselle Delos Angeles"/>
  </r>
  <r>
    <n v="1694"/>
    <s v="F2"/>
    <x v="70"/>
    <s v="P000001144"/>
    <m/>
    <s v="O000000009"/>
    <s v="Remove"/>
    <x v="0"/>
    <x v="0"/>
    <s v="EL"/>
    <s v="Done for 1000/Done for KR00"/>
    <b v="1"/>
    <s v="Roselle Delos Angeles"/>
  </r>
  <r>
    <n v="1695"/>
    <s v="F2"/>
    <x v="70"/>
    <s v="P000001145"/>
    <m/>
    <s v="O000000009"/>
    <s v="Remove"/>
    <x v="0"/>
    <x v="0"/>
    <s v="EL"/>
    <s v="Done for 1000/Done for KR00"/>
    <b v="1"/>
    <s v="Roselle Delos Angeles"/>
  </r>
  <r>
    <n v="1696"/>
    <s v="F2"/>
    <x v="70"/>
    <s v="P000001147"/>
    <m/>
    <s v="O000000009"/>
    <s v="Remove"/>
    <x v="0"/>
    <x v="0"/>
    <s v="EL"/>
    <s v="Done for 1000/Done for KR00"/>
    <b v="1"/>
    <s v="Roselle Delos Angeles"/>
  </r>
  <r>
    <n v="1697"/>
    <s v="F2"/>
    <x v="70"/>
    <s v="P000000708"/>
    <m/>
    <s v="O000000009"/>
    <s v="Remove"/>
    <x v="0"/>
    <x v="0"/>
    <s v="EL"/>
    <s v="Done for 1000/Done for KR00"/>
    <b v="1"/>
    <s v="Roselle Delos Angeles"/>
  </r>
  <r>
    <n v="1698"/>
    <s v="F2"/>
    <x v="70"/>
    <s v="P000000712"/>
    <m/>
    <s v="O000000009"/>
    <s v="Remove"/>
    <x v="0"/>
    <x v="0"/>
    <s v="EL"/>
    <s v="Done for 1000/Done for KR00"/>
    <b v="1"/>
    <s v="Roselle Delos Angeles"/>
  </r>
  <r>
    <n v="1699"/>
    <s v="F2"/>
    <x v="70"/>
    <s v="P000000977"/>
    <m/>
    <s v="O000000009"/>
    <s v="Remove"/>
    <x v="0"/>
    <x v="0"/>
    <s v="EL"/>
    <s v="Done for 1000/Done for KR00"/>
    <b v="1"/>
    <s v="Roselle Delos Angeles"/>
  </r>
  <r>
    <n v="1700"/>
    <s v="F2"/>
    <x v="70"/>
    <s v="P000000978"/>
    <m/>
    <s v="O000000009"/>
    <s v="Remove"/>
    <x v="0"/>
    <x v="0"/>
    <s v="EL"/>
    <s v="Done for 1000/Done for KR00"/>
    <b v="1"/>
    <s v="Roselle Delos Angeles"/>
  </r>
  <r>
    <n v="1701"/>
    <s v="F2"/>
    <x v="70"/>
    <s v="P000000979"/>
    <m/>
    <s v="O000000009"/>
    <s v="Remove"/>
    <x v="0"/>
    <x v="0"/>
    <s v="EL"/>
    <s v="Done for 1000/Done for KR00"/>
    <b v="1"/>
    <s v="Roselle Delos Angeles"/>
  </r>
  <r>
    <n v="1702"/>
    <s v="F2"/>
    <x v="70"/>
    <s v="P000001156"/>
    <m/>
    <s v="O000000009"/>
    <s v="Remove"/>
    <x v="0"/>
    <x v="0"/>
    <s v="EL"/>
    <s v="Done for 1000/Done for KR00"/>
    <b v="1"/>
    <s v="Roselle Delos Angeles"/>
  </r>
  <r>
    <n v="1703"/>
    <s v="F2"/>
    <x v="70"/>
    <s v="P000001275"/>
    <m/>
    <s v="O000000009"/>
    <s v="Remove"/>
    <x v="0"/>
    <x v="0"/>
    <s v="EL"/>
    <s v="Done for 1000/Done for KR00"/>
    <b v="1"/>
    <s v="Roselle Delos Angeles"/>
  </r>
  <r>
    <n v="1704"/>
    <s v="F2"/>
    <x v="70"/>
    <s v="P000001279"/>
    <m/>
    <s v="O000000009"/>
    <s v="Remove"/>
    <x v="0"/>
    <x v="0"/>
    <s v="EL"/>
    <s v="Done for 1000/Done for KR00"/>
    <b v="1"/>
    <s v="Roselle Delos Angeles"/>
  </r>
  <r>
    <n v="1705"/>
    <s v="F2"/>
    <x v="70"/>
    <s v="P000001294"/>
    <m/>
    <s v="O000000009"/>
    <s v="Remove"/>
    <x v="0"/>
    <x v="0"/>
    <s v="EL"/>
    <s v="Done for 1000/Done for KR00"/>
    <b v="1"/>
    <s v="Roselle Delos Angeles"/>
  </r>
  <r>
    <n v="1706"/>
    <s v="F2"/>
    <x v="70"/>
    <s v="P000001295"/>
    <m/>
    <s v="O000000009"/>
    <s v="Remove"/>
    <x v="0"/>
    <x v="0"/>
    <s v="EL"/>
    <s v="Done for 1000/Done for KR00"/>
    <b v="1"/>
    <s v="Roselle Delos Angeles"/>
  </r>
  <r>
    <n v="1707"/>
    <s v="F2"/>
    <x v="70"/>
    <s v="P000001296"/>
    <m/>
    <s v="O000000009"/>
    <s v="Remove"/>
    <x v="0"/>
    <x v="0"/>
    <s v="EL"/>
    <s v="Done for 1000/Done for KR00"/>
    <b v="1"/>
    <s v="Roselle Delos Angeles"/>
  </r>
  <r>
    <n v="1708"/>
    <s v="F2"/>
    <x v="70"/>
    <s v="P000001324"/>
    <m/>
    <s v="O000000009"/>
    <s v="Remove"/>
    <x v="0"/>
    <x v="0"/>
    <s v="EL"/>
    <s v="Done for 1000/Done for KR00"/>
    <b v="1"/>
    <s v="Roselle Delos Angeles"/>
  </r>
  <r>
    <n v="1709"/>
    <s v="F2"/>
    <x v="71"/>
    <s v="H000005114"/>
    <s v="JP-Business Unit RD"/>
    <s v="H000002442"/>
    <s v="New"/>
    <x v="0"/>
    <x v="0"/>
    <s v="HC"/>
    <s v="Done for 1000"/>
    <m/>
    <s v="Yukiko Kawamata"/>
  </r>
  <r>
    <n v="1710"/>
    <s v="F2"/>
    <x v="72"/>
    <s v="H000005115"/>
    <s v="AR - Market Access RT"/>
    <s v="H000002519"/>
    <s v="New"/>
    <x v="0"/>
    <x v="0"/>
    <s v="HC"/>
    <s v="Done for 1000"/>
    <m/>
    <s v="Maria Barreto"/>
  </r>
  <r>
    <n v="1711"/>
    <s v="F2"/>
    <x v="72"/>
    <s v="H000005116"/>
    <s v="AR - Market Access Ogsiveo&amp;Gomekli"/>
    <s v="H000005115"/>
    <s v="New"/>
    <x v="0"/>
    <x v="0"/>
    <s v="HC"/>
    <s v="Done for 1000"/>
    <m/>
    <s v="Maria Barreto"/>
  </r>
  <r>
    <n v="1712"/>
    <s v="F2"/>
    <x v="72"/>
    <s v="H000005117"/>
    <s v="AR - Market Access Ogsiveo"/>
    <s v="H000005115"/>
    <s v="New"/>
    <x v="0"/>
    <x v="0"/>
    <s v="HC"/>
    <s v="Done for 1000"/>
    <m/>
    <s v="Maria Barreto"/>
  </r>
  <r>
    <n v="1713"/>
    <s v="F2"/>
    <x v="72"/>
    <s v="H000005118"/>
    <s v="AR - Market Access Gomekli"/>
    <s v="H000005115"/>
    <s v="New"/>
    <x v="0"/>
    <x v="0"/>
    <s v="HC"/>
    <s v="Done for 1000"/>
    <m/>
    <s v="Maria Barreto"/>
  </r>
  <r>
    <n v="1714"/>
    <s v="F2"/>
    <x v="73"/>
    <s v="H000005119"/>
    <s v="Global Demand Planning Local_1022"/>
    <s v="H000000650"/>
    <s v="New"/>
    <x v="0"/>
    <x v="0"/>
    <s v="HC"/>
    <s v="Done for 1000"/>
    <m/>
    <s v="Henry Jr Ifurung"/>
  </r>
  <r>
    <n v="1715"/>
    <s v="F2"/>
    <x v="73"/>
    <s v="H000005120"/>
    <s v="Global Demand Planning Local_1023"/>
    <s v="H000000650"/>
    <s v="New"/>
    <x v="0"/>
    <x v="0"/>
    <s v="HC"/>
    <s v="Done for 1000"/>
    <m/>
    <s v="Henry Jr Ifurung"/>
  </r>
  <r>
    <n v="1716"/>
    <s v="F2"/>
    <x v="73"/>
    <s v="H000005121"/>
    <s v="Global Demand Planning Local_1024"/>
    <s v="H000000650"/>
    <s v="New"/>
    <x v="0"/>
    <x v="0"/>
    <s v="HC"/>
    <s v="Done for 1000"/>
    <m/>
    <s v="Henry Jr Ifurung"/>
  </r>
  <r>
    <n v="1717"/>
    <s v="F2"/>
    <x v="73"/>
    <s v="H000005122"/>
    <s v="Global Demand Planning Local_1025"/>
    <s v="H000000650"/>
    <s v="New"/>
    <x v="0"/>
    <x v="0"/>
    <s v="HC"/>
    <s v="Done for 1000"/>
    <m/>
    <s v="Henry Jr Ifurung"/>
  </r>
  <r>
    <n v="1718"/>
    <s v="F2"/>
    <x v="73"/>
    <s v="H000005123"/>
    <s v="Global Demand Planning Local_1028"/>
    <s v="H000000650"/>
    <s v="New"/>
    <x v="0"/>
    <x v="0"/>
    <s v="HC"/>
    <s v="Done for 1000"/>
    <m/>
    <s v="Henry Jr Ifurung"/>
  </r>
  <r>
    <n v="1719"/>
    <s v="F2"/>
    <x v="73"/>
    <s v="H000005124"/>
    <s v="Global Demand Planning Local_1030"/>
    <s v="H000000650"/>
    <s v="New"/>
    <x v="0"/>
    <x v="0"/>
    <s v="HC"/>
    <s v="Done for 1000"/>
    <m/>
    <s v="Henry Jr Ifurung"/>
  </r>
  <r>
    <n v="1720"/>
    <s v="F2"/>
    <x v="73"/>
    <s v="H000005125"/>
    <s v="Global Demand Planning Local_1032"/>
    <s v="H000000650"/>
    <s v="New"/>
    <x v="0"/>
    <x v="0"/>
    <s v="HC"/>
    <s v="Done for 1000"/>
    <m/>
    <s v="Henry Jr Ifurung"/>
  </r>
  <r>
    <n v="1721"/>
    <s v="F2"/>
    <x v="73"/>
    <s v="H000005126"/>
    <s v="Global Demand Planning Local_1034"/>
    <s v="H000000650"/>
    <s v="New"/>
    <x v="0"/>
    <x v="0"/>
    <s v="HC"/>
    <s v="Done for 1000"/>
    <m/>
    <s v="Henry Jr Ifurung"/>
  </r>
  <r>
    <n v="1722"/>
    <s v="F2"/>
    <x v="73"/>
    <s v="H000005127"/>
    <s v="Global Demand Planning Local_1035"/>
    <s v="H000000650"/>
    <s v="New"/>
    <x v="0"/>
    <x v="0"/>
    <s v="HC"/>
    <s v="Done for 1000"/>
    <m/>
    <s v="Henry Jr Ifurung"/>
  </r>
  <r>
    <n v="1723"/>
    <s v="F2"/>
    <x v="73"/>
    <s v="H000005128"/>
    <s v="Global Demand Planning Local_1042"/>
    <s v="H000000650"/>
    <s v="New"/>
    <x v="0"/>
    <x v="0"/>
    <s v="HC"/>
    <s v="Done for 1000"/>
    <m/>
    <s v="Henry Jr Ifurung"/>
  </r>
  <r>
    <n v="1724"/>
    <s v="F2"/>
    <x v="73"/>
    <s v="H000005129"/>
    <s v="Global Demand Planning Local_1044"/>
    <s v="H000000650"/>
    <s v="New"/>
    <x v="0"/>
    <x v="0"/>
    <s v="HC"/>
    <s v="Done for 1000"/>
    <m/>
    <s v="Henry Jr Ifurung"/>
  </r>
  <r>
    <n v="1725"/>
    <s v="F2"/>
    <x v="73"/>
    <s v="H000005130"/>
    <s v="Global Demand Planning Local_1047"/>
    <s v="H000000650"/>
    <s v="New"/>
    <x v="0"/>
    <x v="0"/>
    <s v="HC"/>
    <s v="Done for 1000"/>
    <m/>
    <s v="Henry Jr Ifurung"/>
  </r>
  <r>
    <n v="1726"/>
    <s v="F2"/>
    <x v="73"/>
    <s v="H000005131"/>
    <s v="Global Demand Planning Local_1054"/>
    <s v="H000000650"/>
    <s v="New"/>
    <x v="0"/>
    <x v="0"/>
    <s v="HC"/>
    <s v="Done for 1000"/>
    <m/>
    <s v="Henry Jr Ifurung"/>
  </r>
  <r>
    <n v="1727"/>
    <s v="F2"/>
    <x v="73"/>
    <s v="H000005132"/>
    <s v="Global Demand Planning Local_1055"/>
    <s v="H000000650"/>
    <s v="New"/>
    <x v="0"/>
    <x v="0"/>
    <s v="HC"/>
    <s v="Done for 1000"/>
    <m/>
    <s v="Henry Jr Ifurung"/>
  </r>
  <r>
    <n v="1728"/>
    <s v="F2"/>
    <x v="73"/>
    <s v="H000005133"/>
    <s v="Global Demand Planning Local_1060"/>
    <s v="H000000650"/>
    <s v="New"/>
    <x v="0"/>
    <x v="0"/>
    <s v="HC"/>
    <s v="Done for 1000"/>
    <m/>
    <s v="Henry Jr Ifurung"/>
  </r>
  <r>
    <n v="1729"/>
    <s v="F2"/>
    <x v="73"/>
    <s v="H000005134"/>
    <s v="Global Demand Planning Local_1085"/>
    <s v="H000000650"/>
    <s v="New"/>
    <x v="0"/>
    <x v="0"/>
    <s v="HC"/>
    <s v="Done for 1000"/>
    <m/>
    <s v="Henry Jr Ifurung"/>
  </r>
  <r>
    <n v="1730"/>
    <s v="F2"/>
    <x v="73"/>
    <s v="H000005135"/>
    <s v="Global Demand Planning Local_1092"/>
    <s v="H000000650"/>
    <s v="New"/>
    <x v="0"/>
    <x v="0"/>
    <s v="HC"/>
    <s v="Done for 1000"/>
    <m/>
    <s v="Henry Jr Ifurung"/>
  </r>
  <r>
    <n v="1731"/>
    <s v="F2"/>
    <x v="73"/>
    <s v="H000005136"/>
    <s v="Global Demand Planning Local_1132"/>
    <s v="H000000650"/>
    <s v="New"/>
    <x v="0"/>
    <x v="0"/>
    <s v="HC"/>
    <s v="Done for 1000"/>
    <m/>
    <s v="Henry Jr Ifurung"/>
  </r>
  <r>
    <n v="1732"/>
    <s v="F2"/>
    <x v="73"/>
    <s v="H000005137"/>
    <s v="Global Demand Planning Local_1190"/>
    <s v="H000000650"/>
    <s v="New"/>
    <x v="0"/>
    <x v="0"/>
    <s v="HC"/>
    <s v="Done for 1000"/>
    <m/>
    <s v="Henry Jr Ifurung"/>
  </r>
  <r>
    <n v="1733"/>
    <s v="F2"/>
    <x v="73"/>
    <s v="H000005138"/>
    <s v="Global Demand Planning Local_1201"/>
    <s v="H000000650"/>
    <s v="New"/>
    <x v="0"/>
    <x v="0"/>
    <s v="HC"/>
    <s v="Done for 1000"/>
    <m/>
    <s v="Henry Jr Ifurung"/>
  </r>
  <r>
    <n v="1734"/>
    <s v="F2"/>
    <x v="73"/>
    <s v="H000005139"/>
    <s v="Global Demand Planning Local_1202"/>
    <s v="H000000650"/>
    <s v="New"/>
    <x v="0"/>
    <x v="0"/>
    <s v="HC"/>
    <s v="Done for 1000"/>
    <m/>
    <s v="Henry Jr Ifurung"/>
  </r>
  <r>
    <n v="1735"/>
    <s v="F2"/>
    <x v="73"/>
    <s v="H000005140"/>
    <s v="Global Demand Planning Local_1203"/>
    <s v="H000000650"/>
    <s v="New"/>
    <x v="0"/>
    <x v="0"/>
    <s v="HC"/>
    <s v="Done for 1000"/>
    <m/>
    <s v="Henry Jr Ifurung"/>
  </r>
  <r>
    <n v="1736"/>
    <s v="F2"/>
    <x v="73"/>
    <s v="H000005141"/>
    <s v="Global Demand Planning Local_1206"/>
    <s v="H000000650"/>
    <s v="New"/>
    <x v="0"/>
    <x v="0"/>
    <s v="HC"/>
    <s v="Done for 1000"/>
    <m/>
    <s v="Henry Jr Ifurung"/>
  </r>
  <r>
    <n v="1737"/>
    <s v="F2"/>
    <x v="73"/>
    <s v="H000005142"/>
    <s v="Global Demand Planning Local_1212"/>
    <s v="H000000650"/>
    <s v="New"/>
    <x v="0"/>
    <x v="0"/>
    <s v="HC"/>
    <s v="Done for 1000"/>
    <m/>
    <s v="Henry Jr Ifurung"/>
  </r>
  <r>
    <n v="1738"/>
    <s v="F2"/>
    <x v="73"/>
    <s v="H000005143"/>
    <s v="Global Demand Planning Local_1215"/>
    <s v="H000000650"/>
    <s v="New"/>
    <x v="0"/>
    <x v="0"/>
    <s v="HC"/>
    <s v="Done for 1000"/>
    <m/>
    <s v="Henry Jr Ifurung"/>
  </r>
  <r>
    <n v="1739"/>
    <s v="F2"/>
    <x v="73"/>
    <s v="H000005144"/>
    <s v="Global Demand Planning Local_1217"/>
    <s v="H000000650"/>
    <s v="New"/>
    <x v="0"/>
    <x v="0"/>
    <s v="HC"/>
    <s v="Done for 1000"/>
    <m/>
    <s v="Henry Jr Ifurung"/>
  </r>
  <r>
    <n v="1740"/>
    <s v="F2"/>
    <x v="73"/>
    <s v="H000005145"/>
    <s v="Global Demand Planning Local_1226"/>
    <s v="H000000650"/>
    <s v="New"/>
    <x v="0"/>
    <x v="0"/>
    <s v="HC"/>
    <s v="Done for 1000"/>
    <m/>
    <s v="Henry Jr Ifurung"/>
  </r>
  <r>
    <n v="1741"/>
    <s v="F2"/>
    <x v="73"/>
    <s v="H000005146"/>
    <s v="Global Demand Planning Local_1227"/>
    <s v="H000000650"/>
    <s v="New"/>
    <x v="0"/>
    <x v="0"/>
    <s v="HC"/>
    <s v="Done for 1000"/>
    <m/>
    <s v="Henry Jr Ifurung"/>
  </r>
  <r>
    <n v="1742"/>
    <s v="F2"/>
    <x v="73"/>
    <s v="H000005147"/>
    <s v="Global Demand Planning Local_1233"/>
    <s v="H000000650"/>
    <s v="New"/>
    <x v="0"/>
    <x v="0"/>
    <s v="HC"/>
    <s v="Done for 1000"/>
    <m/>
    <s v="Henry Jr Ifurung"/>
  </r>
  <r>
    <n v="1743"/>
    <s v="F2"/>
    <x v="73"/>
    <s v="H000005148"/>
    <s v="Global Demand Planning Local_1234"/>
    <s v="H000000650"/>
    <s v="New"/>
    <x v="0"/>
    <x v="0"/>
    <s v="HC"/>
    <s v="Done for 1000"/>
    <m/>
    <s v="Henry Jr Ifurung"/>
  </r>
  <r>
    <n v="1744"/>
    <s v="F2"/>
    <x v="73"/>
    <s v="H000005149"/>
    <s v="Global Demand Planning Local_1241"/>
    <s v="H000000650"/>
    <s v="New"/>
    <x v="0"/>
    <x v="0"/>
    <s v="HC"/>
    <s v="Done for 1000"/>
    <m/>
    <s v="Henry Jr Ifurung"/>
  </r>
  <r>
    <n v="1745"/>
    <s v="F2"/>
    <x v="73"/>
    <s v="H000005150"/>
    <s v="Global Demand Planning Local_1242"/>
    <s v="H000000650"/>
    <s v="New"/>
    <x v="0"/>
    <x v="0"/>
    <s v="HC"/>
    <s v="Done for 1000"/>
    <m/>
    <s v="Henry Jr Ifurung"/>
  </r>
  <r>
    <n v="1746"/>
    <s v="F2"/>
    <x v="73"/>
    <s v="H000005151"/>
    <s v="Global Demand Planning Local_1243"/>
    <s v="H000000650"/>
    <s v="New"/>
    <x v="0"/>
    <x v="0"/>
    <s v="HC"/>
    <s v="Done for 1000"/>
    <m/>
    <s v="Henry Jr Ifurung"/>
  </r>
  <r>
    <n v="1747"/>
    <s v="F2"/>
    <x v="73"/>
    <s v="H000005152"/>
    <s v="Global Demand Planning Local_1250"/>
    <s v="H000000650"/>
    <s v="New"/>
    <x v="0"/>
    <x v="0"/>
    <s v="HC"/>
    <s v="Done for 1000"/>
    <m/>
    <s v="Henry Jr Ifurung"/>
  </r>
  <r>
    <n v="1748"/>
    <s v="F2"/>
    <x v="73"/>
    <s v="H000005153"/>
    <s v="Global Demand Planning Local_1266"/>
    <s v="H000000650"/>
    <s v="New"/>
    <x v="0"/>
    <x v="0"/>
    <s v="HC"/>
    <s v="Done for 1000"/>
    <m/>
    <s v="Henry Jr Ifurung"/>
  </r>
  <r>
    <n v="1749"/>
    <s v="F2"/>
    <x v="73"/>
    <s v="H000005154"/>
    <s v="Global Demand Planning Local_1298"/>
    <s v="H000000650"/>
    <s v="New"/>
    <x v="0"/>
    <x v="0"/>
    <s v="HC"/>
    <s v="Done for 1000"/>
    <m/>
    <s v="Henry Jr Ifurung"/>
  </r>
  <r>
    <n v="1750"/>
    <s v="F2"/>
    <x v="73"/>
    <s v="H000005155"/>
    <s v="Global Demand Planning Local_1401"/>
    <s v="H000000650"/>
    <s v="New"/>
    <x v="0"/>
    <x v="0"/>
    <s v="HC"/>
    <s v="Done for 1000"/>
    <m/>
    <s v="Henry Jr Ifurung"/>
  </r>
  <r>
    <n v="1751"/>
    <s v="F2"/>
    <x v="73"/>
    <s v="H000005156"/>
    <s v="Global Demand Planning Local_1402"/>
    <s v="H000000650"/>
    <s v="New"/>
    <x v="0"/>
    <x v="0"/>
    <s v="HC"/>
    <s v="Done for 1000"/>
    <m/>
    <s v="Henry Jr Ifurung"/>
  </r>
  <r>
    <n v="1752"/>
    <s v="F2"/>
    <x v="73"/>
    <s v="H000005157"/>
    <s v="Global Demand Planning Local_1561"/>
    <s v="H000000650"/>
    <s v="New"/>
    <x v="0"/>
    <x v="0"/>
    <s v="HC"/>
    <s v="Done for 1000"/>
    <m/>
    <s v="Henry Jr Ifurung"/>
  </r>
  <r>
    <n v="1753"/>
    <s v="F2"/>
    <x v="73"/>
    <s v="H000005158"/>
    <s v="Global Demand Planning Local_1730"/>
    <s v="H000000650"/>
    <s v="New"/>
    <x v="0"/>
    <x v="0"/>
    <s v="HC"/>
    <s v="Done for 1000"/>
    <m/>
    <s v="Henry Jr Ifurung"/>
  </r>
  <r>
    <n v="1754"/>
    <s v="F2"/>
    <x v="73"/>
    <s v="H000005159"/>
    <s v="Global Demand Planning Local_1758"/>
    <s v="H000000650"/>
    <s v="New"/>
    <x v="0"/>
    <x v="0"/>
    <s v="HC"/>
    <s v="Done for 1000"/>
    <m/>
    <s v="Henry Jr Ifurung"/>
  </r>
  <r>
    <n v="1755"/>
    <s v="F2"/>
    <x v="73"/>
    <s v="H000005160"/>
    <s v="Global Demand Planning Local_1759"/>
    <s v="H000000650"/>
    <s v="New"/>
    <x v="0"/>
    <x v="0"/>
    <s v="HC"/>
    <s v="Done for 1000"/>
    <m/>
    <s v="Henry Jr Ifurung"/>
  </r>
  <r>
    <n v="1756"/>
    <s v="F2"/>
    <x v="73"/>
    <s v="H000005161"/>
    <s v="Global Demand Planning Local_1760"/>
    <s v="H000000650"/>
    <s v="New"/>
    <x v="0"/>
    <x v="0"/>
    <s v="HC"/>
    <s v="Done for 1000"/>
    <m/>
    <s v="Henry Jr Ifurung"/>
  </r>
  <r>
    <n v="1757"/>
    <s v="F2"/>
    <x v="73"/>
    <s v="H000005162"/>
    <s v="Global Demand Planning Local_1771"/>
    <s v="H000000650"/>
    <s v="New"/>
    <x v="0"/>
    <x v="0"/>
    <s v="HC"/>
    <s v="Done for 1000"/>
    <m/>
    <s v="Henry Jr Ifurung"/>
  </r>
  <r>
    <n v="1758"/>
    <s v="F2"/>
    <x v="73"/>
    <s v="H000005163"/>
    <s v="Global Demand Planning Local_1777"/>
    <s v="H000000650"/>
    <s v="New"/>
    <x v="0"/>
    <x v="0"/>
    <s v="HC"/>
    <s v="Done for 1000"/>
    <m/>
    <s v="Henry Jr Ifurung"/>
  </r>
  <r>
    <n v="1759"/>
    <s v="F2"/>
    <x v="73"/>
    <s v="H000005164"/>
    <s v="Global Demand Planning Local_1784"/>
    <s v="H000000650"/>
    <s v="New"/>
    <x v="0"/>
    <x v="0"/>
    <s v="HC"/>
    <s v="Done for 1000"/>
    <m/>
    <s v="Henry Jr Ifurung"/>
  </r>
  <r>
    <n v="1760"/>
    <s v="F2"/>
    <x v="73"/>
    <s v="H000005165"/>
    <s v="Global Demand Planning Local_1785"/>
    <s v="H000000650"/>
    <s v="New"/>
    <x v="0"/>
    <x v="0"/>
    <s v="HC"/>
    <s v="Done for 1000"/>
    <m/>
    <s v="Henry Jr Ifurung"/>
  </r>
  <r>
    <n v="1761"/>
    <s v="F2"/>
    <x v="73"/>
    <s v="H000005166"/>
    <s v="Global Demand Planning Local_1787"/>
    <s v="H000000650"/>
    <s v="New"/>
    <x v="0"/>
    <x v="0"/>
    <s v="HC"/>
    <s v="Done for 1000"/>
    <m/>
    <s v="Henry Jr Ifurung"/>
  </r>
  <r>
    <n v="1762"/>
    <s v="F2"/>
    <x v="73"/>
    <s v="H000005167"/>
    <s v="Global Demand Planning Local_1814"/>
    <s v="H000000650"/>
    <s v="New"/>
    <x v="0"/>
    <x v="0"/>
    <s v="HC"/>
    <s v="Done for 1000"/>
    <m/>
    <s v="Henry Jr Ifurung"/>
  </r>
  <r>
    <n v="1763"/>
    <s v="F2"/>
    <x v="73"/>
    <s v="H000005168"/>
    <s v="Global Demand Planning Local_1820"/>
    <s v="H000000650"/>
    <s v="New"/>
    <x v="0"/>
    <x v="0"/>
    <s v="HC"/>
    <s v="Done for 1000"/>
    <m/>
    <s v="Henry Jr Ifurung"/>
  </r>
  <r>
    <n v="1764"/>
    <s v="F2"/>
    <x v="73"/>
    <s v="H000005169"/>
    <s v="Global Demand Planning Local_1822"/>
    <s v="H000000650"/>
    <s v="New"/>
    <x v="0"/>
    <x v="0"/>
    <s v="HC"/>
    <s v="Done for 1000"/>
    <m/>
    <s v="Henry Jr Ifurung"/>
  </r>
  <r>
    <n v="1765"/>
    <s v="F2"/>
    <x v="73"/>
    <s v="H000005170"/>
    <s v="Global Demand Planning Local_1823"/>
    <s v="H000000650"/>
    <s v="New"/>
    <x v="0"/>
    <x v="0"/>
    <s v="HC"/>
    <s v="Done for 1000"/>
    <m/>
    <s v="Henry Jr Ifurung"/>
  </r>
  <r>
    <n v="1766"/>
    <s v="F2"/>
    <x v="73"/>
    <s v="H000005171"/>
    <s v="Global Demand Planning Local_1872"/>
    <s v="H000000650"/>
    <s v="New"/>
    <x v="0"/>
    <x v="0"/>
    <s v="HC"/>
    <s v="Done for 1000"/>
    <m/>
    <s v="Henry Jr Ifurung"/>
  </r>
  <r>
    <n v="1767"/>
    <s v="F2"/>
    <x v="73"/>
    <s v="H000005172"/>
    <s v="Global Demand Planning Local_1881"/>
    <s v="H000000650"/>
    <s v="New"/>
    <x v="0"/>
    <x v="0"/>
    <s v="HC"/>
    <s v="Done for 1000"/>
    <m/>
    <s v="Henry Jr Ifurung"/>
  </r>
  <r>
    <n v="1768"/>
    <s v="F2"/>
    <x v="73"/>
    <s v="H000005173"/>
    <s v="Global Demand Planning Local_1895"/>
    <s v="H000000650"/>
    <s v="New"/>
    <x v="0"/>
    <x v="0"/>
    <s v="HC"/>
    <s v="Done for 1000"/>
    <m/>
    <s v="Henry Jr Ifurung"/>
  </r>
  <r>
    <n v="1769"/>
    <s v="F2"/>
    <x v="73"/>
    <s v="H000005174"/>
    <s v="Global Demand Planning Local_2156"/>
    <s v="H000000650"/>
    <s v="New"/>
    <x v="0"/>
    <x v="0"/>
    <s v="HC"/>
    <s v="Done for 1000"/>
    <m/>
    <s v="Henry Jr Ifurung"/>
  </r>
  <r>
    <n v="1770"/>
    <s v="F2"/>
    <x v="73"/>
    <s v="H000005175"/>
    <s v="Global Demand Planning Local_2194"/>
    <s v="H000000650"/>
    <s v="New"/>
    <x v="0"/>
    <x v="0"/>
    <s v="HC"/>
    <s v="Done for 1000"/>
    <m/>
    <s v="Henry Jr Ifurung"/>
  </r>
  <r>
    <n v="1771"/>
    <s v="F2"/>
    <x v="73"/>
    <s v="H000005176"/>
    <s v="Global Demand Planning Local_2246"/>
    <s v="H000000650"/>
    <s v="New"/>
    <x v="0"/>
    <x v="0"/>
    <s v="HC"/>
    <s v="Done for 1000"/>
    <m/>
    <s v="Henry Jr Ifurung"/>
  </r>
  <r>
    <n v="1772"/>
    <s v="F2"/>
    <x v="73"/>
    <s v="H000005177"/>
    <s v="Global Demand Planning Local_2276"/>
    <s v="H000000650"/>
    <s v="New"/>
    <x v="0"/>
    <x v="0"/>
    <s v="HC"/>
    <s v="Done for 1000"/>
    <m/>
    <s v="Henry Jr Ifurung"/>
  </r>
  <r>
    <n v="1773"/>
    <s v="F2"/>
    <x v="73"/>
    <s v="H000005178"/>
    <s v="Global Demand Planning Local_2358"/>
    <s v="H000000650"/>
    <s v="New"/>
    <x v="0"/>
    <x v="0"/>
    <s v="HC"/>
    <s v="Done for 1000"/>
    <m/>
    <s v="Henry Jr Ifurung"/>
  </r>
  <r>
    <n v="1774"/>
    <s v="F2"/>
    <x v="73"/>
    <s v="H000005179"/>
    <s v="Global Demand Planning Local_2367"/>
    <s v="H000000650"/>
    <s v="New"/>
    <x v="0"/>
    <x v="0"/>
    <s v="HC"/>
    <s v="Done for 1000"/>
    <m/>
    <s v="Henry Jr Ifurung"/>
  </r>
  <r>
    <n v="1775"/>
    <s v="F2"/>
    <x v="73"/>
    <s v="H000005180"/>
    <s v="Warehousing/distribution_1022"/>
    <s v="H000000651"/>
    <s v="New"/>
    <x v="0"/>
    <x v="0"/>
    <s v="HC"/>
    <s v="Done for 1000"/>
    <m/>
    <s v="Henry Jr Ifurung"/>
  </r>
  <r>
    <n v="1776"/>
    <s v="F2"/>
    <x v="73"/>
    <s v="H000005181"/>
    <s v="Warehousing/distribution_1024"/>
    <s v="H000000651"/>
    <s v="New"/>
    <x v="0"/>
    <x v="0"/>
    <s v="HC"/>
    <s v="Done for 1000"/>
    <m/>
    <s v="Henry Jr Ifurung"/>
  </r>
  <r>
    <n v="1777"/>
    <s v="F2"/>
    <x v="73"/>
    <s v="H000005182"/>
    <s v="Warehousing/distribution_1028"/>
    <s v="H000000651"/>
    <s v="New"/>
    <x v="0"/>
    <x v="0"/>
    <s v="HC"/>
    <s v="Done for 1000"/>
    <m/>
    <s v="Henry Jr Ifurung"/>
  </r>
  <r>
    <n v="1778"/>
    <s v="F2"/>
    <x v="73"/>
    <s v="H000005183"/>
    <s v="Warehousing/distribution_1030"/>
    <s v="H000000651"/>
    <s v="New"/>
    <x v="0"/>
    <x v="0"/>
    <s v="HC"/>
    <s v="Done for 1000"/>
    <m/>
    <s v="Henry Jr Ifurung"/>
  </r>
  <r>
    <n v="1779"/>
    <s v="F2"/>
    <x v="73"/>
    <s v="H000005184"/>
    <s v="Warehousing/distribution_1032"/>
    <s v="H000000651"/>
    <s v="New"/>
    <x v="0"/>
    <x v="0"/>
    <s v="HC"/>
    <s v="Done for 1000"/>
    <m/>
    <s v="Henry Jr Ifurung"/>
  </r>
  <r>
    <n v="1780"/>
    <s v="F2"/>
    <x v="73"/>
    <s v="H000005185"/>
    <s v="Warehousing/distribution_1034"/>
    <s v="H000000651"/>
    <s v="New"/>
    <x v="0"/>
    <x v="0"/>
    <s v="HC"/>
    <s v="Done for 1000"/>
    <m/>
    <s v="Henry Jr Ifurung"/>
  </r>
  <r>
    <n v="1781"/>
    <s v="F2"/>
    <x v="73"/>
    <s v="H000005186"/>
    <s v="Warehousing/distribution_1035"/>
    <s v="H000000651"/>
    <s v="New"/>
    <x v="0"/>
    <x v="0"/>
    <s v="HC"/>
    <s v="Done for 1000"/>
    <m/>
    <s v="Henry Jr Ifurung"/>
  </r>
  <r>
    <n v="1782"/>
    <s v="F2"/>
    <x v="73"/>
    <s v="H000005187"/>
    <s v="Warehousing/distribution_1042"/>
    <s v="H000000651"/>
    <s v="New"/>
    <x v="0"/>
    <x v="0"/>
    <s v="HC"/>
    <s v="Done for 1000"/>
    <m/>
    <s v="Henry Jr Ifurung"/>
  </r>
  <r>
    <n v="1783"/>
    <s v="F2"/>
    <x v="73"/>
    <s v="H000005188"/>
    <s v="Warehousing/distribution_1055"/>
    <s v="H000000651"/>
    <s v="New"/>
    <x v="0"/>
    <x v="0"/>
    <s v="HC"/>
    <s v="Done for 1000"/>
    <m/>
    <s v="Henry Jr Ifurung"/>
  </r>
  <r>
    <n v="1784"/>
    <s v="F2"/>
    <x v="73"/>
    <s v="H000005189"/>
    <s v="Warehousing/distribution_1060"/>
    <s v="H000000651"/>
    <s v="New"/>
    <x v="0"/>
    <x v="0"/>
    <s v="HC"/>
    <s v="Done for 1000"/>
    <m/>
    <s v="Henry Jr Ifurung"/>
  </r>
  <r>
    <n v="1785"/>
    <s v="F2"/>
    <x v="73"/>
    <s v="H000005190"/>
    <s v="Warehousing/distribution_1072"/>
    <s v="H000000651"/>
    <s v="New"/>
    <x v="0"/>
    <x v="0"/>
    <s v="HC"/>
    <s v="Done for 1000"/>
    <m/>
    <s v="Henry Jr Ifurung"/>
  </r>
  <r>
    <n v="1786"/>
    <s v="F2"/>
    <x v="73"/>
    <s v="H000005191"/>
    <s v="Warehousing/distribution_1092"/>
    <s v="H000000651"/>
    <s v="New"/>
    <x v="0"/>
    <x v="0"/>
    <s v="HC"/>
    <s v="Done for 1000"/>
    <m/>
    <s v="Henry Jr Ifurung"/>
  </r>
  <r>
    <n v="1787"/>
    <s v="F2"/>
    <x v="73"/>
    <s v="H000005192"/>
    <s v="Warehousing/distribution_1132"/>
    <s v="H000000651"/>
    <s v="New"/>
    <x v="0"/>
    <x v="0"/>
    <s v="HC"/>
    <s v="Done for 1000"/>
    <m/>
    <s v="Henry Jr Ifurung"/>
  </r>
  <r>
    <n v="1788"/>
    <s v="F2"/>
    <x v="73"/>
    <s v="H000005193"/>
    <s v="Warehousing/distribution_1201"/>
    <s v="H000000651"/>
    <s v="New"/>
    <x v="0"/>
    <x v="0"/>
    <s v="HC"/>
    <s v="Done for 1000"/>
    <m/>
    <s v="Henry Jr Ifurung"/>
  </r>
  <r>
    <n v="1789"/>
    <s v="F2"/>
    <x v="73"/>
    <s v="H000005194"/>
    <s v="Warehousing/distribution_1202"/>
    <s v="H000000651"/>
    <s v="New"/>
    <x v="0"/>
    <x v="0"/>
    <s v="HC"/>
    <s v="Done for 1000"/>
    <m/>
    <s v="Henry Jr Ifurung"/>
  </r>
  <r>
    <n v="1790"/>
    <s v="F2"/>
    <x v="73"/>
    <s v="H000005195"/>
    <s v="Warehousing/distribution_1203"/>
    <s v="H000000651"/>
    <s v="New"/>
    <x v="0"/>
    <x v="0"/>
    <s v="HC"/>
    <s v="Done for 1000"/>
    <m/>
    <s v="Henry Jr Ifurung"/>
  </r>
  <r>
    <n v="1791"/>
    <s v="F2"/>
    <x v="73"/>
    <s v="H000005196"/>
    <s v="Warehousing/distribution_1206"/>
    <s v="H000000651"/>
    <s v="New"/>
    <x v="0"/>
    <x v="0"/>
    <s v="HC"/>
    <s v="Done for 1000"/>
    <m/>
    <s v="Henry Jr Ifurung"/>
  </r>
  <r>
    <n v="1792"/>
    <s v="F2"/>
    <x v="73"/>
    <s v="H000005197"/>
    <s v="Warehousing/distribution_1214"/>
    <s v="H000000651"/>
    <s v="New"/>
    <x v="0"/>
    <x v="0"/>
    <s v="HC"/>
    <s v="Done for 1000"/>
    <m/>
    <s v="Henry Jr Ifurung"/>
  </r>
  <r>
    <n v="1793"/>
    <s v="F2"/>
    <x v="73"/>
    <s v="H000005198"/>
    <s v="Warehousing/distribution_1215"/>
    <s v="H000000651"/>
    <s v="New"/>
    <x v="0"/>
    <x v="0"/>
    <s v="HC"/>
    <s v="Done for 1000"/>
    <m/>
    <s v="Henry Jr Ifurung"/>
  </r>
  <r>
    <n v="1794"/>
    <s v="F2"/>
    <x v="73"/>
    <s v="H000005199"/>
    <s v="Warehousing/distribution_1217"/>
    <s v="H000000651"/>
    <s v="New"/>
    <x v="0"/>
    <x v="0"/>
    <s v="HC"/>
    <s v="Done for 1000"/>
    <m/>
    <s v="Henry Jr Ifurung"/>
  </r>
  <r>
    <n v="1795"/>
    <s v="F2"/>
    <x v="73"/>
    <s v="H000005200"/>
    <s v="Warehousing/distribution_1227"/>
    <s v="H000000651"/>
    <s v="New"/>
    <x v="0"/>
    <x v="0"/>
    <s v="HC"/>
    <s v="Done for 1000"/>
    <m/>
    <s v="Henry Jr Ifurung"/>
  </r>
  <r>
    <n v="1796"/>
    <s v="F2"/>
    <x v="73"/>
    <s v="H000005201"/>
    <s v="Warehousing/distribution_1233"/>
    <s v="H000000651"/>
    <s v="New"/>
    <x v="0"/>
    <x v="0"/>
    <s v="HC"/>
    <s v="Done for 1000"/>
    <m/>
    <s v="Henry Jr Ifurung"/>
  </r>
  <r>
    <n v="1797"/>
    <s v="F2"/>
    <x v="73"/>
    <s v="H000005202"/>
    <s v="Warehousing/distribution_1234"/>
    <s v="H000000651"/>
    <s v="New"/>
    <x v="0"/>
    <x v="0"/>
    <s v="HC"/>
    <s v="Done for 1000"/>
    <m/>
    <s v="Henry Jr Ifurung"/>
  </r>
  <r>
    <n v="1798"/>
    <s v="F2"/>
    <x v="73"/>
    <s v="H000005203"/>
    <s v="Warehousing/distribution_1241"/>
    <s v="H000000651"/>
    <s v="New"/>
    <x v="0"/>
    <x v="0"/>
    <s v="HC"/>
    <s v="Done for 1000"/>
    <m/>
    <s v="Henry Jr Ifurung"/>
  </r>
  <r>
    <n v="1799"/>
    <s v="F2"/>
    <x v="73"/>
    <s v="H000005204"/>
    <s v="Warehousing/distribution_1242"/>
    <s v="H000000651"/>
    <s v="New"/>
    <x v="0"/>
    <x v="0"/>
    <s v="HC"/>
    <s v="Done for 1000"/>
    <m/>
    <s v="Henry Jr Ifurung"/>
  </r>
  <r>
    <n v="1800"/>
    <s v="F2"/>
    <x v="73"/>
    <s v="H000005205"/>
    <s v="Warehousing/distribution_1243"/>
    <s v="H000000651"/>
    <s v="New"/>
    <x v="0"/>
    <x v="0"/>
    <s v="HC"/>
    <s v="Done for 1000"/>
    <m/>
    <s v="Henry Jr Ifurung"/>
  </r>
  <r>
    <n v="1801"/>
    <s v="F2"/>
    <x v="73"/>
    <s v="H000005206"/>
    <s v="Warehousing/distribution_1248"/>
    <s v="H000000651"/>
    <s v="New"/>
    <x v="0"/>
    <x v="0"/>
    <s v="HC"/>
    <s v="Done for 1000"/>
    <m/>
    <s v="Henry Jr Ifurung"/>
  </r>
  <r>
    <n v="1802"/>
    <s v="F2"/>
    <x v="73"/>
    <s v="H000005207"/>
    <s v="Warehousing/distribution_1250"/>
    <s v="H000000651"/>
    <s v="New"/>
    <x v="0"/>
    <x v="0"/>
    <s v="HC"/>
    <s v="Done for 1000"/>
    <m/>
    <s v="Henry Jr Ifurung"/>
  </r>
  <r>
    <n v="1803"/>
    <s v="F2"/>
    <x v="73"/>
    <s v="H000005208"/>
    <s v="Warehousing/distribution_1258"/>
    <s v="H000000651"/>
    <s v="New"/>
    <x v="0"/>
    <x v="0"/>
    <s v="HC"/>
    <s v="Done for 1000"/>
    <m/>
    <s v="Henry Jr Ifurung"/>
  </r>
  <r>
    <n v="1804"/>
    <s v="F2"/>
    <x v="73"/>
    <s v="H000005209"/>
    <s v="Warehousing/distribution_1261"/>
    <s v="H000000651"/>
    <s v="New"/>
    <x v="0"/>
    <x v="0"/>
    <s v="HC"/>
    <s v="Done for 1000"/>
    <m/>
    <s v="Henry Jr Ifurung"/>
  </r>
  <r>
    <n v="1805"/>
    <s v="F2"/>
    <x v="73"/>
    <s v="H000005210"/>
    <s v="Warehousing/distribution_1298"/>
    <s v="H000000651"/>
    <s v="New"/>
    <x v="0"/>
    <x v="0"/>
    <s v="HC"/>
    <s v="Done for 1000"/>
    <m/>
    <s v="Henry Jr Ifurung"/>
  </r>
  <r>
    <n v="1806"/>
    <s v="F2"/>
    <x v="73"/>
    <s v="H000005211"/>
    <s v="Warehousing/distribution_1401"/>
    <s v="H000000651"/>
    <s v="New"/>
    <x v="0"/>
    <x v="0"/>
    <s v="HC"/>
    <s v="Done for 1000"/>
    <m/>
    <s v="Henry Jr Ifurung"/>
  </r>
  <r>
    <n v="1807"/>
    <s v="F2"/>
    <x v="73"/>
    <s v="H000005212"/>
    <s v="Warehousing/distribution_1402"/>
    <s v="H000000651"/>
    <s v="New"/>
    <x v="0"/>
    <x v="0"/>
    <s v="HC"/>
    <s v="Done for 1000"/>
    <m/>
    <s v="Henry Jr Ifurung"/>
  </r>
  <r>
    <n v="1808"/>
    <s v="F2"/>
    <x v="73"/>
    <s v="H000005213"/>
    <s v="Warehousing/distribution_1500"/>
    <s v="H000000651"/>
    <s v="New"/>
    <x v="0"/>
    <x v="0"/>
    <s v="HC"/>
    <s v="Done for 1000"/>
    <m/>
    <s v="Henry Jr Ifurung"/>
  </r>
  <r>
    <n v="1809"/>
    <s v="F2"/>
    <x v="73"/>
    <s v="H000005214"/>
    <s v="Warehousing/distribution_1561"/>
    <s v="H000000651"/>
    <s v="New"/>
    <x v="0"/>
    <x v="0"/>
    <s v="HC"/>
    <s v="Done for 1000"/>
    <m/>
    <s v="Henry Jr Ifurung"/>
  </r>
  <r>
    <n v="1810"/>
    <s v="F2"/>
    <x v="73"/>
    <s v="H000005215"/>
    <s v="Warehousing/distribution_1730"/>
    <s v="H000000651"/>
    <s v="New"/>
    <x v="0"/>
    <x v="0"/>
    <s v="HC"/>
    <s v="Done for 1000"/>
    <m/>
    <s v="Henry Jr Ifurung"/>
  </r>
  <r>
    <n v="1811"/>
    <s v="F2"/>
    <x v="73"/>
    <s v="H000005216"/>
    <s v="Warehousing/distribution_1758"/>
    <s v="H000000651"/>
    <s v="New"/>
    <x v="0"/>
    <x v="0"/>
    <s v="HC"/>
    <s v="Done for 1000"/>
    <m/>
    <s v="Henry Jr Ifurung"/>
  </r>
  <r>
    <n v="1812"/>
    <s v="F2"/>
    <x v="73"/>
    <s v="H000005217"/>
    <s v="Warehousing/distribution_1760"/>
    <s v="H000000651"/>
    <s v="New"/>
    <x v="0"/>
    <x v="0"/>
    <s v="HC"/>
    <s v="Done for 1000"/>
    <m/>
    <s v="Henry Jr Ifurung"/>
  </r>
  <r>
    <n v="1813"/>
    <s v="F2"/>
    <x v="73"/>
    <s v="H000005218"/>
    <s v="Warehousing/distribution_1771"/>
    <s v="H000000651"/>
    <s v="New"/>
    <x v="0"/>
    <x v="0"/>
    <s v="HC"/>
    <s v="Done for 1000"/>
    <m/>
    <s v="Henry Jr Ifurung"/>
  </r>
  <r>
    <n v="1814"/>
    <s v="F2"/>
    <x v="73"/>
    <s v="H000005219"/>
    <s v="Warehousing/distribution_1784"/>
    <s v="H000000651"/>
    <s v="New"/>
    <x v="0"/>
    <x v="0"/>
    <s v="HC"/>
    <s v="Done for 1000"/>
    <m/>
    <s v="Henry Jr Ifurung"/>
  </r>
  <r>
    <n v="1815"/>
    <s v="F2"/>
    <x v="73"/>
    <s v="H000005220"/>
    <s v="Warehousing/distribution_1785"/>
    <s v="H000000651"/>
    <s v="New"/>
    <x v="0"/>
    <x v="0"/>
    <s v="HC"/>
    <s v="Done for 1000"/>
    <m/>
    <s v="Henry Jr Ifurung"/>
  </r>
  <r>
    <n v="1816"/>
    <s v="F2"/>
    <x v="73"/>
    <s v="H000005221"/>
    <s v="Warehousing/distribution_1820"/>
    <s v="H000000651"/>
    <s v="New"/>
    <x v="0"/>
    <x v="0"/>
    <s v="HC"/>
    <s v="Done for 1000"/>
    <m/>
    <s v="Henry Jr Ifurung"/>
  </r>
  <r>
    <n v="1817"/>
    <s v="F2"/>
    <x v="73"/>
    <s v="H000005222"/>
    <s v="Warehousing/distribution_1822"/>
    <s v="H000000651"/>
    <s v="New"/>
    <x v="0"/>
    <x v="0"/>
    <s v="HC"/>
    <s v="Done for 1000"/>
    <m/>
    <s v="Henry Jr Ifurung"/>
  </r>
  <r>
    <n v="1818"/>
    <s v="F2"/>
    <x v="73"/>
    <s v="H000005223"/>
    <s v="Warehousing/distribution_1823"/>
    <s v="H000000651"/>
    <s v="New"/>
    <x v="0"/>
    <x v="0"/>
    <s v="HC"/>
    <s v="Done for 1000"/>
    <m/>
    <s v="Henry Jr Ifurung"/>
  </r>
  <r>
    <n v="1819"/>
    <s v="F2"/>
    <x v="73"/>
    <s v="H000005224"/>
    <s v="Warehousing/distribution_1881"/>
    <s v="H000000651"/>
    <s v="New"/>
    <x v="0"/>
    <x v="0"/>
    <s v="HC"/>
    <s v="Done for 1000"/>
    <m/>
    <s v="Henry Jr Ifurung"/>
  </r>
  <r>
    <n v="1820"/>
    <s v="F2"/>
    <x v="73"/>
    <s v="H000005225"/>
    <s v="Warehousing/distribution_1891"/>
    <s v="H000000651"/>
    <s v="New"/>
    <x v="0"/>
    <x v="0"/>
    <s v="HC"/>
    <s v="Done for 1000"/>
    <m/>
    <s v="Henry Jr Ifurung"/>
  </r>
  <r>
    <n v="1821"/>
    <s v="F2"/>
    <x v="73"/>
    <s v="H000005226"/>
    <s v="Warehousing/distribution_1895"/>
    <s v="H000000651"/>
    <s v="New"/>
    <x v="0"/>
    <x v="0"/>
    <s v="HC"/>
    <s v="Done for 1000"/>
    <m/>
    <s v="Henry Jr Ifurung"/>
  </r>
  <r>
    <n v="1822"/>
    <s v="F2"/>
    <x v="73"/>
    <s v="H000005227"/>
    <s v="Warehousing/distribution_2156"/>
    <s v="H000000651"/>
    <s v="New"/>
    <x v="0"/>
    <x v="0"/>
    <s v="HC"/>
    <s v="Done for 1000"/>
    <m/>
    <s v="Henry Jr Ifurung"/>
  </r>
  <r>
    <n v="1823"/>
    <s v="F2"/>
    <x v="73"/>
    <s v="H000005228"/>
    <s v="Freight and other Transportation_1023"/>
    <s v="H000000652"/>
    <s v="New"/>
    <x v="0"/>
    <x v="0"/>
    <s v="HC"/>
    <s v="Done for 1000"/>
    <m/>
    <s v="Henry Jr Ifurung"/>
  </r>
  <r>
    <n v="1824"/>
    <s v="F2"/>
    <x v="73"/>
    <s v="H000005229"/>
    <s v="Freight and other Transportation_1024"/>
    <s v="H000000652"/>
    <s v="New"/>
    <x v="0"/>
    <x v="0"/>
    <s v="HC"/>
    <s v="Done for 1000"/>
    <m/>
    <s v="Henry Jr Ifurung"/>
  </r>
  <r>
    <n v="1825"/>
    <s v="F2"/>
    <x v="73"/>
    <s v="H000005230"/>
    <s v="Freight and other Transportation_1028"/>
    <s v="H000000652"/>
    <s v="New"/>
    <x v="0"/>
    <x v="0"/>
    <s v="HC"/>
    <s v="Done for 1000"/>
    <m/>
    <s v="Henry Jr Ifurung"/>
  </r>
  <r>
    <n v="1826"/>
    <s v="F2"/>
    <x v="73"/>
    <s v="H000005231"/>
    <s v="Freight and other Transportation_1030"/>
    <s v="H000000652"/>
    <s v="New"/>
    <x v="0"/>
    <x v="0"/>
    <s v="HC"/>
    <s v="Done for 1000"/>
    <m/>
    <s v="Henry Jr Ifurung"/>
  </r>
  <r>
    <n v="1827"/>
    <s v="F2"/>
    <x v="73"/>
    <s v="H000005232"/>
    <s v="Freight and other Transportation_1032"/>
    <s v="H000000652"/>
    <s v="New"/>
    <x v="0"/>
    <x v="0"/>
    <s v="HC"/>
    <s v="Done for 1000"/>
    <m/>
    <s v="Henry Jr Ifurung"/>
  </r>
  <r>
    <n v="1828"/>
    <s v="F2"/>
    <x v="73"/>
    <s v="H000005233"/>
    <s v="Freight and other Transportation_1034"/>
    <s v="H000000652"/>
    <s v="New"/>
    <x v="0"/>
    <x v="0"/>
    <s v="HC"/>
    <s v="Done for 1000"/>
    <m/>
    <s v="Henry Jr Ifurung"/>
  </r>
  <r>
    <n v="1829"/>
    <s v="F2"/>
    <x v="73"/>
    <s v="H000005234"/>
    <s v="Freight and other Transportation_1035"/>
    <s v="H000000652"/>
    <s v="New"/>
    <x v="0"/>
    <x v="0"/>
    <s v="HC"/>
    <s v="Done for 1000"/>
    <m/>
    <s v="Henry Jr Ifurung"/>
  </r>
  <r>
    <n v="1830"/>
    <s v="F2"/>
    <x v="73"/>
    <s v="H000005235"/>
    <s v="Freight and other Transportation_1047"/>
    <s v="H000000652"/>
    <s v="New"/>
    <x v="0"/>
    <x v="0"/>
    <s v="HC"/>
    <s v="Done for 1000"/>
    <m/>
    <s v="Henry Jr Ifurung"/>
  </r>
  <r>
    <n v="1831"/>
    <s v="F2"/>
    <x v="73"/>
    <s v="H000005236"/>
    <s v="Freight and other Transportation_1055"/>
    <s v="H000000652"/>
    <s v="New"/>
    <x v="0"/>
    <x v="0"/>
    <s v="HC"/>
    <s v="Done for 1000"/>
    <m/>
    <s v="Henry Jr Ifurung"/>
  </r>
  <r>
    <n v="1832"/>
    <s v="F2"/>
    <x v="73"/>
    <s v="H000005237"/>
    <s v="Freight and other Transportation_1060"/>
    <s v="H000000652"/>
    <s v="New"/>
    <x v="0"/>
    <x v="0"/>
    <s v="HC"/>
    <s v="Done for 1000"/>
    <m/>
    <s v="Henry Jr Ifurung"/>
  </r>
  <r>
    <n v="1833"/>
    <s v="F2"/>
    <x v="73"/>
    <s v="H000005238"/>
    <s v="Freight and other Transportation_1072"/>
    <s v="H000000652"/>
    <s v="New"/>
    <x v="0"/>
    <x v="0"/>
    <s v="HC"/>
    <s v="Done for 1000"/>
    <m/>
    <s v="Henry Jr Ifurung"/>
  </r>
  <r>
    <n v="1834"/>
    <s v="F2"/>
    <x v="73"/>
    <s v="H000005239"/>
    <s v="Freight and other Transportation_1092"/>
    <s v="H000000652"/>
    <s v="New"/>
    <x v="0"/>
    <x v="0"/>
    <s v="HC"/>
    <s v="Done for 1000"/>
    <m/>
    <s v="Henry Jr Ifurung"/>
  </r>
  <r>
    <n v="1835"/>
    <s v="F2"/>
    <x v="73"/>
    <s v="H000005240"/>
    <s v="Freight and other Transportation_1132"/>
    <s v="H000000652"/>
    <s v="New"/>
    <x v="0"/>
    <x v="0"/>
    <s v="HC"/>
    <s v="Done for 1000"/>
    <m/>
    <s v="Henry Jr Ifurung"/>
  </r>
  <r>
    <n v="1836"/>
    <s v="F2"/>
    <x v="73"/>
    <s v="H000005241"/>
    <s v="Freight and other Transportation_1201"/>
    <s v="H000000652"/>
    <s v="New"/>
    <x v="0"/>
    <x v="0"/>
    <s v="HC"/>
    <s v="Done for 1000"/>
    <m/>
    <s v="Henry Jr Ifurung"/>
  </r>
  <r>
    <n v="1837"/>
    <s v="F2"/>
    <x v="73"/>
    <s v="H000005242"/>
    <s v="Freight and other Transportation_1202"/>
    <s v="H000000652"/>
    <s v="New"/>
    <x v="0"/>
    <x v="0"/>
    <s v="HC"/>
    <s v="Done for 1000"/>
    <m/>
    <s v="Henry Jr Ifurung"/>
  </r>
  <r>
    <n v="1838"/>
    <s v="F2"/>
    <x v="73"/>
    <s v="H000005243"/>
    <s v="Freight and other Transportation_1206"/>
    <s v="H000000652"/>
    <s v="New"/>
    <x v="0"/>
    <x v="0"/>
    <s v="HC"/>
    <s v="Done for 1000"/>
    <m/>
    <s v="Henry Jr Ifurung"/>
  </r>
  <r>
    <n v="1839"/>
    <s v="F2"/>
    <x v="73"/>
    <s v="H000005244"/>
    <s v="Freight and other Transportation_1214"/>
    <s v="H000000652"/>
    <s v="New"/>
    <x v="0"/>
    <x v="0"/>
    <s v="HC"/>
    <s v="Done for 1000"/>
    <m/>
    <s v="Henry Jr Ifurung"/>
  </r>
  <r>
    <n v="1840"/>
    <s v="F2"/>
    <x v="73"/>
    <s v="H000005245"/>
    <s v="Freight and other Transportation_1215"/>
    <s v="H000000652"/>
    <s v="New"/>
    <x v="0"/>
    <x v="0"/>
    <s v="HC"/>
    <s v="Done for 1000"/>
    <m/>
    <s v="Henry Jr Ifurung"/>
  </r>
  <r>
    <n v="1841"/>
    <s v="F2"/>
    <x v="73"/>
    <s v="H000005246"/>
    <s v="Freight and other Transportation_1217"/>
    <s v="H000000652"/>
    <s v="New"/>
    <x v="0"/>
    <x v="0"/>
    <s v="HC"/>
    <s v="Done for 1000"/>
    <m/>
    <s v="Henry Jr Ifurung"/>
  </r>
  <r>
    <n v="1842"/>
    <s v="F2"/>
    <x v="73"/>
    <s v="H000005247"/>
    <s v="Freight and other Transportation_1226"/>
    <s v="H000000652"/>
    <s v="New"/>
    <x v="0"/>
    <x v="0"/>
    <s v="HC"/>
    <s v="Done for 1000"/>
    <m/>
    <s v="Henry Jr Ifurung"/>
  </r>
  <r>
    <n v="1843"/>
    <s v="F2"/>
    <x v="73"/>
    <s v="H000005248"/>
    <s v="Freight and other Transportation_1227"/>
    <s v="H000000652"/>
    <s v="New"/>
    <x v="0"/>
    <x v="0"/>
    <s v="HC"/>
    <s v="Done for 1000"/>
    <m/>
    <s v="Henry Jr Ifurung"/>
  </r>
  <r>
    <n v="1844"/>
    <s v="F2"/>
    <x v="73"/>
    <s v="H000005249"/>
    <s v="Freight and other Transportation_1233"/>
    <s v="H000000652"/>
    <s v="New"/>
    <x v="0"/>
    <x v="0"/>
    <s v="HC"/>
    <s v="Done for 1000"/>
    <m/>
    <s v="Henry Jr Ifurung"/>
  </r>
  <r>
    <n v="1845"/>
    <s v="F2"/>
    <x v="73"/>
    <s v="H000005250"/>
    <s v="Freight and other Transportation_1234"/>
    <s v="H000000652"/>
    <s v="New"/>
    <x v="0"/>
    <x v="0"/>
    <s v="HC"/>
    <s v="Done for 1000"/>
    <m/>
    <s v="Henry Jr Ifurung"/>
  </r>
  <r>
    <n v="1846"/>
    <s v="F2"/>
    <x v="73"/>
    <s v="H000005251"/>
    <s v="Freight and other Transportation_1241"/>
    <s v="H000000652"/>
    <s v="New"/>
    <x v="0"/>
    <x v="0"/>
    <s v="HC"/>
    <s v="Done for 1000"/>
    <m/>
    <s v="Henry Jr Ifurung"/>
  </r>
  <r>
    <n v="1847"/>
    <s v="F2"/>
    <x v="73"/>
    <s v="H000005252"/>
    <s v="Freight and other Transportation_1242"/>
    <s v="H000000652"/>
    <s v="New"/>
    <x v="0"/>
    <x v="0"/>
    <s v="HC"/>
    <s v="Done for 1000"/>
    <m/>
    <s v="Henry Jr Ifurung"/>
  </r>
  <r>
    <n v="1848"/>
    <s v="F2"/>
    <x v="73"/>
    <s v="H000005253"/>
    <s v="Freight and other Transportation_1243"/>
    <s v="H000000652"/>
    <s v="New"/>
    <x v="0"/>
    <x v="0"/>
    <s v="HC"/>
    <s v="Done for 1000"/>
    <m/>
    <s v="Henry Jr Ifurung"/>
  </r>
  <r>
    <n v="1849"/>
    <s v="F2"/>
    <x v="73"/>
    <s v="H000005254"/>
    <s v="Freight and other Transportation_1250"/>
    <s v="H000000652"/>
    <s v="New"/>
    <x v="0"/>
    <x v="0"/>
    <s v="HC"/>
    <s v="Done for 1000"/>
    <m/>
    <s v="Henry Jr Ifurung"/>
  </r>
  <r>
    <n v="1850"/>
    <s v="F2"/>
    <x v="73"/>
    <s v="H000005255"/>
    <s v="Freight and other Transportation_1261"/>
    <s v="H000000652"/>
    <s v="New"/>
    <x v="0"/>
    <x v="0"/>
    <s v="HC"/>
    <s v="Done for 1000"/>
    <m/>
    <s v="Henry Jr Ifurung"/>
  </r>
  <r>
    <n v="1851"/>
    <s v="F2"/>
    <x v="73"/>
    <s v="H000005256"/>
    <s v="Freight and other Transportation_1298"/>
    <s v="H000000652"/>
    <s v="New"/>
    <x v="0"/>
    <x v="0"/>
    <s v="HC"/>
    <s v="Done for 1000"/>
    <m/>
    <s v="Henry Jr Ifurung"/>
  </r>
  <r>
    <n v="1852"/>
    <s v="F2"/>
    <x v="73"/>
    <s v="H000005257"/>
    <s v="Freight and other Transportation_1401"/>
    <s v="H000000652"/>
    <s v="New"/>
    <x v="0"/>
    <x v="0"/>
    <s v="HC"/>
    <s v="Done for 1000"/>
    <m/>
    <s v="Henry Jr Ifurung"/>
  </r>
  <r>
    <n v="1853"/>
    <s v="F2"/>
    <x v="73"/>
    <s v="H000005258"/>
    <s v="Freight and other Transportation_1402"/>
    <s v="H000000652"/>
    <s v="New"/>
    <x v="0"/>
    <x v="0"/>
    <s v="HC"/>
    <s v="Done for 1000"/>
    <m/>
    <s v="Henry Jr Ifurung"/>
  </r>
  <r>
    <n v="1854"/>
    <s v="F2"/>
    <x v="73"/>
    <s v="H000005259"/>
    <s v="Freight and other Transportation_1561"/>
    <s v="H000000652"/>
    <s v="New"/>
    <x v="0"/>
    <x v="0"/>
    <s v="HC"/>
    <s v="Done for 1000"/>
    <m/>
    <s v="Henry Jr Ifurung"/>
  </r>
  <r>
    <n v="1855"/>
    <s v="F2"/>
    <x v="73"/>
    <s v="H000005260"/>
    <s v="Freight and other Transportation_1685"/>
    <s v="H000000652"/>
    <s v="New"/>
    <x v="0"/>
    <x v="0"/>
    <s v="HC"/>
    <s v="Done for 1000"/>
    <m/>
    <s v="Henry Jr Ifurung"/>
  </r>
  <r>
    <n v="1856"/>
    <s v="F2"/>
    <x v="73"/>
    <s v="H000005261"/>
    <s v="Freight and other Transportation_1721"/>
    <s v="H000000652"/>
    <s v="New"/>
    <x v="0"/>
    <x v="0"/>
    <s v="HC"/>
    <s v="Done for 1000"/>
    <m/>
    <s v="Henry Jr Ifurung"/>
  </r>
  <r>
    <n v="1857"/>
    <s v="F2"/>
    <x v="73"/>
    <s v="H000005262"/>
    <s v="Freight and other Transportation_1730"/>
    <s v="H000000652"/>
    <s v="New"/>
    <x v="0"/>
    <x v="0"/>
    <s v="HC"/>
    <s v="Done for 1000"/>
    <m/>
    <s v="Henry Jr Ifurung"/>
  </r>
  <r>
    <n v="1858"/>
    <s v="F2"/>
    <x v="73"/>
    <s v="H000005263"/>
    <s v="Freight and other Transportation_1758"/>
    <s v="H000000652"/>
    <s v="New"/>
    <x v="0"/>
    <x v="0"/>
    <s v="HC"/>
    <s v="Done for 1000"/>
    <m/>
    <s v="Henry Jr Ifurung"/>
  </r>
  <r>
    <n v="1859"/>
    <s v="F2"/>
    <x v="73"/>
    <s v="H000005264"/>
    <s v="Freight and other Transportation_1760"/>
    <s v="H000000652"/>
    <s v="New"/>
    <x v="0"/>
    <x v="0"/>
    <s v="HC"/>
    <s v="Done for 1000"/>
    <m/>
    <s v="Henry Jr Ifurung"/>
  </r>
  <r>
    <n v="1860"/>
    <s v="F2"/>
    <x v="73"/>
    <s v="H000005265"/>
    <s v="Freight and other Transportation_1784"/>
    <s v="H000000652"/>
    <s v="New"/>
    <x v="0"/>
    <x v="0"/>
    <s v="HC"/>
    <s v="Done for 1000"/>
    <m/>
    <s v="Henry Jr Ifurung"/>
  </r>
  <r>
    <n v="1861"/>
    <s v="F2"/>
    <x v="73"/>
    <s v="H000005266"/>
    <s v="Freight and other Transportation_1814"/>
    <s v="H000000652"/>
    <s v="New"/>
    <x v="0"/>
    <x v="0"/>
    <s v="HC"/>
    <s v="Done for 1000"/>
    <m/>
    <s v="Henry Jr Ifurung"/>
  </r>
  <r>
    <n v="1862"/>
    <s v="F2"/>
    <x v="73"/>
    <s v="H000005267"/>
    <s v="Freight and other Transportation_1823"/>
    <s v="H000000652"/>
    <s v="New"/>
    <x v="0"/>
    <x v="0"/>
    <s v="HC"/>
    <s v="Done for 1000"/>
    <m/>
    <s v="Henry Jr Ifurung"/>
  </r>
  <r>
    <n v="1863"/>
    <s v="F2"/>
    <x v="73"/>
    <s v="H000005268"/>
    <s v="Freight and other Transportation_1872"/>
    <s v="H000000652"/>
    <s v="New"/>
    <x v="0"/>
    <x v="0"/>
    <s v="HC"/>
    <s v="Done for 1000"/>
    <m/>
    <s v="Henry Jr Ifurung"/>
  </r>
  <r>
    <n v="1864"/>
    <s v="F2"/>
    <x v="73"/>
    <s v="H000005269"/>
    <s v="Freight and other Transportation_1891"/>
    <s v="H000000652"/>
    <s v="New"/>
    <x v="0"/>
    <x v="0"/>
    <s v="HC"/>
    <s v="Done for 1000"/>
    <m/>
    <s v="Henry Jr Ifurung"/>
  </r>
  <r>
    <n v="1865"/>
    <s v="F2"/>
    <x v="73"/>
    <s v="H000005270"/>
    <s v="Freight and other Transportation_1895"/>
    <s v="H000000652"/>
    <s v="New"/>
    <x v="0"/>
    <x v="0"/>
    <s v="HC"/>
    <s v="Done for 1000"/>
    <m/>
    <s v="Henry Jr Ifurung"/>
  </r>
  <r>
    <n v="1866"/>
    <s v="F2"/>
    <x v="73"/>
    <s v="H000005271"/>
    <s v="Quality - Subsidiaries &amp; Distrib_1132"/>
    <s v="H000000684"/>
    <s v="New"/>
    <x v="0"/>
    <x v="0"/>
    <s v="HC"/>
    <s v="Done for 1000"/>
    <m/>
    <s v="Henry Jr Ifurung"/>
  </r>
  <r>
    <n v="1867"/>
    <s v="F2"/>
    <x v="73"/>
    <s v="H000005272"/>
    <s v="Quality - Subsidiaries &amp; Distrib_1203"/>
    <s v="H000000684"/>
    <s v="New"/>
    <x v="0"/>
    <x v="0"/>
    <s v="HC"/>
    <s v="Done for 1000"/>
    <m/>
    <s v="Henry Jr Ifurung"/>
  </r>
  <r>
    <n v="1868"/>
    <s v="F2"/>
    <x v="73"/>
    <s v="H000005273"/>
    <s v="Quality - Subsidiaries &amp; Distrib_1215"/>
    <s v="H000000684"/>
    <s v="New"/>
    <x v="0"/>
    <x v="0"/>
    <s v="HC"/>
    <s v="Done for 1000"/>
    <m/>
    <s v="Henry Jr Ifurung"/>
  </r>
  <r>
    <n v="1869"/>
    <s v="F2"/>
    <x v="73"/>
    <s v="H000005274"/>
    <s v="Quality - Subsidiaries &amp; Distrib_1242"/>
    <s v="H000000684"/>
    <s v="New"/>
    <x v="0"/>
    <x v="0"/>
    <s v="HC"/>
    <s v="Done for 1000"/>
    <m/>
    <s v="Henry Jr Ifurung"/>
  </r>
  <r>
    <n v="1870"/>
    <s v="F2"/>
    <x v="73"/>
    <s v="H000005275"/>
    <s v="Quality - Subsidiaries_1023"/>
    <s v="H000000685"/>
    <s v="New"/>
    <x v="0"/>
    <x v="0"/>
    <s v="HC"/>
    <s v="Done for 1000"/>
    <m/>
    <s v="Henry Jr Ifurung"/>
  </r>
  <r>
    <n v="1871"/>
    <s v="F2"/>
    <x v="73"/>
    <s v="H000005276"/>
    <s v="Quality - Subsidiaries_1024"/>
    <s v="H000000685"/>
    <s v="New"/>
    <x v="0"/>
    <x v="0"/>
    <s v="HC"/>
    <s v="Done for 1000"/>
    <m/>
    <s v="Henry Jr Ifurung"/>
  </r>
  <r>
    <n v="1872"/>
    <s v="F2"/>
    <x v="73"/>
    <s v="H000005277"/>
    <s v="Quality - Subsidiaries_1028"/>
    <s v="H000000685"/>
    <s v="New"/>
    <x v="0"/>
    <x v="0"/>
    <s v="HC"/>
    <s v="Done for 1000"/>
    <m/>
    <s v="Henry Jr Ifurung"/>
  </r>
  <r>
    <n v="1873"/>
    <s v="F2"/>
    <x v="73"/>
    <s v="H000005278"/>
    <s v="Quality - Subsidiaries_1030"/>
    <s v="H000000685"/>
    <s v="New"/>
    <x v="0"/>
    <x v="0"/>
    <s v="HC"/>
    <s v="Done for 1000"/>
    <m/>
    <s v="Henry Jr Ifurung"/>
  </r>
  <r>
    <n v="1874"/>
    <s v="F2"/>
    <x v="73"/>
    <s v="H000005279"/>
    <s v="Quality - Subsidiaries_1032"/>
    <s v="H000000685"/>
    <s v="New"/>
    <x v="0"/>
    <x v="0"/>
    <s v="HC"/>
    <s v="Done for 1000"/>
    <m/>
    <s v="Henry Jr Ifurung"/>
  </r>
  <r>
    <n v="1875"/>
    <s v="F2"/>
    <x v="73"/>
    <s v="H000005280"/>
    <s v="Quality - Subsidiaries_1034"/>
    <s v="H000000685"/>
    <s v="New"/>
    <x v="0"/>
    <x v="0"/>
    <s v="HC"/>
    <s v="Done for 1000"/>
    <m/>
    <s v="Henry Jr Ifurung"/>
  </r>
  <r>
    <n v="1876"/>
    <s v="F2"/>
    <x v="73"/>
    <s v="H000005281"/>
    <s v="Quality - Subsidiaries_1035"/>
    <s v="H000000685"/>
    <s v="New"/>
    <x v="0"/>
    <x v="0"/>
    <s v="HC"/>
    <s v="Done for 1000"/>
    <m/>
    <s v="Henry Jr Ifurung"/>
  </r>
  <r>
    <n v="1877"/>
    <s v="F2"/>
    <x v="73"/>
    <s v="H000005282"/>
    <s v="Quality - Subsidiaries_1042"/>
    <s v="H000000685"/>
    <s v="New"/>
    <x v="0"/>
    <x v="0"/>
    <s v="HC"/>
    <s v="Done for 1000"/>
    <m/>
    <s v="Henry Jr Ifurung"/>
  </r>
  <r>
    <n v="1878"/>
    <s v="F2"/>
    <x v="73"/>
    <s v="H000005283"/>
    <s v="Quality - Subsidiaries_1044"/>
    <s v="H000000685"/>
    <s v="New"/>
    <x v="0"/>
    <x v="0"/>
    <s v="HC"/>
    <s v="Done for 1000"/>
    <m/>
    <s v="Henry Jr Ifurung"/>
  </r>
  <r>
    <n v="1879"/>
    <s v="F2"/>
    <x v="73"/>
    <s v="H000005284"/>
    <s v="Quality - Subsidiaries_1054"/>
    <s v="H000000685"/>
    <s v="New"/>
    <x v="0"/>
    <x v="0"/>
    <s v="HC"/>
    <s v="Done for 1000"/>
    <m/>
    <s v="Henry Jr Ifurung"/>
  </r>
  <r>
    <n v="1880"/>
    <s v="F2"/>
    <x v="73"/>
    <s v="H000005285"/>
    <s v="Quality - Subsidiaries_1060"/>
    <s v="H000000685"/>
    <s v="New"/>
    <x v="0"/>
    <x v="0"/>
    <s v="HC"/>
    <s v="Done for 1000"/>
    <m/>
    <s v="Henry Jr Ifurung"/>
  </r>
  <r>
    <n v="1881"/>
    <s v="F2"/>
    <x v="73"/>
    <s v="H000005286"/>
    <s v="Quality - Subsidiaries_1072"/>
    <s v="H000000685"/>
    <s v="New"/>
    <x v="0"/>
    <x v="0"/>
    <s v="HC"/>
    <s v="Done for 1000"/>
    <m/>
    <s v="Henry Jr Ifurung"/>
  </r>
  <r>
    <n v="1882"/>
    <s v="F2"/>
    <x v="73"/>
    <s v="H000005287"/>
    <s v="Quality - Subsidiaries_1085"/>
    <s v="H000000685"/>
    <s v="New"/>
    <x v="0"/>
    <x v="0"/>
    <s v="HC"/>
    <s v="Done for 1000"/>
    <m/>
    <s v="Henry Jr Ifurung"/>
  </r>
  <r>
    <n v="1883"/>
    <s v="F2"/>
    <x v="73"/>
    <s v="H000005288"/>
    <s v="Quality - Subsidiaries_1092"/>
    <s v="H000000685"/>
    <s v="New"/>
    <x v="0"/>
    <x v="0"/>
    <s v="HC"/>
    <s v="Done for 1000"/>
    <m/>
    <s v="Henry Jr Ifurung"/>
  </r>
  <r>
    <n v="1884"/>
    <s v="F2"/>
    <x v="73"/>
    <s v="H000005289"/>
    <s v="Quality - Subsidiaries_1201"/>
    <s v="H000000685"/>
    <s v="New"/>
    <x v="0"/>
    <x v="0"/>
    <s v="HC"/>
    <s v="Done for 1000"/>
    <m/>
    <s v="Henry Jr Ifurung"/>
  </r>
  <r>
    <n v="1885"/>
    <s v="F2"/>
    <x v="73"/>
    <s v="H000005290"/>
    <s v="Quality - Subsidiaries_1202"/>
    <s v="H000000685"/>
    <s v="New"/>
    <x v="0"/>
    <x v="0"/>
    <s v="HC"/>
    <s v="Done for 1000"/>
    <m/>
    <s v="Henry Jr Ifurung"/>
  </r>
  <r>
    <n v="1886"/>
    <s v="F2"/>
    <x v="73"/>
    <s v="H000005291"/>
    <s v="Quality - Subsidiaries_1214"/>
    <s v="H000000685"/>
    <s v="New"/>
    <x v="0"/>
    <x v="0"/>
    <s v="HC"/>
    <s v="Done for 1000"/>
    <m/>
    <s v="Henry Jr Ifurung"/>
  </r>
  <r>
    <n v="1887"/>
    <s v="F2"/>
    <x v="73"/>
    <s v="H000005292"/>
    <s v="Quality - Subsidiaries_1217"/>
    <s v="H000000685"/>
    <s v="New"/>
    <x v="0"/>
    <x v="0"/>
    <s v="HC"/>
    <s v="Done for 1000"/>
    <m/>
    <s v="Henry Jr Ifurung"/>
  </r>
  <r>
    <n v="1888"/>
    <s v="F2"/>
    <x v="73"/>
    <s v="H000005293"/>
    <s v="Quality - Subsidiaries_1226"/>
    <s v="H000000685"/>
    <s v="New"/>
    <x v="0"/>
    <x v="0"/>
    <s v="HC"/>
    <s v="Done for 1000"/>
    <m/>
    <s v="Henry Jr Ifurung"/>
  </r>
  <r>
    <n v="1889"/>
    <s v="F2"/>
    <x v="73"/>
    <s v="H000005294"/>
    <s v="Quality - Subsidiaries_1233"/>
    <s v="H000000685"/>
    <s v="New"/>
    <x v="0"/>
    <x v="0"/>
    <s v="HC"/>
    <s v="Done for 1000"/>
    <m/>
    <s v="Henry Jr Ifurung"/>
  </r>
  <r>
    <n v="1890"/>
    <s v="F2"/>
    <x v="73"/>
    <s v="H000005295"/>
    <s v="Quality - Subsidiaries_1250"/>
    <s v="H000000685"/>
    <s v="New"/>
    <x v="0"/>
    <x v="0"/>
    <s v="HC"/>
    <s v="Done for 1000"/>
    <m/>
    <s v="Henry Jr Ifurung"/>
  </r>
  <r>
    <n v="1891"/>
    <s v="F2"/>
    <x v="73"/>
    <s v="H000005296"/>
    <s v="Quality - Subsidiaries_1258"/>
    <s v="H000000685"/>
    <s v="New"/>
    <x v="0"/>
    <x v="0"/>
    <s v="HC"/>
    <s v="Done for 1000"/>
    <m/>
    <s v="Henry Jr Ifurung"/>
  </r>
  <r>
    <n v="1892"/>
    <s v="F2"/>
    <x v="73"/>
    <s v="H000005297"/>
    <s v="Quality - Subsidiaries_1266"/>
    <s v="H000000685"/>
    <s v="New"/>
    <x v="0"/>
    <x v="0"/>
    <s v="HC"/>
    <s v="Done for 1000"/>
    <m/>
    <s v="Henry Jr Ifurung"/>
  </r>
  <r>
    <n v="1893"/>
    <s v="F2"/>
    <x v="73"/>
    <s v="H000005298"/>
    <s v="Quality - Subsidiaries_1730"/>
    <s v="H000000685"/>
    <s v="New"/>
    <x v="0"/>
    <x v="0"/>
    <s v="HC"/>
    <s v="Done for 1000"/>
    <m/>
    <s v="Henry Jr Ifurung"/>
  </r>
  <r>
    <n v="1894"/>
    <s v="F2"/>
    <x v="73"/>
    <s v="H000005299"/>
    <s v="Quality - Subsidiaries_1784"/>
    <s v="H000000685"/>
    <s v="New"/>
    <x v="0"/>
    <x v="0"/>
    <s v="HC"/>
    <s v="Done for 1000"/>
    <m/>
    <s v="Henry Jr Ifurung"/>
  </r>
  <r>
    <n v="1895"/>
    <s v="F2"/>
    <x v="73"/>
    <s v="H000005300"/>
    <s v="Quality - Subsidiaries_1787"/>
    <s v="H000000685"/>
    <s v="New"/>
    <x v="0"/>
    <x v="0"/>
    <s v="HC"/>
    <s v="Done for 1000"/>
    <m/>
    <s v="Henry Jr Ifurung"/>
  </r>
  <r>
    <n v="1896"/>
    <s v="F2"/>
    <x v="73"/>
    <s v="H000005301"/>
    <s v="Quality - Subsidiaries_1822"/>
    <s v="H000000685"/>
    <s v="New"/>
    <x v="0"/>
    <x v="0"/>
    <s v="HC"/>
    <s v="Done for 1000"/>
    <m/>
    <s v="Henry Jr Ifurung"/>
  </r>
  <r>
    <n v="1897"/>
    <s v="F2"/>
    <x v="73"/>
    <s v="H000005302"/>
    <s v="Quality - Subsidiaries_1872"/>
    <s v="H000000685"/>
    <s v="New"/>
    <x v="0"/>
    <x v="0"/>
    <s v="HC"/>
    <s v="Done for 1000"/>
    <m/>
    <s v="Henry Jr Ifurung"/>
  </r>
  <r>
    <n v="1898"/>
    <s v="F2"/>
    <x v="73"/>
    <s v="H000005303"/>
    <s v="Quality - Subsidiaries_1881"/>
    <s v="H000000685"/>
    <s v="New"/>
    <x v="0"/>
    <x v="0"/>
    <s v="HC"/>
    <s v="Done for 1000"/>
    <m/>
    <s v="Henry Jr Ifurung"/>
  </r>
  <r>
    <n v="1899"/>
    <s v="F2"/>
    <x v="73"/>
    <s v="H000005304"/>
    <s v="Quality - Subsidiaries_1895"/>
    <s v="H000000685"/>
    <s v="New"/>
    <x v="0"/>
    <x v="0"/>
    <s v="HC"/>
    <s v="Done for 1000"/>
    <m/>
    <s v="Henry Jr Ifurung"/>
  </r>
  <r>
    <n v="1900"/>
    <s v="F2"/>
    <x v="73"/>
    <s v="H000005305"/>
    <s v="Quality - Subsidiaries_2246"/>
    <s v="H000000685"/>
    <s v="New"/>
    <x v="0"/>
    <x v="0"/>
    <s v="HC"/>
    <s v="Done for 1000"/>
    <m/>
    <s v="Henry Jr Ifurung"/>
  </r>
  <r>
    <n v="1901"/>
    <s v="F2"/>
    <x v="73"/>
    <s v="H000005306"/>
    <s v="Quality - Subsidiaries_2358"/>
    <s v="H000000685"/>
    <s v="New"/>
    <x v="0"/>
    <x v="0"/>
    <s v="HC"/>
    <s v="Done for 1000"/>
    <m/>
    <s v="Henry Jr Ifurung"/>
  </r>
  <r>
    <n v="1902"/>
    <s v="F2"/>
    <x v="73"/>
    <s v="H000005307"/>
    <s v="Quality - Distribution_1025"/>
    <s v="H000000686"/>
    <s v="New"/>
    <x v="0"/>
    <x v="0"/>
    <s v="HC"/>
    <s v="Done for 1000"/>
    <m/>
    <s v="Henry Jr Ifurung"/>
  </r>
  <r>
    <n v="1903"/>
    <s v="F2"/>
    <x v="73"/>
    <s v="H000005308"/>
    <s v="Quality - Distribution_1028"/>
    <s v="H000000686"/>
    <s v="New"/>
    <x v="0"/>
    <x v="0"/>
    <s v="HC"/>
    <s v="Done for 1000"/>
    <m/>
    <s v="Henry Jr Ifurung"/>
  </r>
  <r>
    <n v="1904"/>
    <s v="F2"/>
    <x v="73"/>
    <s v="H000005309"/>
    <s v="Quality - Distribution_1032"/>
    <s v="H000000686"/>
    <s v="New"/>
    <x v="0"/>
    <x v="0"/>
    <s v="HC"/>
    <s v="Done for 1000"/>
    <m/>
    <s v="Henry Jr Ifurung"/>
  </r>
  <r>
    <n v="1905"/>
    <s v="F2"/>
    <x v="73"/>
    <s v="H000005310"/>
    <s v="Quality - Distribution_1042"/>
    <s v="H000000686"/>
    <s v="New"/>
    <x v="0"/>
    <x v="0"/>
    <s v="HC"/>
    <s v="Done for 1000"/>
    <m/>
    <s v="Henry Jr Ifurung"/>
  </r>
  <r>
    <n v="1906"/>
    <s v="F2"/>
    <x v="73"/>
    <s v="H000005311"/>
    <s v="Quality - Distribution_1234"/>
    <s v="H000000686"/>
    <s v="New"/>
    <x v="0"/>
    <x v="0"/>
    <s v="HC"/>
    <s v="Done for 1000"/>
    <m/>
    <s v="Henry Jr Ifurung"/>
  </r>
  <r>
    <n v="1907"/>
    <s v="F2"/>
    <x v="73"/>
    <s v="H000005312"/>
    <s v="Quality - Distribution_1243"/>
    <s v="H000000686"/>
    <s v="New"/>
    <x v="0"/>
    <x v="0"/>
    <s v="HC"/>
    <s v="Done for 1000"/>
    <m/>
    <s v="Henry Jr Ifurung"/>
  </r>
  <r>
    <n v="1908"/>
    <s v="F2"/>
    <x v="73"/>
    <s v="H000005313"/>
    <s v="Quality - Distribution_1248"/>
    <s v="H000000686"/>
    <s v="New"/>
    <x v="0"/>
    <x v="0"/>
    <s v="HC"/>
    <s v="Done for 1000"/>
    <m/>
    <s v="Henry Jr Ifurung"/>
  </r>
  <r>
    <n v="1909"/>
    <s v="F2"/>
    <x v="73"/>
    <s v="H000005314"/>
    <s v="Quality - Distribution_1261"/>
    <s v="H000000686"/>
    <s v="New"/>
    <x v="0"/>
    <x v="0"/>
    <s v="HC"/>
    <s v="Done for 1000"/>
    <m/>
    <s v="Henry Jr Ifurung"/>
  </r>
  <r>
    <n v="1910"/>
    <s v="F2"/>
    <x v="73"/>
    <s v="H000005315"/>
    <s v="Quality - Distribution_1401"/>
    <s v="H000000686"/>
    <s v="New"/>
    <x v="0"/>
    <x v="0"/>
    <s v="HC"/>
    <s v="Done for 1000"/>
    <m/>
    <s v="Henry Jr Ifurung"/>
  </r>
  <r>
    <n v="1911"/>
    <s v="F2"/>
    <x v="73"/>
    <s v="H000005316"/>
    <s v="Quality - Distribution_1402"/>
    <s v="H000000686"/>
    <s v="New"/>
    <x v="0"/>
    <x v="0"/>
    <s v="HC"/>
    <s v="Done for 1000"/>
    <m/>
    <s v="Henry Jr Ifurung"/>
  </r>
  <r>
    <n v="1912"/>
    <s v="F2"/>
    <x v="73"/>
    <s v="H000005317"/>
    <s v="Quality - Distribution_1561"/>
    <s v="H000000686"/>
    <s v="New"/>
    <x v="0"/>
    <x v="0"/>
    <s v="HC"/>
    <s v="Done for 1000"/>
    <m/>
    <s v="Henry Jr Ifurung"/>
  </r>
  <r>
    <n v="1913"/>
    <s v="F2"/>
    <x v="73"/>
    <s v="H000005318"/>
    <s v="Quality - Distribution_1685"/>
    <s v="H000000686"/>
    <s v="New"/>
    <x v="0"/>
    <x v="0"/>
    <s v="HC"/>
    <s v="Done for 1000"/>
    <m/>
    <s v="Henry Jr Ifurung"/>
  </r>
  <r>
    <n v="1914"/>
    <s v="F2"/>
    <x v="73"/>
    <s v="H000005319"/>
    <s v="Quality - Distribution_1758"/>
    <s v="H000000686"/>
    <s v="New"/>
    <x v="0"/>
    <x v="0"/>
    <s v="HC"/>
    <s v="Done for 1000"/>
    <m/>
    <s v="Henry Jr Ifurung"/>
  </r>
  <r>
    <n v="1915"/>
    <s v="F2"/>
    <x v="73"/>
    <s v="H000005320"/>
    <s v="Quality - Distribution_1759"/>
    <s v="H000000686"/>
    <s v="New"/>
    <x v="0"/>
    <x v="0"/>
    <s v="HC"/>
    <s v="Done for 1000"/>
    <m/>
    <s v="Henry Jr Ifurung"/>
  </r>
  <r>
    <n v="1916"/>
    <s v="F2"/>
    <x v="73"/>
    <s v="H000005321"/>
    <s v="Quality - Distribution_1760"/>
    <s v="H000000686"/>
    <s v="New"/>
    <x v="0"/>
    <x v="0"/>
    <s v="HC"/>
    <s v="Done for 1000"/>
    <m/>
    <s v="Henry Jr Ifurung"/>
  </r>
  <r>
    <n v="1917"/>
    <s v="F2"/>
    <x v="73"/>
    <s v="H000005322"/>
    <s v="Quality - Distribution_1785"/>
    <s v="H000000686"/>
    <s v="New"/>
    <x v="0"/>
    <x v="0"/>
    <s v="HC"/>
    <s v="Done for 1000"/>
    <m/>
    <s v="Henry Jr Ifurung"/>
  </r>
  <r>
    <n v="1918"/>
    <s v="F2"/>
    <x v="73"/>
    <s v="H000005323"/>
    <s v="Quality - Distribution_1820"/>
    <s v="H000000686"/>
    <s v="New"/>
    <x v="0"/>
    <x v="0"/>
    <s v="HC"/>
    <s v="Done for 1000"/>
    <m/>
    <s v="Henry Jr Ifurung"/>
  </r>
  <r>
    <n v="1919"/>
    <s v="F2"/>
    <x v="73"/>
    <s v="H000005324"/>
    <s v="Quality - Distribution_1826"/>
    <s v="H000000686"/>
    <s v="New"/>
    <x v="0"/>
    <x v="0"/>
    <s v="HC"/>
    <s v="Done for 1000"/>
    <m/>
    <s v="Henry Jr Ifurung"/>
  </r>
  <r>
    <n v="1920"/>
    <s v="F2"/>
    <x v="73"/>
    <s v="H000005325"/>
    <s v="Quality - Distribution_1891"/>
    <s v="H000000686"/>
    <s v="New"/>
    <x v="0"/>
    <x v="0"/>
    <s v="HC"/>
    <s v="Done for 1000"/>
    <m/>
    <s v="Henry Jr Ifurung"/>
  </r>
  <r>
    <n v="1921"/>
    <s v="F2"/>
    <x v="73"/>
    <s v="H000005326"/>
    <s v="Quality - Distribution_2367"/>
    <s v="H000000686"/>
    <s v="New"/>
    <x v="0"/>
    <x v="0"/>
    <s v="HC"/>
    <s v="Done for 1000"/>
    <m/>
    <s v="Henry Jr Ifurung"/>
  </r>
  <r>
    <n v="1922"/>
    <s v="F2"/>
    <x v="73"/>
    <s v="H000005327"/>
    <s v="Quality - Pharma sites_1261"/>
    <s v="H000004261"/>
    <s v="New"/>
    <x v="0"/>
    <x v="0"/>
    <s v="HC"/>
    <s v="Done for 1000"/>
    <m/>
    <s v="Henry Jr Ifurung"/>
  </r>
  <r>
    <n v="1923"/>
    <s v="F2"/>
    <x v="73"/>
    <s v="H000005328"/>
    <s v="Quality - Pharma sites_1401"/>
    <s v="H000004261"/>
    <s v="New"/>
    <x v="0"/>
    <x v="0"/>
    <s v="HC"/>
    <s v="Done for 1000"/>
    <m/>
    <s v="Henry Jr Ifurung"/>
  </r>
  <r>
    <n v="1924"/>
    <s v="F2"/>
    <x v="73"/>
    <s v="H000005329"/>
    <s v="Quality - Pharma sites_1891"/>
    <s v="H000004261"/>
    <s v="New"/>
    <x v="0"/>
    <x v="0"/>
    <s v="HC"/>
    <s v="Done for 1000"/>
    <m/>
    <s v="Henry Jr Ifurung"/>
  </r>
  <r>
    <n v="1925"/>
    <s v="F2"/>
    <x v="73"/>
    <s v="H000005330"/>
    <s v="Quality - Global QC_1227"/>
    <s v="H000004263"/>
    <s v="New"/>
    <x v="0"/>
    <x v="0"/>
    <s v="HC"/>
    <s v="Done for 1000"/>
    <m/>
    <s v="Henry Jr Ifurung"/>
  </r>
  <r>
    <n v="1926"/>
    <s v="F2"/>
    <x v="73"/>
    <s v="H000005331"/>
    <s v="Quality - Global QC_1250"/>
    <s v="H000004263"/>
    <s v="New"/>
    <x v="0"/>
    <x v="0"/>
    <s v="HC"/>
    <s v="Done for 1000"/>
    <m/>
    <s v="Henry Jr Ifurung"/>
  </r>
  <r>
    <n v="1927"/>
    <s v="F2"/>
    <x v="73"/>
    <s v="H000005332"/>
    <s v="Quality - Global QC_1261"/>
    <s v="H000004263"/>
    <s v="New"/>
    <x v="0"/>
    <x v="0"/>
    <s v="HC"/>
    <s v="Done for 1000"/>
    <m/>
    <s v="Henry Jr Ifurung"/>
  </r>
  <r>
    <n v="1928"/>
    <s v="F2"/>
    <x v="73"/>
    <s v="H000005333"/>
    <s v="Quality - Global QC_1401"/>
    <s v="H000004263"/>
    <s v="New"/>
    <x v="0"/>
    <x v="0"/>
    <s v="HC"/>
    <s v="Done for 1000"/>
    <m/>
    <s v="Henry Jr Ifurung"/>
  </r>
  <r>
    <n v="1929"/>
    <s v="F2"/>
    <x v="73"/>
    <s v="H000005334"/>
    <s v="Quality - Global QC_1891"/>
    <s v="H000004263"/>
    <s v="New"/>
    <x v="0"/>
    <x v="0"/>
    <s v="HC"/>
    <s v="Done for 1000"/>
    <m/>
    <s v="Henry Jr Ifurung"/>
  </r>
  <r>
    <n v="1930"/>
    <s v="F2"/>
    <x v="73"/>
    <s v="H000005335"/>
    <s v="Quality - Local subsidiaries_1022"/>
    <s v="H000004266"/>
    <s v="New"/>
    <x v="0"/>
    <x v="0"/>
    <s v="HC"/>
    <s v="Done for 1000"/>
    <m/>
    <s v="Henry Jr Ifurung"/>
  </r>
  <r>
    <n v="1931"/>
    <s v="F2"/>
    <x v="73"/>
    <s v="H000005336"/>
    <s v="Quality - Local subsidiaries_1025"/>
    <s v="H000004266"/>
    <s v="New"/>
    <x v="0"/>
    <x v="0"/>
    <s v="HC"/>
    <s v="Done for 1000"/>
    <m/>
    <s v="Henry Jr Ifurung"/>
  </r>
  <r>
    <n v="1932"/>
    <s v="F2"/>
    <x v="73"/>
    <s v="H000005337"/>
    <s v="Quality - Local subsidiaries_1212"/>
    <s v="H000004266"/>
    <s v="New"/>
    <x v="0"/>
    <x v="0"/>
    <s v="HC"/>
    <s v="Done for 1000"/>
    <m/>
    <s v="Henry Jr Ifurung"/>
  </r>
  <r>
    <n v="1933"/>
    <s v="F2"/>
    <x v="73"/>
    <s v="H000005338"/>
    <s v="Quality - Local subsidiaries_1820"/>
    <s v="H000004266"/>
    <s v="New"/>
    <x v="0"/>
    <x v="0"/>
    <s v="HC"/>
    <s v="Done for 1000"/>
    <m/>
    <s v="Henry Jr Ifurung"/>
  </r>
  <r>
    <n v="1934"/>
    <s v="F2"/>
    <x v="73"/>
    <s v="H000005339"/>
    <s v="Quality - Local subsidiaries_1826"/>
    <s v="H000004266"/>
    <s v="New"/>
    <x v="0"/>
    <x v="0"/>
    <s v="HC"/>
    <s v="Done for 1000"/>
    <m/>
    <s v="Henry Jr Ifurung"/>
  </r>
  <r>
    <n v="1935"/>
    <s v="F2"/>
    <x v="73"/>
    <s v="H000005340"/>
    <s v="Quality - Local subsidiaries_2276"/>
    <s v="H000004266"/>
    <s v="New"/>
    <x v="0"/>
    <x v="0"/>
    <s v="HC"/>
    <s v="Done for 1000"/>
    <m/>
    <s v="Henry Jr Ifurung"/>
  </r>
  <r>
    <n v="1936"/>
    <s v="F2"/>
    <x v="73"/>
    <s v="H000005341"/>
    <s v="Quality - Local subsidiaries_2367"/>
    <s v="H000004266"/>
    <s v="New"/>
    <x v="0"/>
    <x v="0"/>
    <s v="HC"/>
    <s v="Done for 1000"/>
    <m/>
    <s v="Henry Jr Ifurung"/>
  </r>
  <r>
    <n v="1937"/>
    <s v="F2"/>
    <x v="74"/>
    <s v="H000005342"/>
    <s v="SA - BU Rare Diseases"/>
    <s v="H000003342"/>
    <s v="New"/>
    <x v="0"/>
    <x v="0"/>
    <s v="HC"/>
    <s v="Done for 1000"/>
    <b v="1"/>
    <s v="Henry Jr Ifurung"/>
  </r>
  <r>
    <n v="1938"/>
    <s v="F2"/>
    <x v="74"/>
    <s v="H000005343"/>
    <s v="SA - Field Force Rare Diseases"/>
    <s v="H000005342"/>
    <s v="New"/>
    <x v="0"/>
    <x v="0"/>
    <s v="HC"/>
    <s v="Done for 1000"/>
    <b v="1"/>
    <s v="Henry Jr Ifurung"/>
  </r>
  <r>
    <n v="1939"/>
    <s v="F2"/>
    <x v="74"/>
    <s v="H000005344"/>
    <s v="SA - Marketing Rare Diseases"/>
    <s v="H000005342"/>
    <s v="New"/>
    <x v="0"/>
    <x v="0"/>
    <s v="HC"/>
    <s v="Done for 1000"/>
    <b v="1"/>
    <s v="Henry Jr Ifurung"/>
  </r>
  <r>
    <n v="1940"/>
    <s v="F2"/>
    <x v="74"/>
    <s v="H000005345"/>
    <s v="SA - Sales Promotion Rare Diseases"/>
    <s v="H000005342"/>
    <s v="New"/>
    <x v="0"/>
    <x v="0"/>
    <s v="HC"/>
    <s v="Done for 1000"/>
    <b v="1"/>
    <s v="Henry Jr Ifurung"/>
  </r>
  <r>
    <n v="1941"/>
    <s v="F2"/>
    <x v="74"/>
    <s v="H000005346"/>
    <s v="SA - Medical Rare Diseases"/>
    <s v="H000003362"/>
    <s v="New"/>
    <x v="0"/>
    <x v="0"/>
    <s v="HC"/>
    <s v="Done for 1000"/>
    <b v="1"/>
    <s v="Henry Jr Ifurung"/>
  </r>
  <r>
    <n v="1942"/>
    <s v="F2"/>
    <x v="74"/>
    <s v="H000005347"/>
    <s v="SA - Medical Team"/>
    <s v="H000005346"/>
    <s v="New"/>
    <x v="0"/>
    <x v="0"/>
    <s v="HC"/>
    <s v="Done for 1000"/>
    <b v="1"/>
    <s v="Henry Jr Ifurung"/>
  </r>
  <r>
    <n v="1943"/>
    <s v="F2"/>
    <x v="74"/>
    <s v="H000005348"/>
    <s v="SA - Medical Activities Non R&amp;D RD"/>
    <s v="H000005346"/>
    <s v="New"/>
    <x v="0"/>
    <x v="0"/>
    <s v="HC"/>
    <s v="Done for 1000"/>
    <b v="1"/>
    <s v="Henry Jr Ifurung"/>
  </r>
  <r>
    <n v="1944"/>
    <s v="F2"/>
    <x v="74"/>
    <s v="H000005349"/>
    <s v="AE - BU Rare Diseases"/>
    <s v="H000003513"/>
    <s v="New"/>
    <x v="0"/>
    <x v="0"/>
    <s v="HC"/>
    <s v="Done for 1000"/>
    <b v="1"/>
    <s v="Henry Jr Ifurung"/>
  </r>
  <r>
    <n v="1945"/>
    <s v="F2"/>
    <x v="74"/>
    <s v="H000005350"/>
    <s v="AE - Field Force Rare Diseases"/>
    <s v="H000005349"/>
    <s v="New"/>
    <x v="0"/>
    <x v="0"/>
    <s v="HC"/>
    <s v="Done for 1000"/>
    <b v="1"/>
    <s v="Henry Jr Ifurung"/>
  </r>
  <r>
    <n v="1946"/>
    <s v="F2"/>
    <x v="74"/>
    <s v="H000005351"/>
    <s v="AE - Marketing Rare Diseases"/>
    <s v="H000005349"/>
    <s v="New"/>
    <x v="0"/>
    <x v="0"/>
    <s v="HC"/>
    <s v="Done for 1000"/>
    <b v="1"/>
    <s v="Henry Jr Ifurung"/>
  </r>
  <r>
    <n v="1947"/>
    <s v="F2"/>
    <x v="74"/>
    <s v="H000005352"/>
    <s v="AE - Sales Promotion Rare Diseases"/>
    <s v="H000005349"/>
    <s v="New"/>
    <x v="0"/>
    <x v="0"/>
    <s v="HC"/>
    <s v="Done for 1000"/>
    <b v="1"/>
    <s v="Henry Jr Ifurung"/>
  </r>
  <r>
    <n v="1948"/>
    <s v="F2"/>
    <x v="74"/>
    <s v="H000005353"/>
    <s v="AE - Medical Rare Diseases"/>
    <s v="H000003523"/>
    <s v="New"/>
    <x v="0"/>
    <x v="0"/>
    <s v="HC"/>
    <s v="Done for 1000"/>
    <b v="1"/>
    <s v="Henry Jr Ifurung"/>
  </r>
  <r>
    <n v="1949"/>
    <s v="F2"/>
    <x v="74"/>
    <s v="H000005354"/>
    <s v="AE - Medical Team"/>
    <s v="H000005353"/>
    <s v="New"/>
    <x v="0"/>
    <x v="0"/>
    <s v="HC"/>
    <s v="Done for 1000"/>
    <b v="1"/>
    <s v="Henry Jr Ifurung"/>
  </r>
  <r>
    <n v="1950"/>
    <s v="F2"/>
    <x v="74"/>
    <s v="H000005355"/>
    <s v="AE - Medical Activities Non R&amp;D RD"/>
    <s v="H000005353"/>
    <s v="New"/>
    <x v="0"/>
    <x v="0"/>
    <s v="HC"/>
    <s v="Done for 1000"/>
    <b v="1"/>
    <s v="Henry Jr Ifurung"/>
  </r>
  <r>
    <n v="1951"/>
    <s v="F2"/>
    <x v="74"/>
    <s v="H000005356"/>
    <s v="Gu - BU Rare Diseases"/>
    <s v="H000002953"/>
    <s v="New"/>
    <x v="0"/>
    <x v="0"/>
    <s v="HC"/>
    <s v="Done for 1000"/>
    <b v="1"/>
    <s v="Henry Jr Ifurung"/>
  </r>
  <r>
    <n v="1952"/>
    <s v="F2"/>
    <x v="74"/>
    <s v="H000005357"/>
    <s v="Gu - Field Force Rare Diseases"/>
    <s v="H000005356"/>
    <s v="New"/>
    <x v="0"/>
    <x v="0"/>
    <s v="HC"/>
    <s v="Done for 1000"/>
    <b v="1"/>
    <s v="Henry Jr Ifurung"/>
  </r>
  <r>
    <n v="1953"/>
    <s v="F2"/>
    <x v="74"/>
    <s v="H000005358"/>
    <s v="Gu - Marketing Rare Diseases"/>
    <s v="H000005356"/>
    <s v="New"/>
    <x v="0"/>
    <x v="0"/>
    <s v="HC"/>
    <s v="Done for 1000"/>
    <b v="1"/>
    <s v="Henry Jr Ifurung"/>
  </r>
  <r>
    <n v="1954"/>
    <s v="F2"/>
    <x v="74"/>
    <s v="H000005359"/>
    <s v="Gu - Sales Promotion Rare Diseases"/>
    <s v="H000005356"/>
    <s v="New"/>
    <x v="0"/>
    <x v="0"/>
    <s v="HC"/>
    <s v="Done for 1000"/>
    <b v="1"/>
    <s v="Henry Jr Ifurung"/>
  </r>
  <r>
    <n v="1955"/>
    <s v="F2"/>
    <x v="74"/>
    <s v="H000005360"/>
    <s v="Gu - Medical Rare Diseases"/>
    <s v="H000002970"/>
    <s v="New"/>
    <x v="0"/>
    <x v="0"/>
    <s v="HC"/>
    <s v="Done for 1000"/>
    <b v="1"/>
    <s v="Henry Jr Ifurung"/>
  </r>
  <r>
    <n v="1956"/>
    <s v="F2"/>
    <x v="74"/>
    <s v="H000005361"/>
    <s v="Gu - Medical Team"/>
    <s v="H000005360"/>
    <s v="New"/>
    <x v="0"/>
    <x v="0"/>
    <s v="HC"/>
    <s v="Done for 1000"/>
    <b v="1"/>
    <s v="Henry Jr Ifurung"/>
  </r>
  <r>
    <n v="1957"/>
    <s v="F2"/>
    <x v="74"/>
    <s v="H000005362"/>
    <s v="Gu - Medical Activities Non R&amp;D RD"/>
    <s v="H000005360"/>
    <s v="New"/>
    <x v="0"/>
    <x v="0"/>
    <s v="HC"/>
    <s v="Done for 1000"/>
    <b v="1"/>
    <s v="Henry Jr Ifurung"/>
  </r>
  <r>
    <n v="1958"/>
    <s v="F2"/>
    <x v="74"/>
    <s v="H000005363"/>
    <s v="RU - BU Rare Diseases"/>
    <s v="H000003301"/>
    <s v="New"/>
    <x v="0"/>
    <x v="0"/>
    <s v="HC"/>
    <s v="Done for 1000"/>
    <b v="1"/>
    <s v="Henry Jr Ifurung"/>
  </r>
  <r>
    <n v="1959"/>
    <s v="F2"/>
    <x v="74"/>
    <s v="H000005364"/>
    <s v="RU - Field Force Rare Diseases"/>
    <s v="H000005363"/>
    <s v="New"/>
    <x v="0"/>
    <x v="0"/>
    <s v="HC"/>
    <s v="Done for 1000"/>
    <b v="1"/>
    <s v="Henry Jr Ifurung"/>
  </r>
  <r>
    <n v="1960"/>
    <s v="F2"/>
    <x v="74"/>
    <s v="H000005365"/>
    <s v="RU - Marketing Rare Diseases"/>
    <s v="H000005363"/>
    <s v="New"/>
    <x v="0"/>
    <x v="0"/>
    <s v="HC"/>
    <s v="Done for 1000"/>
    <b v="1"/>
    <s v="Henry Jr Ifurung"/>
  </r>
  <r>
    <n v="1961"/>
    <s v="F2"/>
    <x v="74"/>
    <s v="H000005366"/>
    <s v="RU - Sales Promotion Rare Diseases"/>
    <s v="H000005363"/>
    <s v="New"/>
    <x v="0"/>
    <x v="0"/>
    <s v="HC"/>
    <s v="Done for 1000"/>
    <b v="1"/>
    <s v="Henry Jr Ifurung"/>
  </r>
  <r>
    <n v="1962"/>
    <s v="F2"/>
    <x v="74"/>
    <s v="H000005367"/>
    <s v="RU - Medical Rare Diseases"/>
    <s v="H000003320"/>
    <s v="New"/>
    <x v="0"/>
    <x v="0"/>
    <s v="HC"/>
    <s v="Done for 1000"/>
    <b v="1"/>
    <s v="Henry Jr Ifurung"/>
  </r>
  <r>
    <n v="1963"/>
    <s v="F2"/>
    <x v="74"/>
    <s v="H000005368"/>
    <s v="RU - Medical Team"/>
    <s v="H000005367"/>
    <s v="New"/>
    <x v="0"/>
    <x v="0"/>
    <s v="HC"/>
    <s v="Done for 1000"/>
    <b v="1"/>
    <s v="Henry Jr Ifurung"/>
  </r>
  <r>
    <n v="1964"/>
    <s v="F2"/>
    <x v="74"/>
    <s v="H000005369"/>
    <s v="RU - Medical Activities Non R&amp;D RD"/>
    <s v="H000005367"/>
    <s v="New"/>
    <x v="0"/>
    <x v="0"/>
    <s v="HC"/>
    <s v="Done for 1000"/>
    <b v="1"/>
    <s v="Henry Jr Ifurung"/>
  </r>
  <r>
    <n v="1965"/>
    <s v="F2"/>
    <x v="74"/>
    <s v="H000005370"/>
    <s v="EG - BU Rare Diseases"/>
    <s v="H000002933"/>
    <s v="New"/>
    <x v="0"/>
    <x v="0"/>
    <s v="HC"/>
    <s v="Done for 1000"/>
    <b v="1"/>
    <s v="Henry Jr Ifurung"/>
  </r>
  <r>
    <n v="1966"/>
    <s v="F2"/>
    <x v="74"/>
    <s v="H000005371"/>
    <s v="EG - Field Force Rare Diseases"/>
    <s v="H000005370"/>
    <s v="New"/>
    <x v="0"/>
    <x v="0"/>
    <s v="HC"/>
    <s v="Done for 1000"/>
    <b v="1"/>
    <s v="Henry Jr Ifurung"/>
  </r>
  <r>
    <n v="1967"/>
    <s v="F2"/>
    <x v="74"/>
    <s v="H000005372"/>
    <s v="EG - Marketing Rare Diseases"/>
    <s v="H000005370"/>
    <s v="New"/>
    <x v="0"/>
    <x v="0"/>
    <s v="HC"/>
    <s v="Done for 1000"/>
    <b v="1"/>
    <s v="Henry Jr Ifurung"/>
  </r>
  <r>
    <n v="1968"/>
    <s v="F2"/>
    <x v="74"/>
    <s v="H000005373"/>
    <s v="EG - Sales Promotion Rare Diseases"/>
    <s v="H000005370"/>
    <s v="New"/>
    <x v="0"/>
    <x v="0"/>
    <s v="HC"/>
    <s v="Done for 1000"/>
    <b v="1"/>
    <s v="Henry Jr Ifurung"/>
  </r>
  <r>
    <n v="1969"/>
    <s v="F2"/>
    <x v="74"/>
    <s v="H000005374"/>
    <s v="EG - Medical Rare Diseases"/>
    <s v="H000002946"/>
    <s v="New"/>
    <x v="0"/>
    <x v="0"/>
    <s v="HC"/>
    <s v="Done for 1000"/>
    <b v="1"/>
    <s v="Henry Jr Ifurung"/>
  </r>
  <r>
    <n v="1970"/>
    <s v="F2"/>
    <x v="74"/>
    <s v="H000005375"/>
    <s v="EG - Medical Team"/>
    <s v="H000005374"/>
    <s v="New"/>
    <x v="0"/>
    <x v="0"/>
    <s v="HC"/>
    <s v="Done for 1000"/>
    <b v="1"/>
    <s v="Henry Jr Ifurung"/>
  </r>
  <r>
    <n v="1971"/>
    <s v="F2"/>
    <x v="74"/>
    <s v="H000005376"/>
    <s v="EG - Medical Activities Non R&amp;D RD"/>
    <s v="H000005374"/>
    <s v="New"/>
    <x v="0"/>
    <x v="0"/>
    <s v="HC"/>
    <s v="Done for 1000"/>
    <b v="1"/>
    <s v="Henry Jr Ifurung"/>
  </r>
  <r>
    <n v="1972"/>
    <s v="F2"/>
    <x v="74"/>
    <s v="H000005377"/>
    <s v="ZA - BU Rare Diseases"/>
    <s v="H000003383"/>
    <s v="New"/>
    <x v="0"/>
    <x v="0"/>
    <s v="HC"/>
    <s v="Done for 1000"/>
    <b v="1"/>
    <s v="Henry Jr Ifurung"/>
  </r>
  <r>
    <n v="1973"/>
    <s v="F2"/>
    <x v="74"/>
    <s v="H000005378"/>
    <s v="ZA - Field Force Rare Diseases"/>
    <s v="H000005377"/>
    <s v="New"/>
    <x v="0"/>
    <x v="0"/>
    <s v="HC"/>
    <s v="Done for 1000"/>
    <b v="1"/>
    <s v="Henry Jr Ifurung"/>
  </r>
  <r>
    <n v="1974"/>
    <s v="F2"/>
    <x v="74"/>
    <s v="H000005379"/>
    <s v="ZA - Marketing Rare Diseases"/>
    <s v="H000005377"/>
    <s v="New"/>
    <x v="0"/>
    <x v="0"/>
    <s v="HC"/>
    <s v="Done for 1000"/>
    <b v="1"/>
    <s v="Henry Jr Ifurung"/>
  </r>
  <r>
    <n v="1975"/>
    <s v="F2"/>
    <x v="74"/>
    <s v="H000005380"/>
    <s v="ZA - Sales Promotion Rare Diseases"/>
    <s v="H000005377"/>
    <s v="New"/>
    <x v="0"/>
    <x v="0"/>
    <s v="HC"/>
    <s v="Done for 1000"/>
    <b v="1"/>
    <s v="Henry Jr Ifurung"/>
  </r>
  <r>
    <n v="1976"/>
    <s v="F2"/>
    <x v="74"/>
    <s v="H000005381"/>
    <s v="ZA - Medical Rare Diseases"/>
    <s v="H000003396"/>
    <s v="New"/>
    <x v="0"/>
    <x v="0"/>
    <s v="HC"/>
    <s v="Done for 1000"/>
    <b v="1"/>
    <s v="Henry Jr Ifurung"/>
  </r>
  <r>
    <n v="1977"/>
    <s v="F2"/>
    <x v="74"/>
    <s v="H000005382"/>
    <s v="ZA - Medical Team"/>
    <s v="H000005381"/>
    <s v="New"/>
    <x v="0"/>
    <x v="0"/>
    <s v="HC"/>
    <s v="Done for 1000"/>
    <b v="1"/>
    <s v="Henry Jr Ifurung"/>
  </r>
  <r>
    <n v="1978"/>
    <s v="F2"/>
    <x v="74"/>
    <s v="H000005383"/>
    <s v="ZA - Medical Activities Non R&amp;D RD"/>
    <s v="H000005381"/>
    <s v="New"/>
    <x v="0"/>
    <x v="0"/>
    <s v="HC"/>
    <s v="Done for 1000"/>
    <b v="1"/>
    <s v="Henry Jr Ifurung"/>
  </r>
  <r>
    <n v="1979"/>
    <s v="F2"/>
    <x v="74"/>
    <s v="H000005384"/>
    <s v="IQ - BU Rare Diseases"/>
    <s v="H000003021"/>
    <s v="New"/>
    <x v="0"/>
    <x v="0"/>
    <s v="HC"/>
    <s v="Done for 1000"/>
    <b v="1"/>
    <s v="Henry Jr Ifurung"/>
  </r>
  <r>
    <n v="1980"/>
    <s v="F2"/>
    <x v="74"/>
    <s v="H000005385"/>
    <s v="IQ - Field Force Rare Diseases"/>
    <s v="H000005384"/>
    <s v="New"/>
    <x v="0"/>
    <x v="0"/>
    <s v="HC"/>
    <s v="Done for 1000"/>
    <b v="1"/>
    <s v="Henry Jr Ifurung"/>
  </r>
  <r>
    <n v="1981"/>
    <s v="F2"/>
    <x v="74"/>
    <s v="H000005386"/>
    <s v="IQ - Marketing Rare Diseases"/>
    <s v="H000005384"/>
    <s v="New"/>
    <x v="0"/>
    <x v="0"/>
    <s v="HC"/>
    <s v="Done for 1000"/>
    <b v="1"/>
    <s v="Henry Jr Ifurung"/>
  </r>
  <r>
    <n v="1982"/>
    <s v="F2"/>
    <x v="74"/>
    <s v="H000005387"/>
    <s v="IQ - Sales Promotion Rare Diseases"/>
    <s v="H000005384"/>
    <s v="New"/>
    <x v="0"/>
    <x v="0"/>
    <s v="HC"/>
    <s v="Done for 1000"/>
    <b v="1"/>
    <s v="Henry Jr Ifurung"/>
  </r>
  <r>
    <n v="1983"/>
    <s v="F2"/>
    <x v="74"/>
    <s v="H000005388"/>
    <s v="IQ - Medical Rare Diseases"/>
    <s v="H000003036"/>
    <s v="New"/>
    <x v="0"/>
    <x v="0"/>
    <s v="HC"/>
    <s v="Done for 1000"/>
    <b v="1"/>
    <s v="Henry Jr Ifurung"/>
  </r>
  <r>
    <n v="1984"/>
    <s v="F2"/>
    <x v="74"/>
    <s v="H000005389"/>
    <s v="IQ - Medical Team"/>
    <s v="H000005388"/>
    <s v="New"/>
    <x v="0"/>
    <x v="0"/>
    <s v="HC"/>
    <s v="Done for 1000"/>
    <b v="1"/>
    <s v="Henry Jr Ifurung"/>
  </r>
  <r>
    <n v="1985"/>
    <s v="F2"/>
    <x v="74"/>
    <s v="H000005390"/>
    <s v="IQ - Medical Activities Non R&amp;D RD"/>
    <s v="H000005388"/>
    <s v="New"/>
    <x v="0"/>
    <x v="0"/>
    <s v="HC"/>
    <s v="Done for 1000"/>
    <b v="1"/>
    <s v="Henry Jr Ifurung"/>
  </r>
  <r>
    <n v="1986"/>
    <s v="F2"/>
    <x v="74"/>
    <s v="H000005391"/>
    <s v="IR - BU Rare Diseases"/>
    <s v="H000002982"/>
    <s v="New"/>
    <x v="0"/>
    <x v="0"/>
    <s v="HC"/>
    <s v="Done for 1000"/>
    <b v="1"/>
    <s v="Henry Jr Ifurung"/>
  </r>
  <r>
    <n v="1987"/>
    <s v="F2"/>
    <x v="74"/>
    <s v="H000005392"/>
    <s v="IR - Field Force Rare Diseases"/>
    <s v="H000005391"/>
    <s v="New"/>
    <x v="0"/>
    <x v="0"/>
    <s v="HC"/>
    <s v="Done for 1000"/>
    <b v="1"/>
    <s v="Henry Jr Ifurung"/>
  </r>
  <r>
    <n v="1988"/>
    <s v="F2"/>
    <x v="74"/>
    <s v="H000005393"/>
    <s v="IR - Marketing Rare Diseases"/>
    <s v="H000005391"/>
    <s v="New"/>
    <x v="0"/>
    <x v="0"/>
    <s v="HC"/>
    <s v="Done for 1000"/>
    <b v="1"/>
    <s v="Henry Jr Ifurung"/>
  </r>
  <r>
    <n v="1989"/>
    <s v="F2"/>
    <x v="74"/>
    <s v="H000005394"/>
    <s v="IR - Sales Promotion Rare Diseases"/>
    <s v="H000005391"/>
    <s v="New"/>
    <x v="0"/>
    <x v="0"/>
    <s v="HC"/>
    <s v="Done for 1000"/>
    <b v="1"/>
    <s v="Henry Jr Ifurung"/>
  </r>
  <r>
    <n v="1990"/>
    <s v="F2"/>
    <x v="74"/>
    <s v="H000005395"/>
    <s v="IR - Medical Rare Diseases"/>
    <s v="H000002999"/>
    <s v="New"/>
    <x v="0"/>
    <x v="0"/>
    <s v="HC"/>
    <s v="Done for 1000"/>
    <b v="1"/>
    <s v="Henry Jr Ifurung"/>
  </r>
  <r>
    <n v="1991"/>
    <s v="F2"/>
    <x v="74"/>
    <s v="H000005396"/>
    <s v="IR - Medical Team"/>
    <s v="H000005395"/>
    <s v="New"/>
    <x v="0"/>
    <x v="0"/>
    <s v="HC"/>
    <s v="Done for 1000"/>
    <b v="1"/>
    <s v="Henry Jr Ifurung"/>
  </r>
  <r>
    <n v="1992"/>
    <s v="F2"/>
    <x v="74"/>
    <s v="H000005397"/>
    <s v="IR - Medical Activities Non R&amp;D RD"/>
    <s v="H000005395"/>
    <s v="New"/>
    <x v="0"/>
    <x v="0"/>
    <s v="HC"/>
    <s v="Done for 1000"/>
    <b v="1"/>
    <s v="Henry Jr Ifurung"/>
  </r>
  <r>
    <n v="1993"/>
    <s v="F2"/>
    <x v="74"/>
    <s v="H000005398"/>
    <s v="JO - BU Rare Diseases"/>
    <s v="H000003076"/>
    <s v="New"/>
    <x v="0"/>
    <x v="0"/>
    <s v="HC"/>
    <s v="Done for 1000"/>
    <b v="1"/>
    <s v="Henry Jr Ifurung"/>
  </r>
  <r>
    <n v="1994"/>
    <s v="F2"/>
    <x v="74"/>
    <s v="H000005399"/>
    <s v="JO - Field Force Rare Diseases"/>
    <s v="H000005398"/>
    <s v="New"/>
    <x v="0"/>
    <x v="0"/>
    <s v="HC"/>
    <s v="Done for 1000"/>
    <b v="1"/>
    <s v="Henry Jr Ifurung"/>
  </r>
  <r>
    <n v="1995"/>
    <s v="F2"/>
    <x v="74"/>
    <s v="H000005400"/>
    <s v="JO - Marketing Rare Diseases"/>
    <s v="H000005398"/>
    <s v="New"/>
    <x v="0"/>
    <x v="0"/>
    <s v="HC"/>
    <s v="Done for 1000"/>
    <b v="1"/>
    <s v="Henry Jr Ifurung"/>
  </r>
  <r>
    <n v="1996"/>
    <s v="F2"/>
    <x v="74"/>
    <s v="H000005401"/>
    <s v="JO - Sales Promotion Rare Diseases"/>
    <s v="H000005398"/>
    <s v="New"/>
    <x v="0"/>
    <x v="0"/>
    <s v="HC"/>
    <s v="Done for 1000"/>
    <b v="1"/>
    <s v="Henry Jr Ifurung"/>
  </r>
  <r>
    <n v="1997"/>
    <s v="F2"/>
    <x v="74"/>
    <s v="H000005402"/>
    <s v="JO - Medical Rare Diseases"/>
    <s v="H000003090"/>
    <s v="New"/>
    <x v="0"/>
    <x v="0"/>
    <s v="HC"/>
    <s v="Done for 1000"/>
    <b v="1"/>
    <s v="Henry Jr Ifurung"/>
  </r>
  <r>
    <n v="1998"/>
    <s v="F2"/>
    <x v="74"/>
    <s v="H000005403"/>
    <s v="JO - Medical Team"/>
    <s v="H000005402"/>
    <s v="New"/>
    <x v="0"/>
    <x v="0"/>
    <s v="HC"/>
    <s v="Done for 1000"/>
    <b v="1"/>
    <s v="Henry Jr Ifurung"/>
  </r>
  <r>
    <n v="1999"/>
    <s v="F2"/>
    <x v="74"/>
    <s v="H000005404"/>
    <s v="JO - Medical Activities Non R&amp;D RD"/>
    <s v="H000005402"/>
    <s v="New"/>
    <x v="0"/>
    <x v="0"/>
    <s v="HC"/>
    <s v="Done for 1000"/>
    <b v="1"/>
    <s v="Henry Jr Ifurung"/>
  </r>
  <r>
    <n v="2000"/>
    <s v="F2"/>
    <x v="74"/>
    <s v="H000005405"/>
    <s v="LB - BU Rare Diseases"/>
    <s v="H000003134"/>
    <s v="New"/>
    <x v="0"/>
    <x v="0"/>
    <s v="HC"/>
    <s v="Done for 1000"/>
    <b v="1"/>
    <s v="Henry Jr Ifurung"/>
  </r>
  <r>
    <n v="2001"/>
    <s v="F2"/>
    <x v="74"/>
    <s v="H000005406"/>
    <s v="LB - Field Force Rare Diseases"/>
    <s v="H000005405"/>
    <s v="New"/>
    <x v="0"/>
    <x v="0"/>
    <s v="HC"/>
    <s v="Done for 1000"/>
    <b v="1"/>
    <s v="Henry Jr Ifurung"/>
  </r>
  <r>
    <n v="2002"/>
    <s v="F2"/>
    <x v="74"/>
    <s v="H000005407"/>
    <s v="LB - Marketing Rare Diseases"/>
    <s v="H000005405"/>
    <s v="New"/>
    <x v="0"/>
    <x v="0"/>
    <s v="HC"/>
    <s v="Done for 1000"/>
    <b v="1"/>
    <s v="Henry Jr Ifurung"/>
  </r>
  <r>
    <n v="2003"/>
    <s v="F2"/>
    <x v="74"/>
    <s v="H000005408"/>
    <s v="LB - Sales Promotion Rare Diseases"/>
    <s v="H000005405"/>
    <s v="New"/>
    <x v="0"/>
    <x v="0"/>
    <s v="HC"/>
    <s v="Done for 1000"/>
    <b v="1"/>
    <s v="Henry Jr Ifurung"/>
  </r>
  <r>
    <n v="2004"/>
    <s v="F2"/>
    <x v="74"/>
    <s v="H000005409"/>
    <s v="LB - Medical Rare Diseases"/>
    <s v="H000003147"/>
    <s v="New"/>
    <x v="0"/>
    <x v="0"/>
    <s v="HC"/>
    <s v="Done for 1000"/>
    <b v="1"/>
    <s v="Henry Jr Ifurung"/>
  </r>
  <r>
    <n v="2005"/>
    <s v="F2"/>
    <x v="74"/>
    <s v="H000005410"/>
    <s v="LB - Medical Team"/>
    <s v="H000005409"/>
    <s v="New"/>
    <x v="0"/>
    <x v="0"/>
    <s v="HC"/>
    <s v="Done for 1000"/>
    <b v="1"/>
    <s v="Henry Jr Ifurung"/>
  </r>
  <r>
    <n v="2006"/>
    <s v="F2"/>
    <x v="74"/>
    <s v="H000005411"/>
    <s v="LB - Medical Activities Non R&amp;D RD"/>
    <s v="H000005409"/>
    <s v="New"/>
    <x v="0"/>
    <x v="0"/>
    <s v="HC"/>
    <s v="Done for 1000"/>
    <b v="1"/>
    <s v="Henry Jr Ifurung"/>
  </r>
  <r>
    <n v="2007"/>
    <s v="F2"/>
    <x v="74"/>
    <s v="H000005412"/>
    <s v="LY - BU Rare Diseases"/>
    <s v="H000003169"/>
    <s v="New"/>
    <x v="0"/>
    <x v="0"/>
    <s v="HC"/>
    <s v="Done for 1000"/>
    <b v="1"/>
    <s v="Henry Jr Ifurung"/>
  </r>
  <r>
    <n v="2008"/>
    <s v="F2"/>
    <x v="74"/>
    <s v="H000005413"/>
    <s v="LY - Field Force Rare Diseases"/>
    <s v="H000005412"/>
    <s v="New"/>
    <x v="0"/>
    <x v="0"/>
    <s v="HC"/>
    <s v="Done for 1000"/>
    <b v="1"/>
    <s v="Henry Jr Ifurung"/>
  </r>
  <r>
    <n v="2009"/>
    <s v="F2"/>
    <x v="74"/>
    <s v="H000005414"/>
    <s v="LY - Marketing Rare Diseases"/>
    <s v="H000005412"/>
    <s v="New"/>
    <x v="0"/>
    <x v="0"/>
    <s v="HC"/>
    <s v="Done for 1000"/>
    <b v="1"/>
    <s v="Henry Jr Ifurung"/>
  </r>
  <r>
    <n v="2010"/>
    <s v="F2"/>
    <x v="74"/>
    <s v="H000005415"/>
    <s v="LY - Sales Promotion Rare Diseases"/>
    <s v="H000005412"/>
    <s v="New"/>
    <x v="0"/>
    <x v="0"/>
    <s v="HC"/>
    <s v="Done for 1000"/>
    <b v="1"/>
    <s v="Henry Jr Ifurung"/>
  </r>
  <r>
    <n v="2011"/>
    <s v="F2"/>
    <x v="74"/>
    <s v="H000005416"/>
    <s v="LY - Medical Rare Diseases"/>
    <s v="H000003179"/>
    <s v="New"/>
    <x v="0"/>
    <x v="0"/>
    <s v="HC"/>
    <s v="Done for 1000"/>
    <b v="1"/>
    <s v="Henry Jr Ifurung"/>
  </r>
  <r>
    <n v="2012"/>
    <s v="F2"/>
    <x v="74"/>
    <s v="H000005417"/>
    <s v="LY - Medical Team"/>
    <s v="H000005416"/>
    <s v="New"/>
    <x v="0"/>
    <x v="0"/>
    <s v="HC"/>
    <s v="Done for 1000"/>
    <b v="1"/>
    <s v="Henry Jr Ifurung"/>
  </r>
  <r>
    <n v="2013"/>
    <s v="F2"/>
    <x v="74"/>
    <s v="H000005418"/>
    <s v="LY - Medical Activities Non R&amp;D RD"/>
    <s v="H000005416"/>
    <s v="New"/>
    <x v="0"/>
    <x v="0"/>
    <s v="HC"/>
    <s v="Done for 1000"/>
    <b v="1"/>
    <s v="Henry Jr Ifurung"/>
  </r>
  <r>
    <n v="2014"/>
    <s v="F2"/>
    <x v="74"/>
    <s v="H000005419"/>
    <s v="PS - BU Rare Diseases"/>
    <s v="H000003254"/>
    <s v="New"/>
    <x v="0"/>
    <x v="0"/>
    <s v="HC"/>
    <s v="Done for 1000"/>
    <b v="1"/>
    <s v="Henry Jr Ifurung"/>
  </r>
  <r>
    <n v="2015"/>
    <s v="F2"/>
    <x v="74"/>
    <s v="H000005420"/>
    <s v="PS - Field Force Rare Diseases"/>
    <s v="H000005419"/>
    <s v="New"/>
    <x v="0"/>
    <x v="0"/>
    <s v="HC"/>
    <s v="Done for 1000"/>
    <b v="1"/>
    <s v="Henry Jr Ifurung"/>
  </r>
  <r>
    <n v="2016"/>
    <s v="F2"/>
    <x v="74"/>
    <s v="H000005421"/>
    <s v="PS - Marketing Rare Diseases"/>
    <s v="H000005419"/>
    <s v="New"/>
    <x v="0"/>
    <x v="0"/>
    <s v="HC"/>
    <s v="Done for 1000"/>
    <b v="1"/>
    <s v="Henry Jr Ifurung"/>
  </r>
  <r>
    <n v="2017"/>
    <s v="F2"/>
    <x v="74"/>
    <s v="H000005422"/>
    <s v="PS - Sales Promotion Rare Diseases"/>
    <s v="H000005419"/>
    <s v="New"/>
    <x v="0"/>
    <x v="0"/>
    <s v="HC"/>
    <s v="Done for 1000"/>
    <b v="1"/>
    <s v="Henry Jr Ifurung"/>
  </r>
  <r>
    <n v="2018"/>
    <s v="F2"/>
    <x v="74"/>
    <s v="H000005423"/>
    <s v="PS - Medical Rare Diseases"/>
    <s v="H000003267"/>
    <s v="New"/>
    <x v="0"/>
    <x v="0"/>
    <s v="HC"/>
    <s v="Done for 1000"/>
    <b v="1"/>
    <s v="Henry Jr Ifurung"/>
  </r>
  <r>
    <n v="2019"/>
    <s v="F2"/>
    <x v="74"/>
    <s v="H000005424"/>
    <s v="PS - Medical Team"/>
    <s v="H000005423"/>
    <s v="New"/>
    <x v="0"/>
    <x v="0"/>
    <s v="HC"/>
    <s v="Done for 1000"/>
    <b v="1"/>
    <s v="Henry Jr Ifurung"/>
  </r>
  <r>
    <n v="2020"/>
    <s v="F2"/>
    <x v="74"/>
    <s v="H000005425"/>
    <s v="PS - Medical Activities Non R&amp;D RD"/>
    <s v="H000005423"/>
    <s v="New"/>
    <x v="0"/>
    <x v="0"/>
    <s v="HC"/>
    <s v="Done for 1000"/>
    <b v="1"/>
    <s v="Henry Jr Ifurung"/>
  </r>
  <r>
    <n v="2021"/>
    <s v="F2"/>
    <x v="74"/>
    <s v="H000005426"/>
    <s v="SY - BU Rare Diseases"/>
    <s v="H000003404"/>
    <s v="New"/>
    <x v="0"/>
    <x v="0"/>
    <s v="HC"/>
    <s v="Done for 1000"/>
    <b v="1"/>
    <s v="Henry Jr Ifurung"/>
  </r>
  <r>
    <n v="2022"/>
    <s v="F2"/>
    <x v="74"/>
    <s v="H000005427"/>
    <s v="SY - Field Force Rare Diseases"/>
    <s v="H000005426"/>
    <s v="New"/>
    <x v="0"/>
    <x v="0"/>
    <s v="HC"/>
    <s v="Done for 1000"/>
    <b v="1"/>
    <s v="Henry Jr Ifurung"/>
  </r>
  <r>
    <n v="2023"/>
    <s v="F2"/>
    <x v="74"/>
    <s v="H000005428"/>
    <s v="SY - Marketing Rare Diseases"/>
    <s v="H000005426"/>
    <s v="New"/>
    <x v="0"/>
    <x v="0"/>
    <s v="HC"/>
    <s v="Done for 1000"/>
    <b v="1"/>
    <s v="Henry Jr Ifurung"/>
  </r>
  <r>
    <n v="2024"/>
    <s v="F2"/>
    <x v="74"/>
    <s v="H000005429"/>
    <s v="SY - Sales Promotion Rare Diseases"/>
    <s v="H000005426"/>
    <s v="New"/>
    <x v="0"/>
    <x v="0"/>
    <s v="HC"/>
    <s v="Done for 1000"/>
    <b v="1"/>
    <s v="Henry Jr Ifurung"/>
  </r>
  <r>
    <n v="2025"/>
    <s v="F2"/>
    <x v="74"/>
    <s v="H000005430"/>
    <s v="SY - Medical Rare Diseases"/>
    <s v="H000003419"/>
    <s v="New"/>
    <x v="0"/>
    <x v="0"/>
    <s v="HC"/>
    <s v="Done for 1000"/>
    <b v="1"/>
    <s v="Henry Jr Ifurung"/>
  </r>
  <r>
    <n v="2026"/>
    <s v="F2"/>
    <x v="74"/>
    <s v="H000005431"/>
    <s v="SY - Medical Team"/>
    <s v="H000005430"/>
    <s v="New"/>
    <x v="0"/>
    <x v="0"/>
    <s v="HC"/>
    <s v="Done for 1000"/>
    <b v="1"/>
    <s v="Henry Jr Ifurung"/>
  </r>
  <r>
    <n v="2027"/>
    <s v="F2"/>
    <x v="74"/>
    <s v="H000005432"/>
    <s v="SY - Medical Activities Non R&amp;D RD"/>
    <s v="H000005430"/>
    <s v="New"/>
    <x v="0"/>
    <x v="0"/>
    <s v="HC"/>
    <s v="Done for 1000"/>
    <b v="1"/>
    <s v="Henry Jr Ifurung"/>
  </r>
  <r>
    <n v="2028"/>
    <s v="F2"/>
    <x v="74"/>
    <s v="H000005433"/>
    <s v="NE - BU Rare Diseases"/>
    <s v="H000003209"/>
    <s v="New"/>
    <x v="0"/>
    <x v="0"/>
    <s v="HC"/>
    <s v="Done for 1000"/>
    <b v="1"/>
    <s v="Henry Jr Ifurung"/>
  </r>
  <r>
    <n v="2029"/>
    <s v="F2"/>
    <x v="74"/>
    <s v="H000005434"/>
    <s v="NE - Field Force Rare Diseases"/>
    <s v="H000005433"/>
    <s v="New"/>
    <x v="0"/>
    <x v="0"/>
    <s v="HC"/>
    <s v="Done for 1000"/>
    <b v="1"/>
    <s v="Henry Jr Ifurung"/>
  </r>
  <r>
    <n v="2030"/>
    <s v="F2"/>
    <x v="74"/>
    <s v="H000005435"/>
    <s v="NE - Marketing Rare Diseases"/>
    <s v="H000005433"/>
    <s v="New"/>
    <x v="0"/>
    <x v="0"/>
    <s v="HC"/>
    <s v="Done for 1000"/>
    <b v="1"/>
    <s v="Henry Jr Ifurung"/>
  </r>
  <r>
    <n v="2031"/>
    <s v="F2"/>
    <x v="74"/>
    <s v="H000005436"/>
    <s v="NE - Sales Promotion Rare Diseases"/>
    <s v="H000005433"/>
    <s v="New"/>
    <x v="0"/>
    <x v="0"/>
    <s v="HC"/>
    <s v="Done for 1000"/>
    <b v="1"/>
    <s v="Henry Jr Ifurung"/>
  </r>
  <r>
    <n v="2032"/>
    <s v="F2"/>
    <x v="74"/>
    <s v="H000005437"/>
    <s v="NE - Medical Rare Diseases"/>
    <s v="H000003216"/>
    <s v="New"/>
    <x v="0"/>
    <x v="0"/>
    <s v="HC"/>
    <s v="Done for 1000"/>
    <b v="1"/>
    <s v="Henry Jr Ifurung"/>
  </r>
  <r>
    <n v="2033"/>
    <s v="F2"/>
    <x v="74"/>
    <s v="H000005438"/>
    <s v="NE - Medical Team"/>
    <s v="H000005437"/>
    <s v="New"/>
    <x v="0"/>
    <x v="0"/>
    <s v="HC"/>
    <s v="Done for 1000"/>
    <b v="1"/>
    <s v="Henry Jr Ifurung"/>
  </r>
  <r>
    <n v="2034"/>
    <s v="F2"/>
    <x v="74"/>
    <s v="H000005439"/>
    <s v="NE - Medical Activities Non R&amp;D RD"/>
    <s v="H000005437"/>
    <s v="New"/>
    <x v="0"/>
    <x v="0"/>
    <s v="HC"/>
    <s v="Done for 1000"/>
    <b v="1"/>
    <s v="Henry Jr Ifurung"/>
  </r>
  <r>
    <n v="2035"/>
    <s v="F2"/>
    <x v="74"/>
    <s v="H000005440"/>
    <s v="DZ - BU Rare Diseases"/>
    <s v="H000002887"/>
    <s v="New"/>
    <x v="0"/>
    <x v="0"/>
    <s v="HC"/>
    <s v="Done for 1000"/>
    <b v="1"/>
    <s v="Henry Jr Ifurung"/>
  </r>
  <r>
    <n v="2036"/>
    <s v="F2"/>
    <x v="74"/>
    <s v="H000005441"/>
    <s v="DZ - Field Force Rare Diseases"/>
    <s v="H000005440"/>
    <s v="New"/>
    <x v="0"/>
    <x v="0"/>
    <s v="HC"/>
    <s v="Done for 1000"/>
    <b v="1"/>
    <s v="Henry Jr Ifurung"/>
  </r>
  <r>
    <n v="2037"/>
    <s v="F2"/>
    <x v="74"/>
    <s v="H000005442"/>
    <s v="DZ - Marketing Rare Diseases"/>
    <s v="H000005440"/>
    <s v="New"/>
    <x v="0"/>
    <x v="0"/>
    <s v="HC"/>
    <s v="Done for 1000"/>
    <b v="1"/>
    <s v="Henry Jr Ifurung"/>
  </r>
  <r>
    <n v="2038"/>
    <s v="F2"/>
    <x v="74"/>
    <s v="H000005443"/>
    <s v="DZ - Sales Promotion Rare Diseases"/>
    <s v="H000005440"/>
    <s v="New"/>
    <x v="0"/>
    <x v="0"/>
    <s v="HC"/>
    <s v="Done for 1000"/>
    <b v="1"/>
    <s v="Henry Jr Ifurung"/>
  </r>
  <r>
    <n v="2039"/>
    <s v="F2"/>
    <x v="74"/>
    <s v="H000005444"/>
    <s v="DZ - Medical Rare Diseases"/>
    <s v="H000002902"/>
    <s v="New"/>
    <x v="0"/>
    <x v="0"/>
    <s v="HC"/>
    <s v="Done for 1000"/>
    <b v="1"/>
    <s v="Henry Jr Ifurung"/>
  </r>
  <r>
    <n v="2040"/>
    <s v="F2"/>
    <x v="74"/>
    <s v="H000005445"/>
    <s v="DZ - Medical Team"/>
    <s v="H000005444"/>
    <s v="New"/>
    <x v="0"/>
    <x v="0"/>
    <s v="HC"/>
    <s v="Done for 1000"/>
    <b v="1"/>
    <s v="Henry Jr Ifurung"/>
  </r>
  <r>
    <n v="2041"/>
    <s v="F2"/>
    <x v="74"/>
    <s v="H000005446"/>
    <s v="DZ - Medical Activities Non R&amp;D RD"/>
    <s v="H000005444"/>
    <s v="New"/>
    <x v="0"/>
    <x v="0"/>
    <s v="HC"/>
    <s v="Done for 1000"/>
    <b v="1"/>
    <s v="Henry Jr Ifurung"/>
  </r>
  <r>
    <n v="2042"/>
    <s v="F2"/>
    <x v="74"/>
    <s v="H000005447"/>
    <s v="MA - BU Rare Diseases"/>
    <s v="H000003183"/>
    <s v="New"/>
    <x v="0"/>
    <x v="0"/>
    <s v="HC"/>
    <s v="Done for 1000"/>
    <b v="1"/>
    <s v="Henry Jr Ifurung"/>
  </r>
  <r>
    <n v="2043"/>
    <s v="F2"/>
    <x v="74"/>
    <s v="H000005448"/>
    <s v="MA - Field Force Rare Diseases"/>
    <s v="H000005447"/>
    <s v="New"/>
    <x v="0"/>
    <x v="0"/>
    <s v="HC"/>
    <s v="Done for 1000"/>
    <b v="1"/>
    <s v="Henry Jr Ifurung"/>
  </r>
  <r>
    <n v="2044"/>
    <s v="F2"/>
    <x v="74"/>
    <s v="H000005449"/>
    <s v="MA - Marketing Rare Diseases"/>
    <s v="H000005447"/>
    <s v="New"/>
    <x v="0"/>
    <x v="0"/>
    <s v="HC"/>
    <s v="Done for 1000"/>
    <b v="1"/>
    <s v="Henry Jr Ifurung"/>
  </r>
  <r>
    <n v="2045"/>
    <s v="F2"/>
    <x v="74"/>
    <s v="H000005450"/>
    <s v="MA - Sales Promotion Rare Diseases"/>
    <s v="H000005447"/>
    <s v="New"/>
    <x v="0"/>
    <x v="0"/>
    <s v="HC"/>
    <s v="Done for 1000"/>
    <b v="1"/>
    <s v="Henry Jr Ifurung"/>
  </r>
  <r>
    <n v="2046"/>
    <s v="F2"/>
    <x v="74"/>
    <s v="H000005451"/>
    <s v="MA - Medical Rare Diseases"/>
    <s v="H000003197"/>
    <s v="New"/>
    <x v="0"/>
    <x v="0"/>
    <s v="HC"/>
    <s v="Done for 1000"/>
    <b v="1"/>
    <s v="Henry Jr Ifurung"/>
  </r>
  <r>
    <n v="2047"/>
    <s v="F2"/>
    <x v="74"/>
    <s v="H000005452"/>
    <s v="MA - Medical Team"/>
    <s v="H000005451"/>
    <s v="New"/>
    <x v="0"/>
    <x v="0"/>
    <s v="HC"/>
    <s v="Done for 1000"/>
    <b v="1"/>
    <s v="Henry Jr Ifurung"/>
  </r>
  <r>
    <n v="2048"/>
    <s v="F2"/>
    <x v="74"/>
    <s v="H000005453"/>
    <s v="MA - Medical Activities Non R&amp;D RD"/>
    <s v="H000005451"/>
    <s v="New"/>
    <x v="0"/>
    <x v="0"/>
    <s v="HC"/>
    <s v="Done for 1000"/>
    <b v="1"/>
    <s v="Henry Jr Ifurung"/>
  </r>
  <r>
    <n v="2049"/>
    <s v="F2"/>
    <x v="74"/>
    <s v="H000005454"/>
    <s v="TN - BU Rare Diseases"/>
    <s v="H000003441"/>
    <s v="New"/>
    <x v="0"/>
    <x v="0"/>
    <s v="HC"/>
    <s v="Done for 1000"/>
    <b v="1"/>
    <s v="Henry Jr Ifurung"/>
  </r>
  <r>
    <n v="2050"/>
    <s v="F2"/>
    <x v="74"/>
    <s v="H000005455"/>
    <s v="TN - Field Force Rare Diseases"/>
    <s v="H000005454"/>
    <s v="New"/>
    <x v="0"/>
    <x v="0"/>
    <s v="HC"/>
    <s v="Done for 1000"/>
    <b v="1"/>
    <s v="Henry Jr Ifurung"/>
  </r>
  <r>
    <n v="2051"/>
    <s v="F2"/>
    <x v="74"/>
    <s v="H000005456"/>
    <s v="TN - Marketing Rare Diseases"/>
    <s v="H000005454"/>
    <s v="New"/>
    <x v="0"/>
    <x v="0"/>
    <s v="HC"/>
    <s v="Done for 1000"/>
    <b v="1"/>
    <s v="Henry Jr Ifurung"/>
  </r>
  <r>
    <n v="2052"/>
    <s v="F2"/>
    <x v="74"/>
    <s v="H000005457"/>
    <s v="TN - Sales Promotion Rare Diseases"/>
    <s v="H000005454"/>
    <s v="New"/>
    <x v="0"/>
    <x v="0"/>
    <s v="HC"/>
    <s v="Done for 1000"/>
    <b v="1"/>
    <s v="Henry Jr Ifurung"/>
  </r>
  <r>
    <n v="2053"/>
    <s v="F2"/>
    <x v="74"/>
    <s v="H000005458"/>
    <s v="TN - Medical Rare Diseases"/>
    <s v="H000003454"/>
    <s v="New"/>
    <x v="0"/>
    <x v="0"/>
    <s v="HC"/>
    <s v="Done for 1000"/>
    <b v="1"/>
    <s v="Henry Jr Ifurung"/>
  </r>
  <r>
    <n v="2054"/>
    <s v="F2"/>
    <x v="74"/>
    <s v="H000005459"/>
    <s v="TN - Medical Team"/>
    <s v="H000005458"/>
    <s v="New"/>
    <x v="0"/>
    <x v="0"/>
    <s v="HC"/>
    <s v="Done for 1000"/>
    <b v="1"/>
    <s v="Henry Jr Ifurung"/>
  </r>
  <r>
    <n v="2055"/>
    <s v="F2"/>
    <x v="74"/>
    <s v="H000005460"/>
    <s v="TN - Medical Activities Non R&amp;D RD"/>
    <s v="H000005458"/>
    <s v="New"/>
    <x v="0"/>
    <x v="0"/>
    <s v="HC"/>
    <s v="Done for 1000"/>
    <b v="1"/>
    <s v="Henry Jr Ifurung"/>
  </r>
  <r>
    <n v="2056"/>
    <s v="F2"/>
    <x v="74"/>
    <s v="H000005461"/>
    <s v="NA - BU Rare Diseases"/>
    <s v="H000004022"/>
    <s v="New"/>
    <x v="0"/>
    <x v="0"/>
    <s v="HC"/>
    <s v="Done for 1000"/>
    <b v="1"/>
    <s v="Henry Jr Ifurung"/>
  </r>
  <r>
    <n v="2057"/>
    <s v="F2"/>
    <x v="74"/>
    <s v="H000005462"/>
    <s v="NA - Field Force Rare Diseases"/>
    <s v="H000005461"/>
    <s v="New"/>
    <x v="0"/>
    <x v="0"/>
    <s v="HC"/>
    <s v="Done for 1000"/>
    <b v="1"/>
    <s v="Henry Jr Ifurung"/>
  </r>
  <r>
    <n v="2058"/>
    <s v="F2"/>
    <x v="74"/>
    <s v="H000005463"/>
    <s v="NA - Marketing Rare Diseases"/>
    <s v="H000005461"/>
    <s v="New"/>
    <x v="0"/>
    <x v="0"/>
    <s v="HC"/>
    <s v="Done for 1000"/>
    <b v="1"/>
    <s v="Henry Jr Ifurung"/>
  </r>
  <r>
    <n v="2059"/>
    <s v="F2"/>
    <x v="74"/>
    <s v="H000005464"/>
    <s v="NA - Sales Promotion Rare Diseases"/>
    <s v="H000005461"/>
    <s v="New"/>
    <x v="0"/>
    <x v="0"/>
    <s v="HC"/>
    <s v="Done for 1000"/>
    <b v="1"/>
    <s v="Henry Jr Ifurung"/>
  </r>
  <r>
    <n v="2060"/>
    <s v="F2"/>
    <x v="74"/>
    <s v="H000005465"/>
    <s v="NA - Medical Rare Diseases"/>
    <s v="H000004027"/>
    <s v="New"/>
    <x v="0"/>
    <x v="0"/>
    <s v="HC"/>
    <s v="Done for 1000"/>
    <b v="1"/>
    <s v="Henry Jr Ifurung"/>
  </r>
  <r>
    <n v="2061"/>
    <s v="F2"/>
    <x v="74"/>
    <s v="H000005466"/>
    <s v="NA - Medical Team"/>
    <s v="H000005465"/>
    <s v="New"/>
    <x v="0"/>
    <x v="0"/>
    <s v="HC"/>
    <s v="Done for 1000"/>
    <b v="1"/>
    <s v="Henry Jr Ifurung"/>
  </r>
  <r>
    <n v="2062"/>
    <s v="F2"/>
    <x v="74"/>
    <s v="H000005467"/>
    <s v="NA - Medical Activities Non R&amp;D RD"/>
    <s v="H000005465"/>
    <s v="New"/>
    <x v="0"/>
    <x v="0"/>
    <s v="HC"/>
    <s v="Done for 1000"/>
    <b v="1"/>
    <s v="Henry Jr Ifurung"/>
  </r>
  <r>
    <n v="2063"/>
    <s v="F2"/>
    <x v="74"/>
    <s v="H000005468"/>
    <s v="NG - BU Rare Diseases"/>
    <s v="H000003225"/>
    <s v="New"/>
    <x v="0"/>
    <x v="0"/>
    <s v="HC"/>
    <s v="Done for 1000"/>
    <b v="1"/>
    <s v="Henry Jr Ifurung"/>
  </r>
  <r>
    <n v="2064"/>
    <s v="F2"/>
    <x v="74"/>
    <s v="H000005469"/>
    <s v="NG - Field Force Rare Diseases"/>
    <s v="H000005468"/>
    <s v="New"/>
    <x v="0"/>
    <x v="0"/>
    <s v="HC"/>
    <s v="Done for 1000"/>
    <b v="1"/>
    <s v="Henry Jr Ifurung"/>
  </r>
  <r>
    <n v="2065"/>
    <s v="F2"/>
    <x v="74"/>
    <s v="H000005470"/>
    <s v="NG - Marketing Rare Diseases"/>
    <s v="H000005468"/>
    <s v="New"/>
    <x v="0"/>
    <x v="0"/>
    <s v="HC"/>
    <s v="Done for 1000"/>
    <b v="1"/>
    <s v="Henry Jr Ifurung"/>
  </r>
  <r>
    <n v="2066"/>
    <s v="F2"/>
    <x v="74"/>
    <s v="H000005471"/>
    <s v="NG - Sales Promotion Rare Diseases"/>
    <s v="H000005468"/>
    <s v="New"/>
    <x v="0"/>
    <x v="0"/>
    <s v="HC"/>
    <s v="Done for 1000"/>
    <b v="1"/>
    <s v="Henry Jr Ifurung"/>
  </r>
  <r>
    <n v="2067"/>
    <s v="F2"/>
    <x v="74"/>
    <s v="H000005472"/>
    <s v="NG - Medical Rare Diseases"/>
    <s v="H000003234"/>
    <s v="New"/>
    <x v="0"/>
    <x v="0"/>
    <s v="HC"/>
    <s v="Done for 1000"/>
    <b v="1"/>
    <s v="Henry Jr Ifurung"/>
  </r>
  <r>
    <n v="2068"/>
    <s v="F2"/>
    <x v="74"/>
    <s v="H000005473"/>
    <s v="NG - Medical Team"/>
    <s v="H000005472"/>
    <s v="New"/>
    <x v="0"/>
    <x v="0"/>
    <s v="HC"/>
    <s v="Done for 1000"/>
    <b v="1"/>
    <s v="Henry Jr Ifurung"/>
  </r>
  <r>
    <n v="2069"/>
    <s v="F2"/>
    <x v="74"/>
    <s v="H000005474"/>
    <s v="NG - Medical Activities Non R&amp;D RD"/>
    <s v="H000005472"/>
    <s v="New"/>
    <x v="0"/>
    <x v="0"/>
    <s v="HC"/>
    <s v="Done for 1000"/>
    <b v="1"/>
    <s v="Henry Jr Ifurung"/>
  </r>
  <r>
    <n v="2070"/>
    <s v="F2"/>
    <x v="74"/>
    <s v="H000005475"/>
    <s v="KE - BU Rare Diseases"/>
    <s v="H000003112"/>
    <s v="New"/>
    <x v="0"/>
    <x v="0"/>
    <s v="HC"/>
    <s v="Done for 1000"/>
    <b v="1"/>
    <s v="Henry Jr Ifurung"/>
  </r>
  <r>
    <n v="2071"/>
    <s v="F2"/>
    <x v="74"/>
    <s v="H000005476"/>
    <s v="KE - Field Force Rare Diseases"/>
    <s v="H000005475"/>
    <s v="New"/>
    <x v="0"/>
    <x v="0"/>
    <s v="HC"/>
    <s v="Done for 1000"/>
    <b v="1"/>
    <s v="Henry Jr Ifurung"/>
  </r>
  <r>
    <n v="2072"/>
    <s v="F2"/>
    <x v="74"/>
    <s v="H000005477"/>
    <s v="KE - Marketing Rare Diseases"/>
    <s v="H000005475"/>
    <s v="New"/>
    <x v="0"/>
    <x v="0"/>
    <s v="HC"/>
    <s v="Done for 1000"/>
    <b v="1"/>
    <s v="Henry Jr Ifurung"/>
  </r>
  <r>
    <n v="2073"/>
    <s v="F2"/>
    <x v="74"/>
    <s v="H000005478"/>
    <s v="KE - Sales Promotion Rare Diseases"/>
    <s v="H000005475"/>
    <s v="New"/>
    <x v="0"/>
    <x v="0"/>
    <s v="HC"/>
    <s v="Done for 1000"/>
    <b v="1"/>
    <s v="Henry Jr Ifurung"/>
  </r>
  <r>
    <n v="2074"/>
    <s v="F2"/>
    <x v="74"/>
    <s v="H000005479"/>
    <s v="KE - Medical Rare Diseases"/>
    <s v="H000003117"/>
    <s v="New"/>
    <x v="0"/>
    <x v="0"/>
    <s v="HC"/>
    <s v="Done for 1000"/>
    <b v="1"/>
    <s v="Henry Jr Ifurung"/>
  </r>
  <r>
    <n v="2075"/>
    <s v="F2"/>
    <x v="74"/>
    <s v="H000005480"/>
    <s v="KE - Medical Team"/>
    <s v="H000005479"/>
    <s v="New"/>
    <x v="0"/>
    <x v="0"/>
    <s v="HC"/>
    <s v="Done for 1000"/>
    <b v="1"/>
    <s v="Henry Jr Ifurung"/>
  </r>
  <r>
    <n v="2076"/>
    <s v="F2"/>
    <x v="74"/>
    <s v="H000005481"/>
    <s v="KE - Medical Activities Non R&amp;D RD"/>
    <s v="H000005479"/>
    <s v="New"/>
    <x v="0"/>
    <x v="0"/>
    <s v="HC"/>
    <s v="Done for 1000"/>
    <b v="1"/>
    <s v="Henry Jr Ifurung"/>
  </r>
  <r>
    <n v="2077"/>
    <s v="F2"/>
    <x v="74"/>
    <s v="H000005482"/>
    <s v="AO - BU Rare Diseases"/>
    <s v="H000002911"/>
    <s v="New"/>
    <x v="0"/>
    <x v="0"/>
    <s v="HC"/>
    <s v="Done for 1000"/>
    <b v="1"/>
    <s v="Henry Jr Ifurung"/>
  </r>
  <r>
    <n v="2078"/>
    <s v="F2"/>
    <x v="74"/>
    <s v="H000005483"/>
    <s v="AO - Field Force Rare Diseases"/>
    <s v="H000005482"/>
    <s v="New"/>
    <x v="0"/>
    <x v="0"/>
    <s v="HC"/>
    <s v="Done for 1000"/>
    <b v="1"/>
    <s v="Henry Jr Ifurung"/>
  </r>
  <r>
    <n v="2079"/>
    <s v="F2"/>
    <x v="74"/>
    <s v="H000005484"/>
    <s v="AO - Marketing Rare Diseases"/>
    <s v="H000005482"/>
    <s v="New"/>
    <x v="0"/>
    <x v="0"/>
    <s v="HC"/>
    <s v="Done for 1000"/>
    <b v="1"/>
    <s v="Henry Jr Ifurung"/>
  </r>
  <r>
    <n v="2080"/>
    <s v="F2"/>
    <x v="74"/>
    <s v="H000005485"/>
    <s v="AO - Sales Promotion Rare Diseases"/>
    <s v="H000005482"/>
    <s v="New"/>
    <x v="0"/>
    <x v="0"/>
    <s v="HC"/>
    <s v="Done for 1000"/>
    <b v="1"/>
    <s v="Henry Jr Ifurung"/>
  </r>
  <r>
    <n v="2081"/>
    <s v="F2"/>
    <x v="74"/>
    <s v="H000005486"/>
    <s v="AO - Medical Rare Diseases"/>
    <s v="H000002919"/>
    <s v="New"/>
    <x v="0"/>
    <x v="0"/>
    <s v="HC"/>
    <s v="Done for 1000"/>
    <b v="1"/>
    <s v="Henry Jr Ifurung"/>
  </r>
  <r>
    <n v="2082"/>
    <s v="F2"/>
    <x v="74"/>
    <s v="H000005487"/>
    <s v="AO - Medical Team"/>
    <s v="H000005486"/>
    <s v="New"/>
    <x v="0"/>
    <x v="0"/>
    <s v="HC"/>
    <s v="Done for 1000"/>
    <b v="1"/>
    <s v="Henry Jr Ifurung"/>
  </r>
  <r>
    <n v="2083"/>
    <s v="F2"/>
    <x v="74"/>
    <s v="H000005488"/>
    <s v="AO - Medical Activities Non R&amp;D RD"/>
    <s v="H000005486"/>
    <s v="New"/>
    <x v="0"/>
    <x v="0"/>
    <s v="HC"/>
    <s v="Done for 1000"/>
    <b v="1"/>
    <s v="Henry Jr Ifurung"/>
  </r>
  <r>
    <n v="2084"/>
    <s v="F2"/>
    <x v="74"/>
    <s v="H000005489"/>
    <s v="DM - BU Rare Diseases"/>
    <s v="H000004036"/>
    <s v="New"/>
    <x v="0"/>
    <x v="0"/>
    <s v="HC"/>
    <s v="Done for 1000"/>
    <b v="1"/>
    <s v="Henry Jr Ifurung"/>
  </r>
  <r>
    <n v="2085"/>
    <s v="F2"/>
    <x v="74"/>
    <s v="H000005490"/>
    <s v="DM - Field Force Rare Diseases"/>
    <s v="H000005489"/>
    <s v="New"/>
    <x v="0"/>
    <x v="0"/>
    <s v="HC"/>
    <s v="Done for 1000"/>
    <b v="1"/>
    <s v="Henry Jr Ifurung"/>
  </r>
  <r>
    <n v="2086"/>
    <s v="F2"/>
    <x v="74"/>
    <s v="H000005491"/>
    <s v="DM - Marketing Rare Diseases"/>
    <s v="H000005489"/>
    <s v="New"/>
    <x v="0"/>
    <x v="0"/>
    <s v="HC"/>
    <s v="Done for 1000"/>
    <b v="1"/>
    <s v="Henry Jr Ifurung"/>
  </r>
  <r>
    <n v="2087"/>
    <s v="F2"/>
    <x v="74"/>
    <s v="H000005492"/>
    <s v="DM - Sales Promotion Rare Diseases"/>
    <s v="H000005489"/>
    <s v="New"/>
    <x v="0"/>
    <x v="0"/>
    <s v="HC"/>
    <s v="Done for 1000"/>
    <b v="1"/>
    <s v="Henry Jr Ifurung"/>
  </r>
  <r>
    <n v="2088"/>
    <s v="F2"/>
    <x v="74"/>
    <s v="H000005493"/>
    <s v="DM - Medical Rare Diseases"/>
    <s v="H000004040"/>
    <s v="New"/>
    <x v="0"/>
    <x v="0"/>
    <s v="HC"/>
    <s v="Done for 1000"/>
    <b v="1"/>
    <s v="Henry Jr Ifurung"/>
  </r>
  <r>
    <n v="2089"/>
    <s v="F2"/>
    <x v="74"/>
    <s v="H000005494"/>
    <s v="DM - Medical Team"/>
    <s v="H000005493"/>
    <s v="New"/>
    <x v="0"/>
    <x v="0"/>
    <s v="HC"/>
    <s v="Done for 1000"/>
    <b v="1"/>
    <s v="Henry Jr Ifurung"/>
  </r>
  <r>
    <n v="2090"/>
    <s v="F2"/>
    <x v="74"/>
    <s v="H000005495"/>
    <s v="DM - Medical Activities Non R&amp;D RD"/>
    <s v="H000005493"/>
    <s v="New"/>
    <x v="0"/>
    <x v="0"/>
    <s v="HC"/>
    <s v="Done for 1000"/>
    <b v="1"/>
    <s v="Henry Jr Ifurung"/>
  </r>
  <r>
    <n v="2091"/>
    <s v="F2"/>
    <x v="75"/>
    <s v="H000005496"/>
    <s v="AR - BU RT"/>
    <s v="H000002480"/>
    <s v="New"/>
    <x v="0"/>
    <x v="0"/>
    <s v="HC"/>
    <s v="Done for 1000"/>
    <m/>
    <s v="Maria Barreto"/>
  </r>
  <r>
    <n v="2092"/>
    <s v="F2"/>
    <x v="75"/>
    <s v="H000005497"/>
    <s v="AR - Field Force RT"/>
    <s v="H000005496"/>
    <s v="New"/>
    <x v="0"/>
    <x v="0"/>
    <s v="HC"/>
    <s v="Done for 1000"/>
    <m/>
    <s v="Maria Barreto"/>
  </r>
  <r>
    <n v="2093"/>
    <s v="F2"/>
    <x v="75"/>
    <s v="H000005498"/>
    <s v="AR - Internal Sales Services RT"/>
    <s v="H000005496"/>
    <s v="New"/>
    <x v="0"/>
    <x v="0"/>
    <s v="HC"/>
    <s v="Done for 1000"/>
    <m/>
    <s v="Maria Barreto"/>
  </r>
  <r>
    <n v="2094"/>
    <s v="F2"/>
    <x v="75"/>
    <s v="H000005499"/>
    <s v="AR - Sales Promotion RT"/>
    <s v="H000005496"/>
    <s v="New"/>
    <x v="0"/>
    <x v="0"/>
    <s v="HC"/>
    <s v="Done for 1000"/>
    <m/>
    <s v="Maria Barreto"/>
  </r>
  <r>
    <n v="2095"/>
    <s v="F2"/>
    <x v="75"/>
    <s v="H000005500"/>
    <s v="AR - Sales Promotion Ogsiveo"/>
    <s v="H000005496"/>
    <s v="New"/>
    <x v="0"/>
    <x v="0"/>
    <s v="HC"/>
    <s v="Done for 1000"/>
    <m/>
    <s v="Maria Barreto"/>
  </r>
  <r>
    <n v="2096"/>
    <s v="F2"/>
    <x v="75"/>
    <s v="H000005501"/>
    <s v="AR - Sales Promotion Gomekli"/>
    <s v="H000005496"/>
    <s v="New"/>
    <x v="0"/>
    <x v="0"/>
    <s v="HC"/>
    <s v="Done for 1000"/>
    <m/>
    <s v="Maria Barreto"/>
  </r>
  <r>
    <n v="2097"/>
    <s v="F2"/>
    <x v="75"/>
    <s v="H000005502"/>
    <s v="AR - Medical Activities RT"/>
    <s v="H000002505"/>
    <s v="New"/>
    <x v="0"/>
    <x v="0"/>
    <s v="HC"/>
    <s v="Done for 1000"/>
    <m/>
    <s v="Maria Barreto"/>
  </r>
  <r>
    <n v="2098"/>
    <s v="F2"/>
    <x v="75"/>
    <s v="H000005503"/>
    <s v="AR - Medical Activities Ogsiveo&amp;Gomekli"/>
    <s v="H000005502"/>
    <s v="New"/>
    <x v="0"/>
    <x v="0"/>
    <s v="HC"/>
    <s v="Done for 1000"/>
    <m/>
    <s v="Maria Barreto"/>
  </r>
  <r>
    <n v="2099"/>
    <s v="F2"/>
    <x v="75"/>
    <s v="H000005504"/>
    <s v="AR - Medical Activities Ogsiveo"/>
    <s v="H000005502"/>
    <s v="New"/>
    <x v="0"/>
    <x v="0"/>
    <s v="HC"/>
    <s v="Done for 1000"/>
    <m/>
    <s v="Maria Barreto"/>
  </r>
  <r>
    <n v="2100"/>
    <s v="F2"/>
    <x v="75"/>
    <s v="H000005505"/>
    <s v="AR - Medical Activities Gomekli"/>
    <s v="H000005502"/>
    <s v="New"/>
    <x v="0"/>
    <x v="0"/>
    <s v="HC"/>
    <s v="Done for 1000"/>
    <m/>
    <s v="Maria Barreto"/>
  </r>
  <r>
    <n v="2101"/>
    <s v="F2"/>
    <x v="76"/>
    <s v="IT01000000"/>
    <m/>
    <s v="G000001562"/>
    <s v="Move"/>
    <x v="0"/>
    <x v="0"/>
    <s v="HC"/>
    <s v="Done for 1000"/>
    <m/>
    <s v="Trixie Antonino"/>
  </r>
  <r>
    <n v="2102"/>
    <s v="F2"/>
    <x v="76"/>
    <s v="G000001495"/>
    <s v="EF-DS-TB Business Domain Solutions"/>
    <s v="G000000244"/>
    <s v="New"/>
    <x v="0"/>
    <x v="0"/>
    <s v="HC"/>
    <s v="Done for 1000/Done for KR00"/>
    <m/>
    <s v="Trixie Antonino"/>
  </r>
  <r>
    <n v="2103"/>
    <s v="F2"/>
    <x v="76"/>
    <s v="G000001496"/>
    <s v="EF-DS-TB Business Domain Solutions_I"/>
    <s v="G000001495"/>
    <s v="New"/>
    <x v="0"/>
    <x v="0"/>
    <s v="HC"/>
    <s v="Done for 1000/Done for KR00"/>
    <m/>
    <s v="Trixie Antonino"/>
  </r>
  <r>
    <n v="2104"/>
    <s v="F2"/>
    <x v="76"/>
    <s v="G000001497"/>
    <s v="EF-DS-TBC Supply Chain"/>
    <s v="G000001495"/>
    <s v="New"/>
    <x v="0"/>
    <x v="0"/>
    <s v="HC"/>
    <s v="Done for 1000/Done for KR00"/>
    <m/>
    <s v="Trixie Antonino"/>
  </r>
  <r>
    <n v="2105"/>
    <s v="F2"/>
    <x v="76"/>
    <s v="G000001498"/>
    <s v="EF-DS-TBD Cross-Domain Capabilities"/>
    <s v="G000001495"/>
    <s v="New"/>
    <x v="0"/>
    <x v="0"/>
    <s v="HC"/>
    <s v="Done for 1000/Done for KR00"/>
    <m/>
    <s v="Trixie Antonino"/>
  </r>
  <r>
    <n v="2106"/>
    <s v="F2"/>
    <x v="76"/>
    <s v="G000001499"/>
    <s v="EF-DS-TBL Lab Technologies"/>
    <s v="G000001495"/>
    <s v="New"/>
    <x v="0"/>
    <x v="0"/>
    <s v="HC"/>
    <s v="Done for 1000/Done for KR00"/>
    <m/>
    <s v="Trixie Antonino"/>
  </r>
  <r>
    <n v="2107"/>
    <s v="F2"/>
    <x v="76"/>
    <s v="G000001500"/>
    <s v="EF-DS-TBM Manufacturing"/>
    <s v="G000001495"/>
    <s v="New"/>
    <x v="0"/>
    <x v="0"/>
    <s v="HC"/>
    <s v="Done for 1000/Done for KR00"/>
    <m/>
    <s v="Trixie Antonino"/>
  </r>
  <r>
    <n v="2108"/>
    <s v="F2"/>
    <x v="76"/>
    <s v="G000001501"/>
    <s v="EF-DS-TBQ Quality &amp; Compliance"/>
    <s v="G000001495"/>
    <s v="New"/>
    <x v="0"/>
    <x v="0"/>
    <s v="HC"/>
    <s v="Done for 1000/Done for KR00"/>
    <m/>
    <s v="Trixie Antonino"/>
  </r>
  <r>
    <n v="2109"/>
    <s v="F2"/>
    <x v="76"/>
    <s v="G000001502"/>
    <s v="EF-DS-TBS Marketing &amp; Sales"/>
    <s v="G000001495"/>
    <s v="New"/>
    <x v="0"/>
    <x v="0"/>
    <s v="HC"/>
    <s v="Done for 1000/Done for KR00"/>
    <m/>
    <s v="Trixie Antonino"/>
  </r>
  <r>
    <n v="2110"/>
    <s v="F2"/>
    <x v="76"/>
    <s v="G000001503"/>
    <s v="EF-DS-TBW Web Capabilities"/>
    <s v="G000001495"/>
    <s v="New"/>
    <x v="0"/>
    <x v="0"/>
    <s v="HC"/>
    <s v="Done for 1000/Done for KR00"/>
    <m/>
    <s v="Trixie Antonino"/>
  </r>
  <r>
    <n v="2111"/>
    <s v="F2"/>
    <x v="76"/>
    <s v="G000001504"/>
    <s v="EF-DS-TI Integrated Entp Solutions"/>
    <s v="G000000244"/>
    <s v="New"/>
    <x v="0"/>
    <x v="0"/>
    <s v="HC"/>
    <s v="Done for 1000/Done for KR00"/>
    <m/>
    <s v="Trixie Antonino"/>
  </r>
  <r>
    <n v="2112"/>
    <s v="F2"/>
    <x v="76"/>
    <s v="G000001505"/>
    <s v="EF-DS-TI Integrated Entp Solutions_I"/>
    <s v="G000001504"/>
    <s v="New"/>
    <x v="0"/>
    <x v="0"/>
    <s v="HC"/>
    <s v="Done for 1000/Done for KR00"/>
    <m/>
    <s v="Trixie Antonino"/>
  </r>
  <r>
    <n v="2113"/>
    <s v="F2"/>
    <x v="76"/>
    <s v="G000001506"/>
    <s v="EF-DS-TIA ERP Architec &amp; Cross Services"/>
    <s v="G000001504"/>
    <s v="New"/>
    <x v="0"/>
    <x v="0"/>
    <s v="HC"/>
    <s v="Done for 1000/Done for KR00"/>
    <m/>
    <s v="Trixie Antonino"/>
  </r>
  <r>
    <n v="2114"/>
    <s v="F2"/>
    <x v="76"/>
    <s v="G000001507"/>
    <s v="EF-DS-TIC SAP Center of Competence"/>
    <s v="G000001504"/>
    <s v="New"/>
    <x v="0"/>
    <x v="0"/>
    <s v="HC"/>
    <s v="Done for 1000/Done for KR00"/>
    <m/>
    <s v="Trixie Antonino"/>
  </r>
  <r>
    <n v="2115"/>
    <s v="F2"/>
    <x v="76"/>
    <s v="G000001508"/>
    <s v="EF-DS-TID Data Migration &amp; Integration "/>
    <s v="G000001504"/>
    <s v="New"/>
    <x v="0"/>
    <x v="0"/>
    <s v="HC"/>
    <s v="Done for 1000/Done for KR00"/>
    <m/>
    <s v="Trixie Antonino"/>
  </r>
  <r>
    <n v="2116"/>
    <s v="F2"/>
    <x v="76"/>
    <s v="G000001509"/>
    <s v="EF-DS-TIE Enterprise Value Chain Apps"/>
    <s v="G000001504"/>
    <s v="New"/>
    <x v="0"/>
    <x v="0"/>
    <s v="HC"/>
    <s v="Done for 1000/Done for KR00"/>
    <m/>
    <s v="Trixie Antonino"/>
  </r>
  <r>
    <n v="2117"/>
    <s v="F2"/>
    <x v="76"/>
    <s v="G000001510"/>
    <s v="EF-DS-TIG Group Solutions"/>
    <s v="G000001504"/>
    <s v="New"/>
    <x v="0"/>
    <x v="0"/>
    <s v="HC"/>
    <s v="Done for 1000/Done for KR00"/>
    <m/>
    <s v="Trixie Antonino"/>
  </r>
  <r>
    <n v="2118"/>
    <s v="F2"/>
    <x v="76"/>
    <s v="G000001511"/>
    <s v="EF-DS-TIS Strategy Realization &amp; BTP"/>
    <s v="G000001504"/>
    <s v="New"/>
    <x v="0"/>
    <x v="0"/>
    <s v="HC"/>
    <s v="Done for 1000/Done for KR00"/>
    <m/>
    <s v="Trixie Antonino"/>
  </r>
  <r>
    <n v="2119"/>
    <s v="F2"/>
    <x v="76"/>
    <s v="G000001512"/>
    <s v="EF-DS-TE Entp Technology Platforms"/>
    <s v="G000000244"/>
    <s v="New"/>
    <x v="0"/>
    <x v="0"/>
    <s v="HC"/>
    <s v="Done for 1000/Done for KR00"/>
    <m/>
    <s v="Trixie Antonino"/>
  </r>
  <r>
    <n v="2120"/>
    <s v="F2"/>
    <x v="76"/>
    <s v="G000001513"/>
    <s v="EF-DS-TE Entp Technology Platforms_I"/>
    <s v="G000001512"/>
    <s v="New"/>
    <x v="0"/>
    <x v="0"/>
    <s v="HC"/>
    <s v="Done for 1000/Done for KR00"/>
    <m/>
    <s v="Trixie Antonino"/>
  </r>
  <r>
    <n v="2121"/>
    <s v="F2"/>
    <x v="76"/>
    <s v="G000001514"/>
    <s v="EF-DS-TEA Platform Archi &amp; Automation"/>
    <s v="G000001512"/>
    <s v="New"/>
    <x v="0"/>
    <x v="0"/>
    <s v="HC"/>
    <s v="Done for 1000/Done for KR00"/>
    <m/>
    <s v="Trixie Antonino"/>
  </r>
  <r>
    <n v="2122"/>
    <s v="F2"/>
    <x v="76"/>
    <s v="G000001515"/>
    <s v="EF-DS-TEC Cloud Platforms"/>
    <s v="G000001512"/>
    <s v="New"/>
    <x v="0"/>
    <x v="0"/>
    <s v="HC"/>
    <s v="Done for 1000/Done for KR00"/>
    <m/>
    <s v="Trixie Antonino"/>
  </r>
  <r>
    <n v="2123"/>
    <s v="F2"/>
    <x v="76"/>
    <s v="G000001516"/>
    <s v="EF-DS-TED Database, Citrix &amp; Datacenter"/>
    <s v="G000001512"/>
    <s v="New"/>
    <x v="0"/>
    <x v="0"/>
    <s v="HC"/>
    <s v="Done for 1000/Done for KR00"/>
    <m/>
    <s v="Trixie Antonino"/>
  </r>
  <r>
    <n v="2124"/>
    <s v="F2"/>
    <x v="76"/>
    <s v="G000001517"/>
    <s v="EF-DS-TEE Edge Strategy"/>
    <s v="G000001512"/>
    <s v="New"/>
    <x v="0"/>
    <x v="0"/>
    <s v="HC"/>
    <s v="Done for 1000/Done for KR00"/>
    <m/>
    <s v="Trixie Antonino"/>
  </r>
  <r>
    <n v="2125"/>
    <s v="F2"/>
    <x v="76"/>
    <s v="G000001518"/>
    <s v="EF-DS-TEL Storage Backup &amp; Linux Unix"/>
    <s v="G000001512"/>
    <s v="New"/>
    <x v="0"/>
    <x v="0"/>
    <s v="HC"/>
    <s v="Done for 1000/Done for KR00"/>
    <m/>
    <s v="Trixie Antonino"/>
  </r>
  <r>
    <n v="2126"/>
    <s v="F2"/>
    <x v="76"/>
    <s v="G000001519"/>
    <s v="EF-DS-TEP Performance Management"/>
    <s v="G000001512"/>
    <s v="New"/>
    <x v="0"/>
    <x v="0"/>
    <s v="HC"/>
    <s v="Done for 1000/Done for KR00"/>
    <m/>
    <s v="Trixie Antonino"/>
  </r>
  <r>
    <n v="2127"/>
    <s v="F2"/>
    <x v="76"/>
    <s v="G000001520"/>
    <s v="EF-DS-TES Strategy Realization Office"/>
    <s v="G000001512"/>
    <s v="New"/>
    <x v="0"/>
    <x v="0"/>
    <s v="HC"/>
    <s v="Done for 1000/Done for KR00"/>
    <m/>
    <s v="Trixie Antonino"/>
  </r>
  <r>
    <n v="2128"/>
    <s v="F2"/>
    <x v="76"/>
    <s v="G000001521"/>
    <s v="EF-DS-TEW Windows &amp; Virtualization Plat"/>
    <s v="G000001512"/>
    <s v="New"/>
    <x v="0"/>
    <x v="0"/>
    <s v="HC"/>
    <s v="Done for 1000/Done for KR00"/>
    <m/>
    <s v="Trixie Antonino"/>
  </r>
  <r>
    <n v="2129"/>
    <s v="F2"/>
    <x v="76"/>
    <s v="G000001522"/>
    <s v="EF-DS-TN Entp Network &amp; Telecom Pl"/>
    <s v="G000000244"/>
    <s v="New"/>
    <x v="0"/>
    <x v="0"/>
    <s v="HC"/>
    <s v="Done for 1000/Done for KR00"/>
    <m/>
    <s v="Trixie Antonino"/>
  </r>
  <r>
    <n v="2130"/>
    <s v="F2"/>
    <x v="76"/>
    <s v="G000001523"/>
    <s v="EF-DS-TN Entp Network &amp; Telecom Pl_I"/>
    <s v="G000001522"/>
    <s v="New"/>
    <x v="0"/>
    <x v="0"/>
    <s v="HC"/>
    <s v="Done for 1000/Done for KR00"/>
    <m/>
    <s v="Trixie Antonino"/>
  </r>
  <r>
    <n v="2131"/>
    <s v="F2"/>
    <x v="76"/>
    <s v="G000001524"/>
    <s v="EF-DS-TNA Network APAC"/>
    <s v="G000001522"/>
    <s v="New"/>
    <x v="0"/>
    <x v="0"/>
    <s v="HC"/>
    <s v="Done for 1000/Done for KR00"/>
    <m/>
    <s v="Trixie Antonino"/>
  </r>
  <r>
    <n v="2132"/>
    <s v="F2"/>
    <x v="76"/>
    <s v="G000001525"/>
    <s v="EF-DS-TND Global DC Network"/>
    <s v="G000001522"/>
    <s v="New"/>
    <x v="0"/>
    <x v="0"/>
    <s v="HC"/>
    <s v="Done for 1000/Done for KR00"/>
    <m/>
    <s v="Trixie Antonino"/>
  </r>
  <r>
    <n v="2133"/>
    <s v="F2"/>
    <x v="76"/>
    <s v="G000001526"/>
    <s v="EF-DS-TNE Network EMEA"/>
    <s v="G000001522"/>
    <s v="New"/>
    <x v="0"/>
    <x v="0"/>
    <s v="HC"/>
    <s v="Done for 1000/Done for KR00"/>
    <m/>
    <s v="Trixie Antonino"/>
  </r>
  <r>
    <n v="2134"/>
    <s v="F2"/>
    <x v="76"/>
    <s v="G000001527"/>
    <s v="EF-DS-TNG Network Germany"/>
    <s v="G000001522"/>
    <s v="New"/>
    <x v="0"/>
    <x v="0"/>
    <s v="HC"/>
    <s v="Done for 1000/Done for KR00"/>
    <m/>
    <s v="Trixie Antonino"/>
  </r>
  <r>
    <n v="2135"/>
    <s v="F2"/>
    <x v="76"/>
    <s v="G000001528"/>
    <s v="EF-DS-TNL LATAM NOC"/>
    <s v="G000001522"/>
    <s v="New"/>
    <x v="0"/>
    <x v="0"/>
    <s v="HC"/>
    <s v="Done for 1000/Done for KR00"/>
    <m/>
    <s v="Trixie Antonino"/>
  </r>
  <r>
    <n v="2136"/>
    <s v="F2"/>
    <x v="76"/>
    <s v="G000001529"/>
    <s v="EF-DS-TNN Network NASA"/>
    <s v="G000001522"/>
    <s v="New"/>
    <x v="0"/>
    <x v="0"/>
    <s v="HC"/>
    <s v="Done for 1000/Done for KR00"/>
    <m/>
    <s v="Trixie Antonino"/>
  </r>
  <r>
    <n v="2137"/>
    <s v="F2"/>
    <x v="76"/>
    <s v="G000001530"/>
    <s v="EF-DS-TNO Network Operations Center"/>
    <s v="G000001522"/>
    <s v="New"/>
    <x v="0"/>
    <x v="0"/>
    <s v="HC"/>
    <s v="Done for 1000/Done for KR00"/>
    <m/>
    <s v="Trixie Antonino"/>
  </r>
  <r>
    <n v="2138"/>
    <s v="F2"/>
    <x v="76"/>
    <s v="G000001531"/>
    <s v="EF-DS-TNT Telecommunications Platforms"/>
    <s v="G000001522"/>
    <s v="New"/>
    <x v="0"/>
    <x v="0"/>
    <s v="HC"/>
    <s v="Done for 1000/Done for KR00"/>
    <m/>
    <s v="Trixie Antonino"/>
  </r>
  <r>
    <n v="2139"/>
    <s v="F2"/>
    <x v="76"/>
    <s v="G000001532"/>
    <s v="EF-DS-TP Process, Portfolio &amp; Perform"/>
    <s v="G000000244"/>
    <s v="New"/>
    <x v="0"/>
    <x v="0"/>
    <s v="HC"/>
    <s v="Done for 1000/Done for KR00"/>
    <m/>
    <s v="Trixie Antonino"/>
  </r>
  <r>
    <n v="2140"/>
    <s v="F2"/>
    <x v="76"/>
    <s v="G000001533"/>
    <s v="EF-DS-TP Process, Portfolio &amp; Perform_I"/>
    <s v="G000001532"/>
    <s v="New"/>
    <x v="0"/>
    <x v="0"/>
    <s v="HC"/>
    <s v="Done for 1000/Done for KR00"/>
    <m/>
    <s v="Trixie Antonino"/>
  </r>
  <r>
    <n v="2141"/>
    <s v="F2"/>
    <x v="76"/>
    <s v="G000001534"/>
    <s v="EF-DS-TPC IT Compliance, Process &amp; Perf"/>
    <s v="G000001532"/>
    <s v="New"/>
    <x v="0"/>
    <x v="0"/>
    <s v="HC"/>
    <s v="Done for 1000/Done for KR00"/>
    <m/>
    <s v="Trixie Antonino"/>
  </r>
  <r>
    <n v="2142"/>
    <s v="F2"/>
    <x v="76"/>
    <s v="G000001535"/>
    <s v="EF-DS-TPD IT Demand Mgmt &amp; Solution Des"/>
    <s v="G000001532"/>
    <s v="New"/>
    <x v="0"/>
    <x v="0"/>
    <s v="HC"/>
    <s v="Done for 1000/Done for KR00"/>
    <m/>
    <s v="Trixie Antonino"/>
  </r>
  <r>
    <n v="2143"/>
    <s v="F2"/>
    <x v="76"/>
    <s v="G000001536"/>
    <s v="EF-DS-TPF IT Finance"/>
    <s v="G000001532"/>
    <s v="New"/>
    <x v="0"/>
    <x v="0"/>
    <s v="HC"/>
    <s v="Done for 1000/Done for KR00"/>
    <m/>
    <s v="Trixie Antonino"/>
  </r>
  <r>
    <n v="2144"/>
    <s v="F2"/>
    <x v="76"/>
    <s v="G000001537"/>
    <s v="EF-DS-TPP IT Project Delivery"/>
    <s v="G000001532"/>
    <s v="New"/>
    <x v="0"/>
    <x v="0"/>
    <s v="HC"/>
    <s v="Done for 1000/Done for KR00"/>
    <m/>
    <s v="Trixie Antonino"/>
  </r>
  <r>
    <n v="2145"/>
    <s v="F2"/>
    <x v="76"/>
    <s v="G000001538"/>
    <s v="EF-DS-TPR IT-I RUN"/>
    <s v="G000001532"/>
    <s v="New"/>
    <x v="0"/>
    <x v="0"/>
    <s v="HC"/>
    <s v="Done for 1000/Done for KR00"/>
    <m/>
    <s v="Trixie Antonino"/>
  </r>
  <r>
    <n v="2146"/>
    <s v="F2"/>
    <x v="76"/>
    <s v="G000001539"/>
    <s v="EF-DS-TT Technology Office"/>
    <s v="G000000244"/>
    <s v="New"/>
    <x v="0"/>
    <x v="0"/>
    <s v="HC"/>
    <s v="Done for 1000/Done for KR00"/>
    <m/>
    <s v="Trixie Antonino"/>
  </r>
  <r>
    <n v="2147"/>
    <s v="F2"/>
    <x v="76"/>
    <s v="G000001540"/>
    <s v="EF-DS-TT Technology Office_I"/>
    <s v="G000001539"/>
    <s v="New"/>
    <x v="0"/>
    <x v="0"/>
    <s v="HC"/>
    <s v="Done for 1000/Done for KR00"/>
    <m/>
    <s v="Trixie Antonino"/>
  </r>
  <r>
    <n v="2148"/>
    <s v="F2"/>
    <x v="76"/>
    <s v="G000001541"/>
    <s v="EF-DS-TTC Cyber Build"/>
    <s v="G000001539"/>
    <s v="New"/>
    <x v="0"/>
    <x v="0"/>
    <s v="HC"/>
    <s v="Done for 1000/Done for KR00"/>
    <m/>
    <s v="Trixie Antonino"/>
  </r>
  <r>
    <n v="2149"/>
    <s v="F2"/>
    <x v="76"/>
    <s v="G000001542"/>
    <s v="EF-DS-TTD DevOps"/>
    <s v="G000001539"/>
    <s v="New"/>
    <x v="0"/>
    <x v="0"/>
    <s v="HC"/>
    <s v="Done for 1000/Done for KR00"/>
    <m/>
    <s v="Trixie Antonino"/>
  </r>
  <r>
    <n v="2150"/>
    <s v="F2"/>
    <x v="76"/>
    <s v="G000001543"/>
    <s v="EF-DS-TTG GIAM"/>
    <s v="G000001539"/>
    <s v="New"/>
    <x v="0"/>
    <x v="0"/>
    <s v="HC"/>
    <s v="Done for 1000/Done for KR00"/>
    <m/>
    <s v="Trixie Antonino"/>
  </r>
  <r>
    <n v="2151"/>
    <s v="F2"/>
    <x v="76"/>
    <s v="G000001544"/>
    <s v="EF-DS-TTI InfoSec"/>
    <s v="G000001539"/>
    <s v="New"/>
    <x v="0"/>
    <x v="0"/>
    <s v="HC"/>
    <s v="Done for 1000/Done for KR00"/>
    <m/>
    <s v="Trixie Antonino"/>
  </r>
  <r>
    <n v="2152"/>
    <s v="F2"/>
    <x v="76"/>
    <s v="G000001545"/>
    <s v="EF-DS-TTS Directory Services"/>
    <s v="G000001539"/>
    <s v="New"/>
    <x v="0"/>
    <x v="0"/>
    <s v="HC"/>
    <s v="Done for 1000/Done for KR00"/>
    <m/>
    <s v="Trixie Antonino"/>
  </r>
  <r>
    <n v="2153"/>
    <s v="F2"/>
    <x v="76"/>
    <s v="G000001546"/>
    <s v="EF-DS-TW Digital Workplace"/>
    <s v="G000000244"/>
    <s v="New"/>
    <x v="0"/>
    <x v="0"/>
    <s v="HC"/>
    <s v="Done for 1000/Done for KR00"/>
    <m/>
    <s v="Trixie Antonino"/>
  </r>
  <r>
    <n v="2154"/>
    <s v="F2"/>
    <x v="76"/>
    <s v="G000001547"/>
    <s v="EF-DS-TW Digital Workplace_I"/>
    <s v="G000001546"/>
    <s v="New"/>
    <x v="0"/>
    <x v="0"/>
    <s v="HC"/>
    <s v="Done for 1000/Done for KR00"/>
    <m/>
    <s v="Trixie Antonino"/>
  </r>
  <r>
    <n v="2155"/>
    <s v="F2"/>
    <x v="76"/>
    <s v="G000001548"/>
    <s v="EF-DS-TWC Messaging &amp; Collaboration"/>
    <s v="G000001546"/>
    <s v="New"/>
    <x v="0"/>
    <x v="0"/>
    <s v="HC"/>
    <s v="Done for 1000/Done for KR00"/>
    <m/>
    <s v="Trixie Antonino"/>
  </r>
  <r>
    <n v="2156"/>
    <s v="F2"/>
    <x v="76"/>
    <s v="G000001549"/>
    <s v="EF-DS-TWD Digital Workplace Solutions"/>
    <s v="G000001546"/>
    <s v="New"/>
    <x v="0"/>
    <x v="0"/>
    <s v="HC"/>
    <s v="Done for 1000/Done for KR00"/>
    <m/>
    <s v="Trixie Antonino"/>
  </r>
  <r>
    <n v="2157"/>
    <s v="F2"/>
    <x v="76"/>
    <s v="G000001550"/>
    <s v="EF-DS-TWE Client Computing"/>
    <s v="G000001546"/>
    <s v="New"/>
    <x v="0"/>
    <x v="0"/>
    <s v="HC"/>
    <s v="Done for 1000/Done for KR00"/>
    <m/>
    <s v="Trixie Antonino"/>
  </r>
  <r>
    <n v="2158"/>
    <s v="F2"/>
    <x v="76"/>
    <s v="G000001551"/>
    <s v="EF-DS-TWM Enterprise Mobile Device Mgmt"/>
    <s v="G000001546"/>
    <s v="New"/>
    <x v="0"/>
    <x v="0"/>
    <s v="HC"/>
    <s v="Done for 1000/Done for KR00"/>
    <m/>
    <s v="Trixie Antonino"/>
  </r>
  <r>
    <n v="2159"/>
    <s v="F2"/>
    <x v="76"/>
    <s v="G000001552"/>
    <s v="EF-DS-SC Cost, Cash &amp; Performance "/>
    <s v="G000001381"/>
    <s v="New"/>
    <x v="0"/>
    <x v="0"/>
    <s v="HC"/>
    <s v="Done for 1000/Done for KR00"/>
    <m/>
    <s v="Trixie Antonino"/>
  </r>
  <r>
    <n v="2160"/>
    <s v="F2"/>
    <x v="76"/>
    <s v="G000001553"/>
    <s v="EF-DS-SCP Portfolio Management &amp; Project"/>
    <s v="G000001552"/>
    <s v="New"/>
    <x v="0"/>
    <x v="0"/>
    <s v="HC"/>
    <s v="Done for 1000/Done for KR00"/>
    <m/>
    <s v="Trixie Antonino"/>
  </r>
  <r>
    <n v="2161"/>
    <s v="F2"/>
    <x v="76"/>
    <s v="G000001554"/>
    <s v="EF-DS-SCM Performance Management "/>
    <s v="G000001552"/>
    <s v="New"/>
    <x v="0"/>
    <x v="0"/>
    <s v="HC"/>
    <s v="Done for 1000/Done for KR00"/>
    <m/>
    <s v="Trixie Antonino"/>
  </r>
  <r>
    <n v="2162"/>
    <s v="F2"/>
    <x v="76"/>
    <s v="G000001555"/>
    <s v="EF-DS-SCV Vendor Mgmt &amp; Cost Control"/>
    <s v="G000001552"/>
    <s v="New"/>
    <x v="0"/>
    <x v="0"/>
    <s v="HC"/>
    <s v="Done for 1000/Done for KR00"/>
    <m/>
    <s v="Trixie Antonino"/>
  </r>
  <r>
    <n v="2163"/>
    <s v="F2"/>
    <x v="76"/>
    <s v="G000001556"/>
    <s v="EF-DS-ST Strategy &amp; Transformation"/>
    <s v="G000001381"/>
    <s v="New"/>
    <x v="0"/>
    <x v="0"/>
    <s v="HC"/>
    <s v="Done for 1000/Done for KR00"/>
    <m/>
    <s v="Trixie Antonino"/>
  </r>
  <r>
    <n v="2164"/>
    <s v="F2"/>
    <x v="76"/>
    <s v="G000001557"/>
    <s v="EF-DS-ST Strategy &amp; Transformation_I"/>
    <s v="G000001556"/>
    <s v="New"/>
    <x v="0"/>
    <x v="0"/>
    <s v="HC"/>
    <s v="Done for 1000/Done for KR00"/>
    <m/>
    <s v="Trixie Antonino"/>
  </r>
  <r>
    <n v="2165"/>
    <s v="F2"/>
    <x v="76"/>
    <s v="G000001558"/>
    <s v="EF-DS-SM MITC Office "/>
    <s v="G000001381"/>
    <s v="New"/>
    <x v="0"/>
    <x v="0"/>
    <s v="HC"/>
    <s v="Done for 1000/Done for KR00"/>
    <m/>
    <s v="Trixie Antonino"/>
  </r>
  <r>
    <n v="2166"/>
    <s v="F2"/>
    <x v="76"/>
    <s v="G000001559"/>
    <s v="EF-DS-SM MITC Office_I"/>
    <s v="G000001558"/>
    <s v="New"/>
    <x v="0"/>
    <x v="0"/>
    <s v="HC"/>
    <s v="Done for 1000/Done for KR00"/>
    <m/>
    <s v="Trixie Antonino"/>
  </r>
  <r>
    <n v="2167"/>
    <s v="F2"/>
    <x v="76"/>
    <s v="G000001560"/>
    <s v="EF-DS-HM Service Management "/>
    <s v="G000001378"/>
    <s v="New"/>
    <x v="0"/>
    <x v="0"/>
    <s v="HC"/>
    <s v="Done for 1000/Done for KR00"/>
    <m/>
    <s v="Trixie Antonino"/>
  </r>
  <r>
    <n v="2168"/>
    <s v="F2"/>
    <x v="76"/>
    <s v="G000001561"/>
    <s v="EF-DS-S DES Strategy, Gover. &amp; Transf_I"/>
    <s v="G000001381"/>
    <s v="New"/>
    <x v="0"/>
    <x v="0"/>
    <s v="HC"/>
    <s v="Done for 1000/Done for KR00"/>
    <m/>
    <s v="Trixie Antonino"/>
  </r>
  <r>
    <n v="2169"/>
    <s v="F2"/>
    <x v="76"/>
    <s v="G000001562"/>
    <s v="EF-DS-H Hyperautomation &amp; Process Exce_I"/>
    <s v="G000001378"/>
    <s v="New"/>
    <x v="0"/>
    <x v="0"/>
    <s v="HC"/>
    <s v="Done for 1000/Done for KR00"/>
    <m/>
    <s v="Trixie Antonino"/>
  </r>
  <r>
    <n v="2170"/>
    <s v="F2"/>
    <x v="76"/>
    <s v="IT01000600"/>
    <s v="EF-DS-HM Service Management "/>
    <s v="G000001560"/>
    <s v="New"/>
    <x v="0"/>
    <x v="0"/>
    <s v="HC"/>
    <s v="Done for 1000"/>
    <m/>
    <s v="Trixie Antonino"/>
  </r>
  <r>
    <n v="2171"/>
    <s v="F2"/>
    <x v="76"/>
    <s v="IT06B12000"/>
    <s v="EF-DS-TB Business Domain Solutions"/>
    <s v="G000001496"/>
    <s v="New"/>
    <x v="0"/>
    <x v="0"/>
    <s v="HC"/>
    <s v="Done for 1000"/>
    <m/>
    <s v="Trixie Antonino"/>
  </r>
  <r>
    <n v="2172"/>
    <s v="F2"/>
    <x v="76"/>
    <s v="IT06B12001"/>
    <s v="EF-DS-TBC Supply Chain"/>
    <s v="G000001497"/>
    <s v="New"/>
    <x v="0"/>
    <x v="0"/>
    <s v="HC"/>
    <s v="Done for 1000"/>
    <m/>
    <s v="Trixie Antonino"/>
  </r>
  <r>
    <n v="2173"/>
    <s v="F2"/>
    <x v="76"/>
    <s v="IT06B12002"/>
    <s v="EF-DS-TBD Cross-Domain Capabilities"/>
    <s v="G000001498"/>
    <s v="New"/>
    <x v="0"/>
    <x v="0"/>
    <s v="HC"/>
    <s v="Done for 1000"/>
    <m/>
    <s v="Trixie Antonino"/>
  </r>
  <r>
    <n v="2174"/>
    <s v="F2"/>
    <x v="76"/>
    <s v="IT06B12003"/>
    <s v="EF-DS-TBL Lab Technologies"/>
    <s v="G000001499"/>
    <s v="New"/>
    <x v="0"/>
    <x v="0"/>
    <s v="HC"/>
    <s v="Done for 1000"/>
    <m/>
    <s v="Trixie Antonino"/>
  </r>
  <r>
    <n v="2175"/>
    <s v="F2"/>
    <x v="76"/>
    <s v="IT06B12004"/>
    <s v="EF-DS-TBM Manufacturing"/>
    <s v="G000001500"/>
    <s v="New"/>
    <x v="0"/>
    <x v="0"/>
    <s v="HC"/>
    <s v="Done for 1000"/>
    <m/>
    <s v="Trixie Antonino"/>
  </r>
  <r>
    <n v="2176"/>
    <s v="F2"/>
    <x v="76"/>
    <s v="IT06B12005"/>
    <s v="EF-DS-TBQ Quality &amp; Compliance"/>
    <s v="G000001501"/>
    <s v="New"/>
    <x v="0"/>
    <x v="0"/>
    <s v="HC"/>
    <s v="Done for 1000"/>
    <m/>
    <s v="Trixie Antonino"/>
  </r>
  <r>
    <n v="2177"/>
    <s v="F2"/>
    <x v="76"/>
    <s v="IT06B12006"/>
    <s v="EF-DS-TBS Marketing &amp; Sales"/>
    <s v="G000001502"/>
    <s v="New"/>
    <x v="0"/>
    <x v="0"/>
    <s v="HC"/>
    <s v="Done for 1000"/>
    <m/>
    <s v="Trixie Antonino"/>
  </r>
  <r>
    <n v="2178"/>
    <s v="F2"/>
    <x v="76"/>
    <s v="IT06B12007"/>
    <s v="EF-DS-TBW Web Capabilities"/>
    <s v="G000001503"/>
    <s v="New"/>
    <x v="0"/>
    <x v="0"/>
    <s v="HC"/>
    <s v="Done for 1000"/>
    <m/>
    <s v="Trixie Antonino"/>
  </r>
  <r>
    <n v="2179"/>
    <s v="F2"/>
    <x v="76"/>
    <s v="IT06B13000"/>
    <s v="EF-DS-TI Integrated Entp Solutions"/>
    <s v="G000001505"/>
    <s v="New"/>
    <x v="0"/>
    <x v="0"/>
    <s v="HC"/>
    <s v="Done for 1000"/>
    <m/>
    <s v="Trixie Antonino"/>
  </r>
  <r>
    <n v="2180"/>
    <s v="F2"/>
    <x v="76"/>
    <s v="IT06B13001"/>
    <s v="EF-DS-TIA ERP Architec &amp; Cross Services"/>
    <s v="G000001506"/>
    <s v="New"/>
    <x v="0"/>
    <x v="0"/>
    <s v="HC"/>
    <s v="Done for 1000"/>
    <m/>
    <s v="Trixie Antonino"/>
  </r>
  <r>
    <n v="2181"/>
    <s v="F2"/>
    <x v="76"/>
    <s v="IT06B13002"/>
    <s v="EF-DS-TIC SAP Center of Competence"/>
    <s v="G000001507"/>
    <s v="New"/>
    <x v="0"/>
    <x v="0"/>
    <s v="HC"/>
    <s v="Done for 1000"/>
    <m/>
    <s v="Trixie Antonino"/>
  </r>
  <r>
    <n v="2182"/>
    <s v="F2"/>
    <x v="76"/>
    <s v="IT06B13003"/>
    <s v="EF-DS-TID Data Migration &amp; Integration "/>
    <s v="G000001508"/>
    <s v="New"/>
    <x v="0"/>
    <x v="0"/>
    <s v="HC"/>
    <s v="Done for 1000"/>
    <m/>
    <s v="Trixie Antonino"/>
  </r>
  <r>
    <n v="2183"/>
    <s v="F2"/>
    <x v="76"/>
    <s v="IT06B13004"/>
    <s v="EF-DS-TIE Enterprise Value Chain Apps"/>
    <s v="G000001509"/>
    <s v="New"/>
    <x v="0"/>
    <x v="0"/>
    <s v="HC"/>
    <s v="Done for 1000"/>
    <m/>
    <s v="Trixie Antonino"/>
  </r>
  <r>
    <n v="2184"/>
    <s v="F2"/>
    <x v="76"/>
    <s v="IT06B13005"/>
    <s v="EF-DS-TIG Group Solutions"/>
    <s v="G000001510"/>
    <s v="New"/>
    <x v="0"/>
    <x v="0"/>
    <s v="HC"/>
    <s v="Done for 1000"/>
    <m/>
    <s v="Trixie Antonino"/>
  </r>
  <r>
    <n v="2185"/>
    <s v="F2"/>
    <x v="76"/>
    <s v="IT06B13006"/>
    <s v="EF-DS-TIS Strategy Realization &amp; BTP"/>
    <s v="G000001511"/>
    <s v="New"/>
    <x v="0"/>
    <x v="0"/>
    <s v="HC"/>
    <s v="Done for 1000"/>
    <m/>
    <s v="Trixie Antonino"/>
  </r>
  <r>
    <n v="2186"/>
    <s v="F2"/>
    <x v="76"/>
    <s v="IT06B14000"/>
    <s v="EF-DS-TE Entp Technology Platforms"/>
    <s v="G000001513"/>
    <s v="New"/>
    <x v="0"/>
    <x v="0"/>
    <s v="HC"/>
    <s v="Done for 1000"/>
    <m/>
    <s v="Trixie Antonino"/>
  </r>
  <r>
    <n v="2187"/>
    <s v="F2"/>
    <x v="76"/>
    <s v="IT06B14001"/>
    <s v="EF-DS-TEA Platform Archi &amp; Automation"/>
    <s v="G000001514"/>
    <s v="New"/>
    <x v="0"/>
    <x v="0"/>
    <s v="HC"/>
    <s v="Done for 1000"/>
    <m/>
    <s v="Trixie Antonino"/>
  </r>
  <r>
    <n v="2188"/>
    <s v="F2"/>
    <x v="76"/>
    <s v="IT06B14002"/>
    <s v="EF-DS-TEC Cloud Platforms"/>
    <s v="G000001515"/>
    <s v="New"/>
    <x v="0"/>
    <x v="0"/>
    <s v="HC"/>
    <s v="Done for 1000"/>
    <m/>
    <s v="Trixie Antonino"/>
  </r>
  <r>
    <n v="2189"/>
    <s v="F2"/>
    <x v="76"/>
    <s v="IT06B14003"/>
    <s v="EF-DS-TED Database, Citrix &amp; Datacenter"/>
    <s v="G000001516"/>
    <s v="New"/>
    <x v="0"/>
    <x v="0"/>
    <s v="HC"/>
    <s v="Done for 1000"/>
    <m/>
    <s v="Trixie Antonino"/>
  </r>
  <r>
    <n v="2190"/>
    <s v="F2"/>
    <x v="76"/>
    <s v="IT06B14004"/>
    <s v="EF-DS-TEE Edge Strategy"/>
    <s v="G000001517"/>
    <s v="New"/>
    <x v="0"/>
    <x v="0"/>
    <s v="HC"/>
    <s v="Done for 1000"/>
    <m/>
    <s v="Trixie Antonino"/>
  </r>
  <r>
    <n v="2191"/>
    <s v="F2"/>
    <x v="76"/>
    <s v="IT06B14005"/>
    <s v="EF-DS-TEL Storage Backup &amp; Linux Unix"/>
    <s v="G000001518"/>
    <s v="New"/>
    <x v="0"/>
    <x v="0"/>
    <s v="HC"/>
    <s v="Done for 1000"/>
    <m/>
    <s v="Trixie Antonino"/>
  </r>
  <r>
    <n v="2192"/>
    <s v="F2"/>
    <x v="76"/>
    <s v="IT06B14006"/>
    <s v="EF-DS-TEP Performance Management"/>
    <s v="G000001519"/>
    <s v="New"/>
    <x v="0"/>
    <x v="0"/>
    <s v="HC"/>
    <s v="Done for 1000"/>
    <m/>
    <s v="Trixie Antonino"/>
  </r>
  <r>
    <n v="2193"/>
    <s v="F2"/>
    <x v="76"/>
    <s v="IT06B14007"/>
    <s v="EF-DS-TES Strategy Realization Office"/>
    <s v="G000001520"/>
    <s v="New"/>
    <x v="0"/>
    <x v="0"/>
    <s v="HC"/>
    <s v="Done for 1000"/>
    <m/>
    <s v="Trixie Antonino"/>
  </r>
  <r>
    <n v="2194"/>
    <s v="F2"/>
    <x v="76"/>
    <s v="IT06B14008"/>
    <s v="EF-DS-TEW Windows &amp; Virtualization Plat"/>
    <s v="G000001521"/>
    <s v="New"/>
    <x v="0"/>
    <x v="0"/>
    <s v="HC"/>
    <s v="Done for 1000"/>
    <m/>
    <s v="Trixie Antonino"/>
  </r>
  <r>
    <n v="2195"/>
    <s v="F2"/>
    <x v="76"/>
    <s v="IT06B15000"/>
    <s v="EF-DS-TN Entp Network &amp; Telecom Pl"/>
    <s v="G000001523"/>
    <s v="New"/>
    <x v="0"/>
    <x v="0"/>
    <s v="HC"/>
    <s v="Done for 1000"/>
    <m/>
    <s v="Trixie Antonino"/>
  </r>
  <r>
    <n v="2196"/>
    <s v="F2"/>
    <x v="76"/>
    <s v="IT06B15001"/>
    <s v="EF-DS-TNA Network APAC"/>
    <s v="G000001524"/>
    <s v="New"/>
    <x v="0"/>
    <x v="0"/>
    <s v="HC"/>
    <s v="Done for 1000"/>
    <m/>
    <s v="Trixie Antonino"/>
  </r>
  <r>
    <n v="2197"/>
    <s v="F2"/>
    <x v="76"/>
    <s v="IT06B15002"/>
    <s v="EF-DS-TND Global DC Network"/>
    <s v="G000001525"/>
    <s v="New"/>
    <x v="0"/>
    <x v="0"/>
    <s v="HC"/>
    <s v="Done for 1000"/>
    <m/>
    <s v="Trixie Antonino"/>
  </r>
  <r>
    <n v="2198"/>
    <s v="F2"/>
    <x v="76"/>
    <s v="IT06B15003"/>
    <s v="EF-DS-TNE Network EMEA"/>
    <s v="G000001526"/>
    <s v="New"/>
    <x v="0"/>
    <x v="0"/>
    <s v="HC"/>
    <s v="Done for 1000"/>
    <m/>
    <s v="Trixie Antonino"/>
  </r>
  <r>
    <n v="2199"/>
    <s v="F2"/>
    <x v="76"/>
    <s v="IT06B15004"/>
    <s v="EF-DS-TNG Network Germany"/>
    <s v="G000001527"/>
    <s v="New"/>
    <x v="0"/>
    <x v="0"/>
    <s v="HC"/>
    <s v="Done for 1000"/>
    <m/>
    <s v="Trixie Antonino"/>
  </r>
  <r>
    <n v="2200"/>
    <s v="F2"/>
    <x v="76"/>
    <s v="IT06B15005"/>
    <s v="EF-DS-TNL LATAM NOC"/>
    <s v="G000001528"/>
    <s v="New"/>
    <x v="0"/>
    <x v="0"/>
    <s v="HC"/>
    <s v="Done for 1000"/>
    <m/>
    <s v="Trixie Antonino"/>
  </r>
  <r>
    <n v="2201"/>
    <s v="F2"/>
    <x v="76"/>
    <s v="IT06B15006"/>
    <s v="EF-DS-TNN Network NASA"/>
    <s v="G000001529"/>
    <s v="New"/>
    <x v="0"/>
    <x v="0"/>
    <s v="HC"/>
    <s v="Done for 1000"/>
    <m/>
    <s v="Trixie Antonino"/>
  </r>
  <r>
    <n v="2202"/>
    <s v="F2"/>
    <x v="76"/>
    <s v="IT06B15007"/>
    <s v="EF-DS-TNO Network Operations Center"/>
    <s v="G000001530"/>
    <s v="New"/>
    <x v="0"/>
    <x v="0"/>
    <s v="HC"/>
    <s v="Done for 1000"/>
    <m/>
    <s v="Trixie Antonino"/>
  </r>
  <r>
    <n v="2203"/>
    <s v="F2"/>
    <x v="76"/>
    <s v="IT06B15008"/>
    <s v="EF-DS-TNT Telecommunications Platforms"/>
    <s v="G000001531"/>
    <s v="New"/>
    <x v="0"/>
    <x v="0"/>
    <s v="HC"/>
    <s v="Done for 1000"/>
    <m/>
    <s v="Trixie Antonino"/>
  </r>
  <r>
    <n v="2204"/>
    <s v="F2"/>
    <x v="76"/>
    <s v="IT06B16000"/>
    <s v="EF-DS-TP Process, Portfolio &amp; Perform"/>
    <s v="G000001533"/>
    <s v="New"/>
    <x v="0"/>
    <x v="0"/>
    <s v="HC"/>
    <s v="Done for 1000"/>
    <m/>
    <s v="Trixie Antonino"/>
  </r>
  <r>
    <n v="2205"/>
    <s v="F2"/>
    <x v="76"/>
    <s v="IT06B16001"/>
    <s v="EF-DS-TPC IT Compliance, Process &amp; Perf"/>
    <s v="G000001534"/>
    <s v="New"/>
    <x v="0"/>
    <x v="0"/>
    <s v="HC"/>
    <s v="Done for 1000"/>
    <m/>
    <s v="Trixie Antonino"/>
  </r>
  <r>
    <n v="2206"/>
    <s v="F2"/>
    <x v="76"/>
    <s v="IT06B16002"/>
    <s v="EF-DS-TPD IT Demand Mgmt &amp; Solution Des"/>
    <s v="G000001535"/>
    <s v="New"/>
    <x v="0"/>
    <x v="0"/>
    <s v="HC"/>
    <s v="Done for 1000"/>
    <m/>
    <s v="Trixie Antonino"/>
  </r>
  <r>
    <n v="2207"/>
    <s v="F2"/>
    <x v="76"/>
    <s v="IT06B16003"/>
    <s v="EF-DS-TPF IT Finance"/>
    <s v="G000001536"/>
    <s v="New"/>
    <x v="0"/>
    <x v="0"/>
    <s v="HC"/>
    <s v="Done for 1000"/>
    <m/>
    <s v="Trixie Antonino"/>
  </r>
  <r>
    <n v="2208"/>
    <s v="F2"/>
    <x v="76"/>
    <s v="IT06B16004"/>
    <s v="EF-DS-TPP IT Project Delivery"/>
    <s v="G000001537"/>
    <s v="New"/>
    <x v="0"/>
    <x v="0"/>
    <s v="HC"/>
    <s v="Done for 1000"/>
    <m/>
    <s v="Trixie Antonino"/>
  </r>
  <r>
    <n v="2209"/>
    <s v="F2"/>
    <x v="76"/>
    <s v="IT06B16005"/>
    <s v="EF-DS-TPR IT-I RUN"/>
    <s v="G000001538"/>
    <s v="New"/>
    <x v="0"/>
    <x v="0"/>
    <s v="HC"/>
    <s v="Done for 1000"/>
    <m/>
    <s v="Trixie Antonino"/>
  </r>
  <r>
    <n v="2210"/>
    <s v="F2"/>
    <x v="76"/>
    <s v="IT06B17000"/>
    <s v="EF-DS-TT Technology Office"/>
    <s v="G000001540"/>
    <s v="New"/>
    <x v="0"/>
    <x v="0"/>
    <s v="HC"/>
    <s v="Done for 1000"/>
    <m/>
    <s v="Trixie Antonino"/>
  </r>
  <r>
    <n v="2211"/>
    <s v="F2"/>
    <x v="76"/>
    <s v="IT06B17001"/>
    <s v="EF-DS-TTC Cyber Build"/>
    <s v="G000001541"/>
    <s v="New"/>
    <x v="0"/>
    <x v="0"/>
    <s v="HC"/>
    <s v="Done for 1000"/>
    <m/>
    <s v="Trixie Antonino"/>
  </r>
  <r>
    <n v="2212"/>
    <s v="F2"/>
    <x v="76"/>
    <s v="IT06B17002"/>
    <s v="EF-DS-TTD DevOps"/>
    <s v="G000001542"/>
    <s v="New"/>
    <x v="0"/>
    <x v="0"/>
    <s v="HC"/>
    <s v="Done for 1000"/>
    <m/>
    <s v="Trixie Antonino"/>
  </r>
  <r>
    <n v="2213"/>
    <s v="F2"/>
    <x v="76"/>
    <s v="IT06B17003"/>
    <s v="EF-DS-TTG GIAM"/>
    <s v="G000001543"/>
    <s v="New"/>
    <x v="0"/>
    <x v="0"/>
    <s v="HC"/>
    <s v="Done for 1000"/>
    <m/>
    <s v="Trixie Antonino"/>
  </r>
  <r>
    <n v="2214"/>
    <s v="F2"/>
    <x v="76"/>
    <s v="IT06B17004"/>
    <s v="EF-DS-TTI InfoSec"/>
    <s v="G000001544"/>
    <s v="New"/>
    <x v="0"/>
    <x v="0"/>
    <s v="HC"/>
    <s v="Done for 1000"/>
    <m/>
    <s v="Trixie Antonino"/>
  </r>
  <r>
    <n v="2215"/>
    <s v="F2"/>
    <x v="76"/>
    <s v="IT06B17005"/>
    <s v="EF-DS-TTS Directory Services"/>
    <s v="G000001545"/>
    <s v="New"/>
    <x v="0"/>
    <x v="0"/>
    <s v="HC"/>
    <s v="Done for 1000"/>
    <m/>
    <s v="Trixie Antonino"/>
  </r>
  <r>
    <n v="2216"/>
    <s v="F2"/>
    <x v="76"/>
    <s v="IT06B18000"/>
    <s v="EF-DS-TW Digital Workplace"/>
    <s v="G000001547"/>
    <s v="New"/>
    <x v="0"/>
    <x v="0"/>
    <s v="HC"/>
    <s v="Done for 1000"/>
    <m/>
    <s v="Trixie Antonino"/>
  </r>
  <r>
    <n v="2217"/>
    <s v="F2"/>
    <x v="76"/>
    <s v="IT06B18001"/>
    <s v="EF-DS-TWC Messaging &amp; Collaboration"/>
    <s v="G000001548"/>
    <s v="New"/>
    <x v="0"/>
    <x v="0"/>
    <s v="HC"/>
    <s v="Done for 1000"/>
    <m/>
    <s v="Trixie Antonino"/>
  </r>
  <r>
    <n v="2218"/>
    <s v="F2"/>
    <x v="76"/>
    <s v="IT06B18002"/>
    <s v="EF-DS-TWD Digital Workplace Solutions"/>
    <s v="G000001549"/>
    <s v="New"/>
    <x v="0"/>
    <x v="0"/>
    <s v="HC"/>
    <s v="Done for 1000"/>
    <m/>
    <s v="Trixie Antonino"/>
  </r>
  <r>
    <n v="2219"/>
    <s v="F2"/>
    <x v="76"/>
    <s v="IT06B18003"/>
    <s v="EF-DS-TWE Client Computing"/>
    <s v="G000001550"/>
    <s v="New"/>
    <x v="0"/>
    <x v="0"/>
    <s v="HC"/>
    <s v="Done for 1000"/>
    <m/>
    <s v="Trixie Antonino"/>
  </r>
  <r>
    <n v="2220"/>
    <s v="F2"/>
    <x v="76"/>
    <s v="IT06B18004"/>
    <s v="EF-DS-TWM Enterprise Mobile Device Mgmt"/>
    <s v="G000001551"/>
    <s v="New"/>
    <x v="0"/>
    <x v="0"/>
    <s v="HC"/>
    <s v="Done for 1000"/>
    <m/>
    <s v="Trixie Antonino"/>
  </r>
  <r>
    <n v="2221"/>
    <s v="F2"/>
    <x v="76"/>
    <s v="IT09060000"/>
    <s v="EF-DS-SC Cost, Cash &amp; Performance "/>
    <s v="G000001552"/>
    <s v="New"/>
    <x v="0"/>
    <x v="0"/>
    <s v="HC"/>
    <s v="Done for 1000"/>
    <m/>
    <s v="Trixie Antonino"/>
  </r>
  <r>
    <n v="2222"/>
    <s v="F2"/>
    <x v="76"/>
    <s v="IT09060100"/>
    <s v="EF-DS-SCP Portfolio Management &amp; Project"/>
    <s v="G000001553"/>
    <s v="New"/>
    <x v="0"/>
    <x v="0"/>
    <s v="HC"/>
    <s v="Done for 1000"/>
    <m/>
    <s v="Trixie Antonino"/>
  </r>
  <r>
    <n v="2223"/>
    <s v="F2"/>
    <x v="76"/>
    <s v="IT09060200"/>
    <s v="EF-DS-SCM Performance Management "/>
    <s v="G000001554"/>
    <s v="New"/>
    <x v="0"/>
    <x v="0"/>
    <s v="HC"/>
    <s v="Done for 1000"/>
    <m/>
    <s v="Trixie Antonino"/>
  </r>
  <r>
    <n v="2224"/>
    <s v="F2"/>
    <x v="76"/>
    <s v="IT09060300"/>
    <s v="EF-DS-SCV Vendor Mgmt &amp; Cost Control"/>
    <s v="G000001555"/>
    <s v="New"/>
    <x v="0"/>
    <x v="0"/>
    <s v="HC"/>
    <s v="Done for 1000"/>
    <m/>
    <s v="Trixie Antonino"/>
  </r>
  <r>
    <n v="2225"/>
    <s v="F2"/>
    <x v="76"/>
    <s v="IT09070000"/>
    <s v="EF-DS-ST Strategy &amp; Transformation"/>
    <s v="G000001557"/>
    <s v="New"/>
    <x v="0"/>
    <x v="0"/>
    <s v="HC"/>
    <s v="Done for 1000"/>
    <m/>
    <s v="Trixie Antonino"/>
  </r>
  <r>
    <n v="2226"/>
    <s v="F2"/>
    <x v="76"/>
    <s v="IT09080000"/>
    <s v="EF-DS-SM MITC Office "/>
    <s v="G000001559"/>
    <s v="New"/>
    <x v="0"/>
    <x v="0"/>
    <s v="HC"/>
    <s v="Done for 1000"/>
    <m/>
    <s v="Trixie Antonino"/>
  </r>
  <r>
    <n v="2227"/>
    <s v="F2"/>
    <x v="76"/>
    <s v="G000000730"/>
    <s v="EF-DS-SGT Continuity, Risk &amp; Control "/>
    <m/>
    <s v="Rename"/>
    <x v="0"/>
    <x v="0"/>
    <s v="HC"/>
    <s v="Done for 1000/Done for KR00"/>
    <m/>
    <s v="Trixie Antonino"/>
  </r>
  <r>
    <n v="2228"/>
    <s v="F2"/>
    <x v="76"/>
    <s v="G000000744"/>
    <s v="EF-DS-TX Special Topics"/>
    <m/>
    <s v="Rename"/>
    <x v="0"/>
    <x v="0"/>
    <s v="HC"/>
    <s v="Done for 1000/Done for KR00"/>
    <m/>
    <s v="Trixie Antonino"/>
  </r>
  <r>
    <n v="2229"/>
    <s v="F2"/>
    <x v="76"/>
    <s v="G000000785"/>
    <s v="EF-DS-SGA Audit &amp; Compliance "/>
    <m/>
    <s v="Rename"/>
    <x v="0"/>
    <x v="0"/>
    <s v="HC"/>
    <s v="Done for 1000/Done for KR00"/>
    <m/>
    <s v="Trixie Antonino"/>
  </r>
  <r>
    <n v="2230"/>
    <s v="F2"/>
    <x v="76"/>
    <s v="G000001381"/>
    <s v="EF-DS-S DES Strategy, Governance &amp; Trans"/>
    <m/>
    <s v="Rename"/>
    <x v="0"/>
    <x v="0"/>
    <s v="HC"/>
    <s v="Done for 1000/Done for KR00"/>
    <m/>
    <s v="Trixie Antonino"/>
  </r>
  <r>
    <n v="2231"/>
    <s v="F2"/>
    <x v="76"/>
    <s v="G000001421"/>
    <s v="EF-DS-SOY DES Communications"/>
    <m/>
    <s v="Rename"/>
    <x v="0"/>
    <x v="0"/>
    <s v="HC"/>
    <s v="Done for 1000/Done for KR00"/>
    <m/>
    <s v="Trixie Antonino"/>
  </r>
  <r>
    <n v="2232"/>
    <s v="F2"/>
    <x v="76"/>
    <s v="IT06090000"/>
    <s v="EF-DS-TX Special Topics"/>
    <m/>
    <s v="Rename"/>
    <x v="0"/>
    <x v="0"/>
    <s v="HC"/>
    <s v="Done for 1000"/>
    <m/>
    <s v="Trixie Antonino"/>
  </r>
  <r>
    <n v="2233"/>
    <s v="F2"/>
    <x v="76"/>
    <s v="IT09020100"/>
    <s v="EF-DS-SGA Audit &amp; Compliance "/>
    <m/>
    <s v="Rename"/>
    <x v="0"/>
    <x v="0"/>
    <s v="HC"/>
    <s v="Done for 1000"/>
    <m/>
    <s v="Trixie Antonino"/>
  </r>
  <r>
    <n v="2234"/>
    <s v="F2"/>
    <x v="76"/>
    <s v="IT09020500"/>
    <s v="EF-DS-SGT Continuity, Risk &amp; Control "/>
    <m/>
    <s v="Rename"/>
    <x v="0"/>
    <x v="0"/>
    <s v="HC"/>
    <s v="Done for 1000"/>
    <m/>
    <s v="Trixie Antonino"/>
  </r>
  <r>
    <n v="2235"/>
    <s v="F2"/>
    <x v="76"/>
    <s v="IT09040300"/>
    <s v="EF-DS-SOY DES Communications"/>
    <m/>
    <s v="Rename"/>
    <x v="0"/>
    <x v="0"/>
    <s v="HC"/>
    <s v="Done for 1000"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s v="Done for 1000"/>
    <b v="1"/>
    <s v="Trixie Antonino"/>
  </r>
  <r>
    <n v="2237"/>
    <s v="F2"/>
    <x v="77"/>
    <s v="H000002159"/>
    <m/>
    <s v="O000000009"/>
    <s v="Remove"/>
    <x v="0"/>
    <x v="0"/>
    <s v="HC"/>
    <s v="Done for 1000"/>
    <b v="1"/>
    <s v="Gearlene Joy Valenzuela"/>
  </r>
  <r>
    <n v="2238"/>
    <s v="F2"/>
    <x v="77"/>
    <s v="H000002160"/>
    <m/>
    <s v="O000000009"/>
    <s v="Remove"/>
    <x v="0"/>
    <x v="0"/>
    <s v="HC"/>
    <s v="Done for 1000"/>
    <b v="1"/>
    <s v="Gearlene Joy Valenzuela"/>
  </r>
  <r>
    <n v="2239"/>
    <s v="F2"/>
    <x v="77"/>
    <s v="H000002161"/>
    <m/>
    <s v="O000000009"/>
    <s v="Remove"/>
    <x v="0"/>
    <x v="0"/>
    <s v="HC"/>
    <s v="Done for 1000"/>
    <b v="1"/>
    <s v="Gearlene Joy Valenzuela"/>
  </r>
  <r>
    <n v="2240"/>
    <s v="F2"/>
    <x v="77"/>
    <s v="H000002162"/>
    <m/>
    <s v="O000000009"/>
    <s v="Remove"/>
    <x v="0"/>
    <x v="0"/>
    <s v="HC"/>
    <s v="Done for 1000"/>
    <b v="1"/>
    <s v="Gearlene Joy Valenzuela"/>
  </r>
  <r>
    <n v="2241"/>
    <s v="F2"/>
    <x v="77"/>
    <s v="H000002163"/>
    <m/>
    <s v="O000000009"/>
    <s v="Remove"/>
    <x v="0"/>
    <x v="0"/>
    <s v="HC"/>
    <s v="Done for 1000"/>
    <b v="1"/>
    <s v="Gearlene Joy Valenzuela"/>
  </r>
  <r>
    <n v="2242"/>
    <s v="F2"/>
    <x v="77"/>
    <s v="H000002164"/>
    <m/>
    <s v="O000000009"/>
    <s v="Remove"/>
    <x v="0"/>
    <x v="0"/>
    <s v="HC"/>
    <s v="Done for 1000"/>
    <b v="1"/>
    <s v="Gearlene Joy Valenzuela"/>
  </r>
  <r>
    <n v="2243"/>
    <s v="F2"/>
    <x v="77"/>
    <s v="H000002165"/>
    <m/>
    <s v="O000000009"/>
    <s v="Remove"/>
    <x v="0"/>
    <x v="0"/>
    <s v="HC"/>
    <s v="Done for 1000"/>
    <b v="1"/>
    <s v="Gearlene Joy Valenzuela"/>
  </r>
  <r>
    <n v="2244"/>
    <s v="F2"/>
    <x v="77"/>
    <s v="H000002166"/>
    <m/>
    <s v="O000000009"/>
    <s v="Remove"/>
    <x v="0"/>
    <x v="0"/>
    <s v="HC"/>
    <s v="Done for 1000"/>
    <b v="1"/>
    <s v="Gearlene Joy Valenzuela"/>
  </r>
  <r>
    <n v="2245"/>
    <s v="F2"/>
    <x v="77"/>
    <s v="H000002167"/>
    <m/>
    <s v="O000000009"/>
    <s v="Remove"/>
    <x v="0"/>
    <x v="0"/>
    <s v="HC"/>
    <s v="Done for 1000"/>
    <b v="1"/>
    <s v="Gearlene Joy Valenzuela"/>
  </r>
  <r>
    <n v="2246"/>
    <s v="F2"/>
    <x v="77"/>
    <s v="H000002168"/>
    <m/>
    <s v="O000000009"/>
    <s v="Remove"/>
    <x v="0"/>
    <x v="0"/>
    <s v="HC"/>
    <s v="Done for 1000"/>
    <b v="1"/>
    <s v="Gearlene Joy Valenzuela"/>
  </r>
  <r>
    <n v="2247"/>
    <s v="F2"/>
    <x v="77"/>
    <s v="H000002169"/>
    <m/>
    <s v="O000000009"/>
    <s v="Remove"/>
    <x v="0"/>
    <x v="0"/>
    <s v="HC"/>
    <s v="Done for 1000"/>
    <b v="1"/>
    <s v="Gearlene Joy Valenzuela"/>
  </r>
  <r>
    <n v="2248"/>
    <s v="F2"/>
    <x v="77"/>
    <s v="H000002170"/>
    <m/>
    <s v="O000000009"/>
    <s v="Remove"/>
    <x v="0"/>
    <x v="0"/>
    <s v="HC"/>
    <s v="Done for 1000"/>
    <b v="1"/>
    <s v="Gearlene Joy Valenzuela"/>
  </r>
  <r>
    <n v="2249"/>
    <s v="F2"/>
    <x v="77"/>
    <s v="H000004675"/>
    <m/>
    <s v="O000000009"/>
    <s v="Remove"/>
    <x v="0"/>
    <x v="0"/>
    <s v="HC"/>
    <s v="Done for 1000"/>
    <b v="1"/>
    <s v="Gearlene Joy Valenzuela"/>
  </r>
  <r>
    <n v="2250"/>
    <s v="F2"/>
    <x v="77"/>
    <s v="H000004676"/>
    <m/>
    <s v="O000000009"/>
    <s v="Remove"/>
    <x v="0"/>
    <x v="0"/>
    <s v="HC"/>
    <s v="Done for 1000"/>
    <b v="1"/>
    <s v="Gearlene Joy Valenzuela"/>
  </r>
  <r>
    <n v="2251"/>
    <s v="F2"/>
    <x v="77"/>
    <s v="H000004677"/>
    <m/>
    <s v="O000000009"/>
    <s v="Remove"/>
    <x v="0"/>
    <x v="0"/>
    <s v="HC"/>
    <s v="Done for 1000"/>
    <b v="1"/>
    <s v="Gearlene Joy Valenzuela"/>
  </r>
  <r>
    <n v="2252"/>
    <s v="F2"/>
    <x v="77"/>
    <s v="H000002172"/>
    <m/>
    <s v="O000000009"/>
    <s v="Remove"/>
    <x v="0"/>
    <x v="0"/>
    <s v="HC"/>
    <s v="Done for 1000"/>
    <b v="1"/>
    <s v="Gearlene Joy Valenzuela"/>
  </r>
  <r>
    <n v="2253"/>
    <s v="F2"/>
    <x v="77"/>
    <s v="H000002173"/>
    <m/>
    <s v="O000000009"/>
    <s v="Remove"/>
    <x v="0"/>
    <x v="0"/>
    <s v="HC"/>
    <s v="Done for 1000"/>
    <b v="1"/>
    <s v="Gearlene Joy Valenzuela"/>
  </r>
  <r>
    <n v="2254"/>
    <s v="F2"/>
    <x v="77"/>
    <s v="H000002174"/>
    <m/>
    <s v="O000000009"/>
    <s v="Remove"/>
    <x v="0"/>
    <x v="0"/>
    <s v="HC"/>
    <s v="Done for 1000"/>
    <b v="1"/>
    <s v="Gearlene Joy Valenzuela"/>
  </r>
  <r>
    <n v="2255"/>
    <s v="F2"/>
    <x v="77"/>
    <s v="H000002175"/>
    <m/>
    <s v="O000000009"/>
    <s v="Remove"/>
    <x v="0"/>
    <x v="0"/>
    <s v="HC"/>
    <s v="Done for 1000"/>
    <b v="1"/>
    <s v="Gearlene Joy Valenzuela"/>
  </r>
  <r>
    <n v="2256"/>
    <s v="F2"/>
    <x v="77"/>
    <s v="H000002176"/>
    <m/>
    <s v="O000000009"/>
    <s v="Remove"/>
    <x v="0"/>
    <x v="0"/>
    <s v="HC"/>
    <s v="Done for 1000"/>
    <b v="1"/>
    <s v="Gearlene Joy Valenzuela"/>
  </r>
  <r>
    <n v="2257"/>
    <s v="F2"/>
    <x v="77"/>
    <s v="H000002177"/>
    <m/>
    <s v="O000000009"/>
    <s v="Remove"/>
    <x v="0"/>
    <x v="0"/>
    <s v="HC"/>
    <s v="Done for 1000"/>
    <b v="1"/>
    <s v="Gearlene Joy Valenzuela"/>
  </r>
  <r>
    <n v="2258"/>
    <s v="F2"/>
    <x v="77"/>
    <s v="H000002178"/>
    <m/>
    <s v="O000000009"/>
    <s v="Remove"/>
    <x v="0"/>
    <x v="0"/>
    <s v="HC"/>
    <s v="Done for 1000"/>
    <b v="1"/>
    <s v="Gearlene Joy Valenzuela"/>
  </r>
  <r>
    <n v="2259"/>
    <s v="F2"/>
    <x v="77"/>
    <s v="H000002179"/>
    <m/>
    <s v="O000000009"/>
    <s v="Remove"/>
    <x v="0"/>
    <x v="0"/>
    <s v="HC"/>
    <s v="Done for 1000"/>
    <b v="1"/>
    <s v="Gearlene Joy Valenzuela"/>
  </r>
  <r>
    <n v="2260"/>
    <s v="F2"/>
    <x v="77"/>
    <s v="H000002180"/>
    <m/>
    <s v="O000000009"/>
    <s v="Remove"/>
    <x v="0"/>
    <x v="0"/>
    <s v="HC"/>
    <s v="Done for 1000"/>
    <b v="1"/>
    <s v="Gearlene Joy Valenzuela"/>
  </r>
  <r>
    <n v="2261"/>
    <s v="F2"/>
    <x v="77"/>
    <s v="H000002181"/>
    <m/>
    <s v="O000000009"/>
    <s v="Remove"/>
    <x v="0"/>
    <x v="0"/>
    <s v="HC"/>
    <s v="Done for 1000"/>
    <b v="1"/>
    <s v="Gearlene Joy Valenzuela"/>
  </r>
  <r>
    <n v="2262"/>
    <s v="F2"/>
    <x v="77"/>
    <s v="H000002182"/>
    <m/>
    <s v="O000000009"/>
    <s v="Remove"/>
    <x v="0"/>
    <x v="0"/>
    <s v="HC"/>
    <s v="Done for 1000"/>
    <b v="1"/>
    <s v="Gearlene Joy Valenzuela"/>
  </r>
  <r>
    <n v="2263"/>
    <s v="F2"/>
    <x v="77"/>
    <s v="H000004684"/>
    <m/>
    <s v="O000000009"/>
    <s v="Remove"/>
    <x v="0"/>
    <x v="0"/>
    <s v="HC"/>
    <s v="Done for 1000"/>
    <b v="1"/>
    <s v="Gearlene Joy Valenzuela"/>
  </r>
  <r>
    <n v="2264"/>
    <s v="F2"/>
    <x v="77"/>
    <s v="H000004686"/>
    <m/>
    <s v="O000000009"/>
    <s v="Remove"/>
    <x v="0"/>
    <x v="0"/>
    <s v="HC"/>
    <s v="Done for 1000"/>
    <b v="1"/>
    <s v="Gearlene Joy Valenzuela"/>
  </r>
  <r>
    <n v="2265"/>
    <s v="F2"/>
    <x v="77"/>
    <s v="H000004687"/>
    <m/>
    <s v="O000000009"/>
    <s v="Remove"/>
    <x v="0"/>
    <x v="0"/>
    <s v="HC"/>
    <s v="Done for 1000"/>
    <b v="1"/>
    <s v="Gearlene Joy Valenzuela"/>
  </r>
  <r>
    <n v="2266"/>
    <s v="F2"/>
    <x v="77"/>
    <s v="H000004688"/>
    <m/>
    <s v="O000000009"/>
    <s v="Remove"/>
    <x v="0"/>
    <x v="0"/>
    <s v="HC"/>
    <s v="Done for 1000"/>
    <b v="1"/>
    <s v="Gearlene Joy Valenzuela"/>
  </r>
  <r>
    <n v="2267"/>
    <s v="F2"/>
    <x v="77"/>
    <s v="H000004689"/>
    <m/>
    <s v="O000000009"/>
    <s v="Remove"/>
    <x v="0"/>
    <x v="0"/>
    <s v="HC"/>
    <s v="Done for 1000"/>
    <b v="1"/>
    <s v="Gearlene Joy Valenzuela"/>
  </r>
  <r>
    <n v="2268"/>
    <s v="F2"/>
    <x v="77"/>
    <s v="H000004690"/>
    <m/>
    <s v="O000000009"/>
    <s v="Remove"/>
    <x v="0"/>
    <x v="0"/>
    <s v="HC"/>
    <s v="Done for 1000"/>
    <b v="1"/>
    <s v="Gearlene Joy Valenzuela"/>
  </r>
  <r>
    <n v="2269"/>
    <s v="F2"/>
    <x v="77"/>
    <s v="H000004691"/>
    <m/>
    <s v="O000000009"/>
    <s v="Remove"/>
    <x v="0"/>
    <x v="0"/>
    <s v="HC"/>
    <s v="Done for 1000"/>
    <b v="1"/>
    <s v="Gearlene Joy Valenzuela"/>
  </r>
  <r>
    <n v="2270"/>
    <s v="F2"/>
    <x v="77"/>
    <s v="H000002185"/>
    <m/>
    <s v="O000000009"/>
    <s v="Remove"/>
    <x v="0"/>
    <x v="0"/>
    <s v="HC"/>
    <s v="Done for 1000"/>
    <b v="1"/>
    <s v="Gearlene Joy Valenzuela"/>
  </r>
  <r>
    <n v="2271"/>
    <s v="F2"/>
    <x v="77"/>
    <s v="H000002186"/>
    <m/>
    <s v="O000000009"/>
    <s v="Remove"/>
    <x v="0"/>
    <x v="0"/>
    <s v="HC"/>
    <s v="Done for 1000"/>
    <b v="1"/>
    <s v="Gearlene Joy Valenzuela"/>
  </r>
  <r>
    <n v="2272"/>
    <s v="F2"/>
    <x v="77"/>
    <s v="H000002187"/>
    <m/>
    <s v="O000000009"/>
    <s v="Remove"/>
    <x v="0"/>
    <x v="0"/>
    <s v="HC"/>
    <s v="Done for 1000"/>
    <b v="1"/>
    <s v="Gearlene Joy Valenzuela"/>
  </r>
  <r>
    <n v="2273"/>
    <s v="F2"/>
    <x v="77"/>
    <s v="H000002188"/>
    <m/>
    <s v="O000000009"/>
    <s v="Remove"/>
    <x v="0"/>
    <x v="0"/>
    <s v="HC"/>
    <s v="Done for 1000"/>
    <b v="1"/>
    <s v="Gearlene Joy Valenzuela"/>
  </r>
  <r>
    <n v="2274"/>
    <s v="F2"/>
    <x v="77"/>
    <s v="H000002189"/>
    <m/>
    <s v="O000000009"/>
    <s v="Remove"/>
    <x v="0"/>
    <x v="0"/>
    <s v="HC"/>
    <s v="Done for 1000"/>
    <b v="1"/>
    <s v="Gearlene Joy Valenzuela"/>
  </r>
  <r>
    <n v="2275"/>
    <s v="F2"/>
    <x v="77"/>
    <s v="H000002190"/>
    <m/>
    <s v="O000000009"/>
    <s v="Remove"/>
    <x v="0"/>
    <x v="0"/>
    <s v="HC"/>
    <s v="Done for 1000"/>
    <b v="1"/>
    <s v="Gearlene Joy Valenzuela"/>
  </r>
  <r>
    <n v="2276"/>
    <s v="F2"/>
    <x v="77"/>
    <s v="H000002191"/>
    <m/>
    <s v="O000000009"/>
    <s v="Remove"/>
    <x v="0"/>
    <x v="0"/>
    <s v="HC"/>
    <s v="Done for 1000"/>
    <b v="1"/>
    <s v="Gearlene Joy Valenzuela"/>
  </r>
  <r>
    <n v="2277"/>
    <s v="F2"/>
    <x v="77"/>
    <s v="H000002192"/>
    <m/>
    <s v="O000000009"/>
    <s v="Remove"/>
    <x v="0"/>
    <x v="0"/>
    <s v="HC"/>
    <s v="Done for 1000"/>
    <b v="1"/>
    <s v="Gearlene Joy Valenzuela"/>
  </r>
  <r>
    <n v="2278"/>
    <s v="F2"/>
    <x v="77"/>
    <s v="H000002229"/>
    <m/>
    <s v="O000000009"/>
    <s v="Remove"/>
    <x v="0"/>
    <x v="0"/>
    <s v="HC"/>
    <s v="Done for 1000"/>
    <b v="1"/>
    <s v="Gearlene Joy Valenzuela"/>
  </r>
  <r>
    <n v="2279"/>
    <s v="F2"/>
    <x v="77"/>
    <s v="H000002230"/>
    <m/>
    <s v="O000000009"/>
    <s v="Remove"/>
    <x v="0"/>
    <x v="0"/>
    <s v="HC"/>
    <s v="Done for 1000"/>
    <b v="1"/>
    <s v="Gearlene Joy Valenzuela"/>
  </r>
  <r>
    <n v="2280"/>
    <s v="F2"/>
    <x v="77"/>
    <s v="H000002231"/>
    <m/>
    <s v="O000000009"/>
    <s v="Remove"/>
    <x v="0"/>
    <x v="0"/>
    <s v="HC"/>
    <s v="Done for 1000"/>
    <b v="1"/>
    <s v="Gearlene Joy Valenzuela"/>
  </r>
  <r>
    <n v="2281"/>
    <s v="F2"/>
    <x v="77"/>
    <s v="H000002232"/>
    <m/>
    <s v="O000000009"/>
    <s v="Remove"/>
    <x v="0"/>
    <x v="0"/>
    <s v="HC"/>
    <s v="Done for 1000"/>
    <b v="1"/>
    <s v="Gearlene Joy Valenzuela"/>
  </r>
  <r>
    <n v="2282"/>
    <s v="F2"/>
    <x v="77"/>
    <s v="H000002234"/>
    <m/>
    <s v="O000000009"/>
    <s v="Remove"/>
    <x v="0"/>
    <x v="0"/>
    <s v="HC"/>
    <s v="Done for 1000"/>
    <b v="1"/>
    <s v="Gearlene Joy Valenzuela"/>
  </r>
  <r>
    <n v="2283"/>
    <s v="F2"/>
    <x v="77"/>
    <s v="H000002236"/>
    <m/>
    <s v="O000000009"/>
    <s v="Remove"/>
    <x v="0"/>
    <x v="0"/>
    <s v="HC"/>
    <s v="Done for 1000"/>
    <b v="1"/>
    <s v="Gearlene Joy Valenzuela"/>
  </r>
  <r>
    <n v="2284"/>
    <s v="F2"/>
    <x v="77"/>
    <s v="H000002238"/>
    <m/>
    <s v="O000000009"/>
    <s v="Remove"/>
    <x v="0"/>
    <x v="0"/>
    <s v="HC"/>
    <s v="Done for 1000"/>
    <b v="1"/>
    <s v="Gearlene Joy Valenzuela"/>
  </r>
  <r>
    <n v="2285"/>
    <s v="F2"/>
    <x v="77"/>
    <s v="H000002240"/>
    <m/>
    <s v="O000000009"/>
    <s v="Remove"/>
    <x v="0"/>
    <x v="0"/>
    <s v="HC"/>
    <s v="Done for 1000"/>
    <b v="1"/>
    <s v="Gearlene Joy Valenzuela"/>
  </r>
  <r>
    <n v="2286"/>
    <s v="F2"/>
    <x v="77"/>
    <s v="H000004715"/>
    <m/>
    <s v="O000000009"/>
    <s v="Remove"/>
    <x v="0"/>
    <x v="0"/>
    <s v="HC"/>
    <s v="Done for 1000"/>
    <b v="1"/>
    <s v="Gearlene Joy Valenzuela"/>
  </r>
  <r>
    <n v="2287"/>
    <s v="F2"/>
    <x v="77"/>
    <s v="H000004716"/>
    <m/>
    <s v="O000000009"/>
    <s v="Remove"/>
    <x v="0"/>
    <x v="0"/>
    <s v="HC"/>
    <s v="Done for 1000"/>
    <b v="1"/>
    <s v="Gearlene Joy Valenzuela"/>
  </r>
  <r>
    <n v="2288"/>
    <s v="F2"/>
    <x v="77"/>
    <s v="H000004717"/>
    <m/>
    <s v="O000000009"/>
    <s v="Remove"/>
    <x v="0"/>
    <x v="0"/>
    <s v="HC"/>
    <s v="Done for 1000"/>
    <b v="1"/>
    <s v="Gearlene Joy Valenzuela"/>
  </r>
  <r>
    <n v="2289"/>
    <s v="F2"/>
    <x v="77"/>
    <s v="H000002243"/>
    <m/>
    <s v="O000000009"/>
    <s v="Remove"/>
    <x v="0"/>
    <x v="0"/>
    <s v="HC"/>
    <s v="Done for 1000"/>
    <b v="1"/>
    <s v="Gearlene Joy Valenzuela"/>
  </r>
  <r>
    <n v="2290"/>
    <s v="F2"/>
    <x v="77"/>
    <s v="H000002245"/>
    <m/>
    <s v="O000000009"/>
    <s v="Remove"/>
    <x v="0"/>
    <x v="0"/>
    <s v="HC"/>
    <s v="Done for 1000"/>
    <b v="1"/>
    <s v="Gearlene Joy Valenzuela"/>
  </r>
  <r>
    <n v="2291"/>
    <s v="F2"/>
    <x v="77"/>
    <s v="H000002248"/>
    <m/>
    <s v="O000000009"/>
    <s v="Remove"/>
    <x v="0"/>
    <x v="0"/>
    <s v="HC"/>
    <s v="Done for 1000"/>
    <b v="1"/>
    <s v="Gearlene Joy Valenzuela"/>
  </r>
  <r>
    <n v="2292"/>
    <s v="F2"/>
    <x v="77"/>
    <s v="H000002249"/>
    <m/>
    <s v="O000000009"/>
    <s v="Remove"/>
    <x v="0"/>
    <x v="0"/>
    <s v="HC"/>
    <s v="Done for 1000"/>
    <b v="1"/>
    <s v="Gearlene Joy Valenzuela"/>
  </r>
  <r>
    <n v="2293"/>
    <s v="F2"/>
    <x v="77"/>
    <s v="H000002252"/>
    <m/>
    <s v="O000000009"/>
    <s v="Remove"/>
    <x v="0"/>
    <x v="0"/>
    <s v="HC"/>
    <s v="Done for 1000"/>
    <b v="1"/>
    <s v="Gearlene Joy Valenzuela"/>
  </r>
  <r>
    <n v="2294"/>
    <s v="F2"/>
    <x v="77"/>
    <s v="H000004724"/>
    <m/>
    <s v="O000000009"/>
    <s v="Remove"/>
    <x v="0"/>
    <x v="0"/>
    <s v="HC"/>
    <s v="Done for 1000"/>
    <b v="1"/>
    <s v="Gearlene Joy Valenzuela"/>
  </r>
  <r>
    <n v="2295"/>
    <s v="F2"/>
    <x v="77"/>
    <s v="H000004726"/>
    <m/>
    <s v="O000000009"/>
    <s v="Remove"/>
    <x v="0"/>
    <x v="0"/>
    <s v="HC"/>
    <s v="Done for 1000"/>
    <b v="1"/>
    <s v="Gearlene Joy Valenzuela"/>
  </r>
  <r>
    <n v="2296"/>
    <s v="F2"/>
    <x v="77"/>
    <s v="H000004727"/>
    <m/>
    <s v="O000000009"/>
    <s v="Remove"/>
    <x v="0"/>
    <x v="0"/>
    <s v="HC"/>
    <s v="Done for 1000"/>
    <b v="1"/>
    <s v="Gearlene Joy Valenzuela"/>
  </r>
  <r>
    <n v="2297"/>
    <s v="F2"/>
    <x v="77"/>
    <s v="H000004728"/>
    <m/>
    <s v="O000000009"/>
    <s v="Remove"/>
    <x v="0"/>
    <x v="0"/>
    <s v="HC"/>
    <s v="Done for 1000"/>
    <b v="1"/>
    <s v="Gearlene Joy Valenzuela"/>
  </r>
  <r>
    <n v="2298"/>
    <s v="F2"/>
    <x v="77"/>
    <s v="H000004729"/>
    <m/>
    <s v="O000000009"/>
    <s v="Remove"/>
    <x v="0"/>
    <x v="0"/>
    <s v="HC"/>
    <s v="Done for 1000"/>
    <b v="1"/>
    <s v="Gearlene Joy Valenzuela"/>
  </r>
  <r>
    <n v="2299"/>
    <s v="F2"/>
    <x v="77"/>
    <s v="H000004730"/>
    <m/>
    <s v="O000000009"/>
    <s v="Remove"/>
    <x v="0"/>
    <x v="0"/>
    <s v="HC"/>
    <s v="Done for 1000"/>
    <b v="1"/>
    <s v="Gearlene Joy Valenzuela"/>
  </r>
  <r>
    <n v="2300"/>
    <s v="F2"/>
    <x v="77"/>
    <s v="H000004731"/>
    <m/>
    <s v="O000000009"/>
    <s v="Remove"/>
    <x v="0"/>
    <x v="0"/>
    <s v="HC"/>
    <s v="Done for 1000"/>
    <b v="1"/>
    <s v="Gearlene Joy Valenzuela"/>
  </r>
  <r>
    <n v="2301"/>
    <s v="F2"/>
    <x v="77"/>
    <s v="H000002254"/>
    <m/>
    <s v="O000000009"/>
    <s v="Remove"/>
    <x v="0"/>
    <x v="0"/>
    <s v="HC"/>
    <s v="Done for 1000"/>
    <b v="1"/>
    <s v="Gearlene Joy Valenzuela"/>
  </r>
  <r>
    <n v="2302"/>
    <s v="F2"/>
    <x v="77"/>
    <s v="H000002255"/>
    <m/>
    <s v="O000000009"/>
    <s v="Remove"/>
    <x v="0"/>
    <x v="0"/>
    <s v="HC"/>
    <s v="Done for 1000"/>
    <b v="1"/>
    <s v="Gearlene Joy Valenzuela"/>
  </r>
  <r>
    <n v="2303"/>
    <s v="F2"/>
    <x v="77"/>
    <s v="H000002256"/>
    <m/>
    <s v="O000000009"/>
    <s v="Remove"/>
    <x v="0"/>
    <x v="0"/>
    <s v="HC"/>
    <s v="Done for 1000"/>
    <b v="1"/>
    <s v="Gearlene Joy Valenzuela"/>
  </r>
  <r>
    <n v="2304"/>
    <s v="F2"/>
    <x v="77"/>
    <s v="H000002257"/>
    <m/>
    <s v="O000000009"/>
    <s v="Remove"/>
    <x v="0"/>
    <x v="0"/>
    <s v="HC"/>
    <s v="Done for 1000"/>
    <b v="1"/>
    <s v="Gearlene Joy Valenzuela"/>
  </r>
  <r>
    <n v="2305"/>
    <s v="F2"/>
    <x v="77"/>
    <s v="H000002258"/>
    <m/>
    <s v="O000000009"/>
    <s v="Remove"/>
    <x v="0"/>
    <x v="0"/>
    <s v="HC"/>
    <s v="Done for 1000"/>
    <b v="1"/>
    <s v="Gearlene Joy Valenzuela"/>
  </r>
  <r>
    <n v="2306"/>
    <s v="F2"/>
    <x v="77"/>
    <s v="H000002259"/>
    <m/>
    <s v="O000000009"/>
    <s v="Remove"/>
    <x v="0"/>
    <x v="0"/>
    <s v="HC"/>
    <s v="Done for 1000"/>
    <b v="1"/>
    <s v="Gearlene Joy Valenzuela"/>
  </r>
  <r>
    <n v="2307"/>
    <s v="F2"/>
    <x v="77"/>
    <s v="H000002260"/>
    <m/>
    <s v="O000000009"/>
    <s v="Remove"/>
    <x v="0"/>
    <x v="0"/>
    <s v="HC"/>
    <s v="Done for 1000"/>
    <b v="1"/>
    <s v="Gearlene Joy Valenzuela"/>
  </r>
  <r>
    <n v="2308"/>
    <s v="F2"/>
    <x v="77"/>
    <s v="H000002261"/>
    <m/>
    <s v="O000000009"/>
    <s v="Remove"/>
    <x v="0"/>
    <x v="0"/>
    <s v="HC"/>
    <s v="Done for 1000"/>
    <b v="1"/>
    <s v="Gearlene Joy Valenzuela"/>
  </r>
  <r>
    <n v="2309"/>
    <s v="F2"/>
    <x v="77"/>
    <s v="H000002373"/>
    <m/>
    <s v="O000000009"/>
    <s v="Remove"/>
    <x v="0"/>
    <x v="0"/>
    <s v="HC"/>
    <s v="Done for 1000"/>
    <b v="1"/>
    <s v="Gearlene Joy Valenzuela"/>
  </r>
  <r>
    <n v="2310"/>
    <s v="F2"/>
    <x v="77"/>
    <s v="H000002374"/>
    <m/>
    <s v="O000000009"/>
    <s v="Remove"/>
    <x v="0"/>
    <x v="0"/>
    <s v="HC"/>
    <s v="Done for 1000"/>
    <b v="1"/>
    <s v="Gearlene Joy Valenzuela"/>
  </r>
  <r>
    <n v="2311"/>
    <s v="F2"/>
    <x v="77"/>
    <s v="H000002375"/>
    <m/>
    <s v="O000000009"/>
    <s v="Remove"/>
    <x v="0"/>
    <x v="0"/>
    <s v="HC"/>
    <s v="Done for 1000"/>
    <b v="1"/>
    <s v="Gearlene Joy Valenzuela"/>
  </r>
  <r>
    <n v="2312"/>
    <s v="F2"/>
    <x v="77"/>
    <s v="H000002376"/>
    <m/>
    <s v="O000000009"/>
    <s v="Remove"/>
    <x v="0"/>
    <x v="0"/>
    <s v="HC"/>
    <s v="Done for 1000"/>
    <b v="1"/>
    <s v="Gearlene Joy Valenzuela"/>
  </r>
  <r>
    <n v="2313"/>
    <s v="F2"/>
    <x v="77"/>
    <s v="H000002377"/>
    <m/>
    <s v="O000000009"/>
    <s v="Remove"/>
    <x v="0"/>
    <x v="0"/>
    <s v="HC"/>
    <s v="Done for 1000"/>
    <b v="1"/>
    <s v="Gearlene Joy Valenzuela"/>
  </r>
  <r>
    <n v="2314"/>
    <s v="F2"/>
    <x v="77"/>
    <s v="H000002378"/>
    <m/>
    <s v="O000000009"/>
    <s v="Remove"/>
    <x v="0"/>
    <x v="0"/>
    <s v="HC"/>
    <s v="Done for 1000"/>
    <b v="1"/>
    <s v="Gearlene Joy Valenzuela"/>
  </r>
  <r>
    <n v="2315"/>
    <s v="F2"/>
    <x v="77"/>
    <s v="H000002379"/>
    <m/>
    <s v="O000000009"/>
    <s v="Remove"/>
    <x v="0"/>
    <x v="0"/>
    <s v="HC"/>
    <s v="Done for 1000"/>
    <b v="1"/>
    <s v="Gearlene Joy Valenzuela"/>
  </r>
  <r>
    <n v="2316"/>
    <s v="F2"/>
    <x v="77"/>
    <s v="H000002380"/>
    <m/>
    <s v="O000000009"/>
    <s v="Remove"/>
    <x v="0"/>
    <x v="0"/>
    <s v="HC"/>
    <s v="Done for 1000"/>
    <b v="1"/>
    <s v="Gearlene Joy Valenzuela"/>
  </r>
  <r>
    <n v="2317"/>
    <s v="F2"/>
    <x v="77"/>
    <s v="H000002381"/>
    <m/>
    <s v="O000000009"/>
    <s v="Remove"/>
    <x v="0"/>
    <x v="0"/>
    <s v="HC"/>
    <s v="Done for 1000"/>
    <b v="1"/>
    <s v="Gearlene Joy Valenzuela"/>
  </r>
  <r>
    <n v="2318"/>
    <s v="F2"/>
    <x v="77"/>
    <s v="H000002382"/>
    <m/>
    <s v="O000000009"/>
    <s v="Remove"/>
    <x v="0"/>
    <x v="0"/>
    <s v="HC"/>
    <s v="Done for 1000"/>
    <b v="1"/>
    <s v="Gearlene Joy Valenzuela"/>
  </r>
  <r>
    <n v="2319"/>
    <s v="F2"/>
    <x v="77"/>
    <s v="H000002383"/>
    <m/>
    <s v="O000000009"/>
    <s v="Remove"/>
    <x v="0"/>
    <x v="0"/>
    <s v="HC"/>
    <s v="Done for 1000"/>
    <b v="1"/>
    <s v="Gearlene Joy Valenzuela"/>
  </r>
  <r>
    <n v="2320"/>
    <s v="F2"/>
    <x v="77"/>
    <s v="H000002384"/>
    <m/>
    <s v="O000000009"/>
    <s v="Remove"/>
    <x v="0"/>
    <x v="0"/>
    <s v="HC"/>
    <s v="Done for 1000"/>
    <b v="1"/>
    <s v="Gearlene Joy Valenzuela"/>
  </r>
  <r>
    <n v="2321"/>
    <s v="F2"/>
    <x v="77"/>
    <s v="H000004735"/>
    <m/>
    <s v="O000000009"/>
    <s v="Remove"/>
    <x v="0"/>
    <x v="0"/>
    <s v="HC"/>
    <s v="Done for 1000"/>
    <b v="1"/>
    <s v="Gearlene Joy Valenzuela"/>
  </r>
  <r>
    <n v="2322"/>
    <s v="F2"/>
    <x v="77"/>
    <s v="H000004736"/>
    <m/>
    <s v="O000000009"/>
    <s v="Remove"/>
    <x v="0"/>
    <x v="0"/>
    <s v="HC"/>
    <s v="Done for 1000"/>
    <b v="1"/>
    <s v="Gearlene Joy Valenzuela"/>
  </r>
  <r>
    <n v="2323"/>
    <s v="F2"/>
    <x v="77"/>
    <s v="H000004737"/>
    <m/>
    <s v="O000000009"/>
    <s v="Remove"/>
    <x v="0"/>
    <x v="0"/>
    <s v="HC"/>
    <s v="Done for 1000"/>
    <b v="1"/>
    <s v="Gearlene Joy Valenzuela"/>
  </r>
  <r>
    <n v="2324"/>
    <s v="F2"/>
    <x v="77"/>
    <s v="H000002386"/>
    <m/>
    <s v="O000000009"/>
    <s v="Remove"/>
    <x v="0"/>
    <x v="0"/>
    <s v="HC"/>
    <s v="Done for 1000"/>
    <b v="1"/>
    <s v="Gearlene Joy Valenzuela"/>
  </r>
  <r>
    <n v="2325"/>
    <s v="F2"/>
    <x v="77"/>
    <s v="H000002387"/>
    <m/>
    <s v="O000000009"/>
    <s v="Remove"/>
    <x v="0"/>
    <x v="0"/>
    <s v="HC"/>
    <s v="Done for 1000"/>
    <b v="1"/>
    <s v="Gearlene Joy Valenzuela"/>
  </r>
  <r>
    <n v="2326"/>
    <s v="F2"/>
    <x v="77"/>
    <s v="H000002388"/>
    <m/>
    <s v="O000000009"/>
    <s v="Remove"/>
    <x v="0"/>
    <x v="0"/>
    <s v="HC"/>
    <s v="Done for 1000"/>
    <b v="1"/>
    <s v="Gearlene Joy Valenzuela"/>
  </r>
  <r>
    <n v="2327"/>
    <s v="F2"/>
    <x v="77"/>
    <s v="H000002389"/>
    <m/>
    <s v="O000000009"/>
    <s v="Remove"/>
    <x v="0"/>
    <x v="0"/>
    <s v="HC"/>
    <s v="Done for 1000"/>
    <b v="1"/>
    <s v="Gearlene Joy Valenzuela"/>
  </r>
  <r>
    <n v="2328"/>
    <s v="F2"/>
    <x v="77"/>
    <s v="H000002390"/>
    <m/>
    <s v="O000000009"/>
    <s v="Remove"/>
    <x v="0"/>
    <x v="0"/>
    <s v="HC"/>
    <s v="Done for 1000"/>
    <b v="1"/>
    <s v="Gearlene Joy Valenzuela"/>
  </r>
  <r>
    <n v="2329"/>
    <s v="F2"/>
    <x v="77"/>
    <s v="H000002391"/>
    <m/>
    <s v="O000000009"/>
    <s v="Remove"/>
    <x v="0"/>
    <x v="0"/>
    <s v="HC"/>
    <s v="Done for 1000"/>
    <b v="1"/>
    <s v="Gearlene Joy Valenzuela"/>
  </r>
  <r>
    <n v="2330"/>
    <s v="F2"/>
    <x v="77"/>
    <s v="H000002392"/>
    <m/>
    <s v="O000000009"/>
    <s v="Remove"/>
    <x v="0"/>
    <x v="0"/>
    <s v="HC"/>
    <s v="Done for 1000"/>
    <b v="1"/>
    <s v="Gearlene Joy Valenzuela"/>
  </r>
  <r>
    <n v="2331"/>
    <s v="F2"/>
    <x v="77"/>
    <s v="H000002393"/>
    <m/>
    <s v="O000000009"/>
    <s v="Remove"/>
    <x v="0"/>
    <x v="0"/>
    <s v="HC"/>
    <s v="Done for 1000"/>
    <b v="1"/>
    <s v="Gearlene Joy Valenzuela"/>
  </r>
  <r>
    <n v="2332"/>
    <s v="F2"/>
    <x v="77"/>
    <s v="H000002396"/>
    <m/>
    <s v="O000000009"/>
    <s v="Remove"/>
    <x v="0"/>
    <x v="0"/>
    <s v="HC"/>
    <s v="Done for 1000"/>
    <b v="1"/>
    <s v="Gearlene Joy Valenzuela"/>
  </r>
  <r>
    <n v="2333"/>
    <s v="F2"/>
    <x v="77"/>
    <s v="H000004744"/>
    <m/>
    <s v="O000000009"/>
    <s v="Remove"/>
    <x v="0"/>
    <x v="0"/>
    <s v="HC"/>
    <s v="Done for 1000"/>
    <b v="1"/>
    <s v="Gearlene Joy Valenzuela"/>
  </r>
  <r>
    <n v="2334"/>
    <s v="F2"/>
    <x v="77"/>
    <s v="H000004746"/>
    <m/>
    <s v="O000000009"/>
    <s v="Remove"/>
    <x v="0"/>
    <x v="0"/>
    <s v="HC"/>
    <s v="Done for 1000"/>
    <b v="1"/>
    <s v="Gearlene Joy Valenzuela"/>
  </r>
  <r>
    <n v="2335"/>
    <s v="F2"/>
    <x v="77"/>
    <s v="H000004747"/>
    <m/>
    <s v="O000000009"/>
    <s v="Remove"/>
    <x v="0"/>
    <x v="0"/>
    <s v="HC"/>
    <s v="Done for 1000"/>
    <b v="1"/>
    <s v="Gearlene Joy Valenzuela"/>
  </r>
  <r>
    <n v="2336"/>
    <s v="F2"/>
    <x v="77"/>
    <s v="H000004748"/>
    <m/>
    <s v="O000000009"/>
    <s v="Remove"/>
    <x v="0"/>
    <x v="0"/>
    <s v="HC"/>
    <s v="Done for 1000"/>
    <b v="1"/>
    <s v="Gearlene Joy Valenzuela"/>
  </r>
  <r>
    <n v="2337"/>
    <s v="F2"/>
    <x v="77"/>
    <s v="H000004749"/>
    <m/>
    <s v="O000000009"/>
    <s v="Remove"/>
    <x v="0"/>
    <x v="0"/>
    <s v="HC"/>
    <s v="Done for 1000"/>
    <b v="1"/>
    <s v="Gearlene Joy Valenzuela"/>
  </r>
  <r>
    <n v="2338"/>
    <s v="F2"/>
    <x v="77"/>
    <s v="H000004750"/>
    <m/>
    <s v="O000000009"/>
    <s v="Remove"/>
    <x v="0"/>
    <x v="0"/>
    <s v="HC"/>
    <s v="Done for 1000"/>
    <b v="1"/>
    <s v="Gearlene Joy Valenzuela"/>
  </r>
  <r>
    <n v="2339"/>
    <s v="F2"/>
    <x v="77"/>
    <s v="H000004751"/>
    <m/>
    <s v="O000000009"/>
    <s v="Remove"/>
    <x v="0"/>
    <x v="0"/>
    <s v="HC"/>
    <s v="Done for 1000"/>
    <b v="1"/>
    <s v="Gearlene Joy Valenzuela"/>
  </r>
  <r>
    <n v="2340"/>
    <s v="F2"/>
    <x v="77"/>
    <s v="H000002398"/>
    <m/>
    <s v="O000000009"/>
    <s v="Remove"/>
    <x v="0"/>
    <x v="0"/>
    <s v="HC"/>
    <s v="Done for 1000"/>
    <b v="1"/>
    <s v="Gearlene Joy Valenzuela"/>
  </r>
  <r>
    <n v="2341"/>
    <s v="F2"/>
    <x v="77"/>
    <s v="H000002399"/>
    <m/>
    <s v="O000000009"/>
    <s v="Remove"/>
    <x v="0"/>
    <x v="0"/>
    <s v="HC"/>
    <s v="Done for 1000"/>
    <b v="1"/>
    <s v="Gearlene Joy Valenzuela"/>
  </r>
  <r>
    <n v="2342"/>
    <s v="F2"/>
    <x v="77"/>
    <s v="H000002400"/>
    <m/>
    <s v="O000000009"/>
    <s v="Remove"/>
    <x v="0"/>
    <x v="0"/>
    <s v="HC"/>
    <s v="Done for 1000"/>
    <b v="1"/>
    <s v="Gearlene Joy Valenzuela"/>
  </r>
  <r>
    <n v="2343"/>
    <s v="F2"/>
    <x v="77"/>
    <s v="H000002401"/>
    <m/>
    <s v="O000000009"/>
    <s v="Remove"/>
    <x v="0"/>
    <x v="0"/>
    <s v="HC"/>
    <s v="Done for 1000"/>
    <b v="1"/>
    <s v="Gearlene Joy Valenzuela"/>
  </r>
  <r>
    <n v="2344"/>
    <s v="F2"/>
    <x v="77"/>
    <s v="H000002402"/>
    <m/>
    <s v="O000000009"/>
    <s v="Remove"/>
    <x v="0"/>
    <x v="0"/>
    <s v="HC"/>
    <s v="Done for 1000"/>
    <b v="1"/>
    <s v="Gearlene Joy Valenzuela"/>
  </r>
  <r>
    <n v="2345"/>
    <s v="F2"/>
    <x v="77"/>
    <s v="H000002403"/>
    <m/>
    <s v="O000000009"/>
    <s v="Remove"/>
    <x v="0"/>
    <x v="0"/>
    <s v="HC"/>
    <s v="Done for 1000"/>
    <b v="1"/>
    <s v="Gearlene Joy Valenzuela"/>
  </r>
  <r>
    <n v="2346"/>
    <s v="F2"/>
    <x v="77"/>
    <s v="H000002404"/>
    <m/>
    <s v="O000000009"/>
    <s v="Remove"/>
    <x v="0"/>
    <x v="0"/>
    <s v="HC"/>
    <s v="Done for 1000"/>
    <b v="1"/>
    <s v="Gearlene Joy Valenzuela"/>
  </r>
  <r>
    <n v="2347"/>
    <s v="F2"/>
    <x v="77"/>
    <s v="H000002405"/>
    <m/>
    <s v="O000000009"/>
    <s v="Remove"/>
    <x v="0"/>
    <x v="0"/>
    <s v="HC"/>
    <s v="Done for 1000"/>
    <b v="1"/>
    <s v="Gearlene Joy Valenzuela"/>
  </r>
  <r>
    <n v="2348"/>
    <s v="F2"/>
    <x v="77"/>
    <s v="H000002408"/>
    <m/>
    <s v="O000000009"/>
    <s v="Remove"/>
    <x v="0"/>
    <x v="0"/>
    <s v="HC"/>
    <s v="Done for 1000"/>
    <b v="1"/>
    <s v="Gearlene Joy Valenzuela"/>
  </r>
  <r>
    <n v="2349"/>
    <s v="F2"/>
    <x v="77"/>
    <s v="H000002409"/>
    <m/>
    <s v="O000000009"/>
    <s v="Remove"/>
    <x v="0"/>
    <x v="0"/>
    <s v="HC"/>
    <s v="Done for 1000"/>
    <b v="1"/>
    <s v="Gearlene Joy Valenzuela"/>
  </r>
  <r>
    <n v="2350"/>
    <s v="F2"/>
    <x v="77"/>
    <s v="H000002410"/>
    <m/>
    <s v="O000000009"/>
    <s v="Remove"/>
    <x v="0"/>
    <x v="0"/>
    <s v="HC"/>
    <s v="Done for 1000"/>
    <b v="1"/>
    <s v="Gearlene Joy Valenzuela"/>
  </r>
  <r>
    <n v="2351"/>
    <s v="F2"/>
    <x v="77"/>
    <s v="H000002411"/>
    <m/>
    <s v="O000000009"/>
    <s v="Remove"/>
    <x v="0"/>
    <x v="0"/>
    <s v="HC"/>
    <s v="Done for 1000"/>
    <b v="1"/>
    <s v="Gearlene Joy Valenzuela"/>
  </r>
  <r>
    <n v="2352"/>
    <s v="F2"/>
    <x v="77"/>
    <s v="H000002414"/>
    <m/>
    <s v="O000000009"/>
    <s v="Remove"/>
    <x v="0"/>
    <x v="0"/>
    <s v="HC"/>
    <s v="Done for 1000"/>
    <b v="1"/>
    <s v="Gearlene Joy Valenzuela"/>
  </r>
  <r>
    <n v="2353"/>
    <s v="F2"/>
    <x v="77"/>
    <s v="H000002415"/>
    <m/>
    <s v="O000000009"/>
    <s v="Remove"/>
    <x v="0"/>
    <x v="0"/>
    <s v="HC"/>
    <s v="Done for 1000"/>
    <b v="1"/>
    <s v="Gearlene Joy Valenzuela"/>
  </r>
  <r>
    <n v="2354"/>
    <s v="F2"/>
    <x v="77"/>
    <s v="H000002418"/>
    <m/>
    <s v="O000000009"/>
    <s v="Remove"/>
    <x v="0"/>
    <x v="0"/>
    <s v="HC"/>
    <s v="Done for 1000"/>
    <b v="1"/>
    <s v="Gearlene Joy Valenzuela"/>
  </r>
  <r>
    <n v="2355"/>
    <s v="F2"/>
    <x v="77"/>
    <s v="H000002419"/>
    <m/>
    <s v="O000000009"/>
    <s v="Remove"/>
    <x v="0"/>
    <x v="0"/>
    <s v="HC"/>
    <s v="Done for 1000"/>
    <b v="1"/>
    <s v="Gearlene Joy Valenzuela"/>
  </r>
  <r>
    <n v="2356"/>
    <s v="F2"/>
    <x v="77"/>
    <s v="H000004695"/>
    <m/>
    <s v="O000000009"/>
    <s v="Remove"/>
    <x v="0"/>
    <x v="0"/>
    <s v="HC"/>
    <s v="Done for 1000"/>
    <b v="1"/>
    <s v="Gearlene Joy Valenzuela"/>
  </r>
  <r>
    <n v="2357"/>
    <s v="F2"/>
    <x v="77"/>
    <s v="H000004696"/>
    <m/>
    <s v="O000000009"/>
    <s v="Remove"/>
    <x v="0"/>
    <x v="0"/>
    <s v="HC"/>
    <s v="Done for 1000"/>
    <b v="1"/>
    <s v="Gearlene Joy Valenzuela"/>
  </r>
  <r>
    <n v="2358"/>
    <s v="F2"/>
    <x v="77"/>
    <s v="H000004697"/>
    <m/>
    <s v="O000000009"/>
    <s v="Remove"/>
    <x v="0"/>
    <x v="0"/>
    <s v="HC"/>
    <s v="Done for 1000"/>
    <b v="1"/>
    <s v="Gearlene Joy Valenzuela"/>
  </r>
  <r>
    <n v="2359"/>
    <s v="F2"/>
    <x v="77"/>
    <s v="H000002423"/>
    <m/>
    <s v="O000000009"/>
    <s v="Remove"/>
    <x v="0"/>
    <x v="0"/>
    <s v="HC"/>
    <s v="Done for 1000"/>
    <b v="1"/>
    <s v="Gearlene Joy Valenzuela"/>
  </r>
  <r>
    <n v="2360"/>
    <s v="F2"/>
    <x v="77"/>
    <s v="H000002424"/>
    <m/>
    <s v="O000000009"/>
    <s v="Remove"/>
    <x v="0"/>
    <x v="0"/>
    <s v="HC"/>
    <s v="Done for 1000"/>
    <b v="1"/>
    <s v="Gearlene Joy Valenzuela"/>
  </r>
  <r>
    <n v="2361"/>
    <s v="F2"/>
    <x v="77"/>
    <s v="H000002427"/>
    <m/>
    <s v="O000000009"/>
    <s v="Remove"/>
    <x v="0"/>
    <x v="0"/>
    <s v="HC"/>
    <s v="Done for 1000"/>
    <b v="1"/>
    <s v="Gearlene Joy Valenzuela"/>
  </r>
  <r>
    <n v="2362"/>
    <s v="F2"/>
    <x v="77"/>
    <s v="H000002428"/>
    <m/>
    <s v="O000000009"/>
    <s v="Remove"/>
    <x v="0"/>
    <x v="0"/>
    <s v="HC"/>
    <s v="Done for 1000"/>
    <b v="1"/>
    <s v="Gearlene Joy Valenzuela"/>
  </r>
  <r>
    <n v="2363"/>
    <s v="F2"/>
    <x v="77"/>
    <s v="H000002431"/>
    <m/>
    <s v="O000000009"/>
    <s v="Remove"/>
    <x v="0"/>
    <x v="0"/>
    <s v="HC"/>
    <s v="Done for 1000"/>
    <b v="1"/>
    <s v="Gearlene Joy Valenzuela"/>
  </r>
  <r>
    <n v="2364"/>
    <s v="F2"/>
    <x v="77"/>
    <s v="H000004704"/>
    <m/>
    <s v="O000000009"/>
    <s v="Remove"/>
    <x v="0"/>
    <x v="0"/>
    <s v="HC"/>
    <s v="Done for 1000"/>
    <b v="1"/>
    <s v="Gearlene Joy Valenzuela"/>
  </r>
  <r>
    <n v="2365"/>
    <s v="F2"/>
    <x v="77"/>
    <s v="H000004706"/>
    <m/>
    <s v="O000000009"/>
    <s v="Remove"/>
    <x v="0"/>
    <x v="0"/>
    <s v="HC"/>
    <s v="Done for 1000"/>
    <b v="1"/>
    <s v="Gearlene Joy Valenzuela"/>
  </r>
  <r>
    <n v="2366"/>
    <s v="F2"/>
    <x v="77"/>
    <s v="H000004707"/>
    <m/>
    <s v="O000000009"/>
    <s v="Remove"/>
    <x v="0"/>
    <x v="0"/>
    <s v="HC"/>
    <s v="Done for 1000"/>
    <b v="1"/>
    <s v="Gearlene Joy Valenzuela"/>
  </r>
  <r>
    <n v="2367"/>
    <s v="F2"/>
    <x v="77"/>
    <s v="H000004708"/>
    <m/>
    <s v="O000000009"/>
    <s v="Remove"/>
    <x v="0"/>
    <x v="0"/>
    <s v="HC"/>
    <s v="Done for 1000"/>
    <b v="1"/>
    <s v="Gearlene Joy Valenzuela"/>
  </r>
  <r>
    <n v="2368"/>
    <s v="F2"/>
    <x v="77"/>
    <s v="H000004709"/>
    <m/>
    <s v="O000000009"/>
    <s v="Remove"/>
    <x v="0"/>
    <x v="0"/>
    <s v="HC"/>
    <s v="Done for 1000"/>
    <b v="1"/>
    <s v="Gearlene Joy Valenzuela"/>
  </r>
  <r>
    <n v="2369"/>
    <s v="F2"/>
    <x v="77"/>
    <s v="H000004710"/>
    <m/>
    <s v="O000000009"/>
    <s v="Remove"/>
    <x v="0"/>
    <x v="0"/>
    <s v="HC"/>
    <s v="Done for 1000"/>
    <b v="1"/>
    <s v="Gearlene Joy Valenzuela"/>
  </r>
  <r>
    <n v="2370"/>
    <s v="F2"/>
    <x v="77"/>
    <s v="H000004711"/>
    <m/>
    <s v="O000000009"/>
    <s v="Remove"/>
    <x v="0"/>
    <x v="0"/>
    <s v="HC"/>
    <s v="Done for 1000"/>
    <b v="1"/>
    <s v="Gearlene Joy Valenzuela"/>
  </r>
  <r>
    <n v="2371"/>
    <s v="F2"/>
    <x v="77"/>
    <s v="H000002434"/>
    <m/>
    <s v="O000000009"/>
    <s v="Remove"/>
    <x v="0"/>
    <x v="0"/>
    <s v="HC"/>
    <s v="Done for 1000"/>
    <b v="1"/>
    <s v="Gearlene Joy Valenzuela"/>
  </r>
  <r>
    <n v="2372"/>
    <s v="F2"/>
    <x v="77"/>
    <s v="H000002436"/>
    <m/>
    <s v="O000000009"/>
    <s v="Remove"/>
    <x v="0"/>
    <x v="0"/>
    <s v="HC"/>
    <s v="Done for 1000"/>
    <b v="1"/>
    <s v="Gearlene Joy Valenzuela"/>
  </r>
  <r>
    <n v="2373"/>
    <s v="F2"/>
    <x v="77"/>
    <s v="H000002437"/>
    <m/>
    <s v="O000000009"/>
    <s v="Remove"/>
    <x v="0"/>
    <x v="0"/>
    <s v="HC"/>
    <s v="Done for 1000"/>
    <b v="1"/>
    <s v="Gearlene Joy Valenzuela"/>
  </r>
  <r>
    <n v="2374"/>
    <s v="F2"/>
    <x v="77"/>
    <s v="H000002438"/>
    <m/>
    <s v="O000000009"/>
    <s v="Remove"/>
    <x v="0"/>
    <x v="0"/>
    <s v="HC"/>
    <s v="Done for 1000"/>
    <b v="1"/>
    <s v="Gearlene Joy Valenzuela"/>
  </r>
  <r>
    <n v="2375"/>
    <s v="F2"/>
    <x v="77"/>
    <s v="H000002439"/>
    <m/>
    <s v="O000000009"/>
    <s v="Remove"/>
    <x v="0"/>
    <x v="0"/>
    <s v="HC"/>
    <s v="Done for 1000"/>
    <b v="1"/>
    <s v="Gearlene Joy Valenzuela"/>
  </r>
  <r>
    <n v="2376"/>
    <s v="F2"/>
    <x v="77"/>
    <s v="H000002440"/>
    <m/>
    <s v="O000000009"/>
    <s v="Remove"/>
    <x v="0"/>
    <x v="0"/>
    <s v="HC"/>
    <s v="Done for 1000"/>
    <b v="1"/>
    <s v="Gearlene Joy Valenzuela"/>
  </r>
  <r>
    <n v="2377"/>
    <s v="F2"/>
    <x v="77"/>
    <s v="H000002441"/>
    <m/>
    <s v="O000000009"/>
    <s v="Remove"/>
    <x v="0"/>
    <x v="0"/>
    <s v="HC"/>
    <s v="Done for 1000"/>
    <b v="1"/>
    <s v="Gearlene Joy Valenzuela"/>
  </r>
  <r>
    <n v="2378"/>
    <s v="F2"/>
    <x v="77"/>
    <s v="H000002193"/>
    <m/>
    <s v="O000000009"/>
    <s v="Remove"/>
    <x v="0"/>
    <x v="0"/>
    <s v="HC"/>
    <s v="Done for 1000"/>
    <b v="1"/>
    <s v="Gearlene Joy Valenzuela"/>
  </r>
  <r>
    <n v="2379"/>
    <s v="F2"/>
    <x v="77"/>
    <s v="H000002194"/>
    <m/>
    <s v="O000000009"/>
    <s v="Remove"/>
    <x v="0"/>
    <x v="0"/>
    <s v="HC"/>
    <s v="Done for 1000"/>
    <b v="1"/>
    <s v="Gearlene Joy Valenzuela"/>
  </r>
  <r>
    <n v="2380"/>
    <s v="F2"/>
    <x v="77"/>
    <s v="H000002195"/>
    <m/>
    <s v="O000000009"/>
    <s v="Remove"/>
    <x v="0"/>
    <x v="0"/>
    <s v="HC"/>
    <s v="Done for 1000"/>
    <b v="1"/>
    <s v="Gearlene Joy Valenzuela"/>
  </r>
  <r>
    <n v="2381"/>
    <s v="F2"/>
    <x v="77"/>
    <s v="H000002196"/>
    <m/>
    <s v="O000000009"/>
    <s v="Remove"/>
    <x v="0"/>
    <x v="0"/>
    <s v="HC"/>
    <s v="Done for 1000"/>
    <b v="1"/>
    <s v="Gearlene Joy Valenzuela"/>
  </r>
  <r>
    <n v="2382"/>
    <s v="F2"/>
    <x v="77"/>
    <s v="H000002197"/>
    <m/>
    <s v="O000000009"/>
    <s v="Remove"/>
    <x v="0"/>
    <x v="0"/>
    <s v="HC"/>
    <s v="Done for 1000"/>
    <b v="1"/>
    <s v="Gearlene Joy Valenzuela"/>
  </r>
  <r>
    <n v="2383"/>
    <s v="F2"/>
    <x v="77"/>
    <s v="H000002198"/>
    <m/>
    <s v="O000000009"/>
    <s v="Remove"/>
    <x v="0"/>
    <x v="0"/>
    <s v="HC"/>
    <s v="Done for 1000"/>
    <b v="1"/>
    <s v="Gearlene Joy Valenzuela"/>
  </r>
  <r>
    <n v="2384"/>
    <s v="F2"/>
    <x v="77"/>
    <s v="H000002199"/>
    <m/>
    <s v="O000000009"/>
    <s v="Remove"/>
    <x v="0"/>
    <x v="0"/>
    <s v="HC"/>
    <s v="Done for 1000"/>
    <b v="1"/>
    <s v="Gearlene Joy Valenzuela"/>
  </r>
  <r>
    <n v="2385"/>
    <s v="F2"/>
    <x v="77"/>
    <s v="H000002200"/>
    <m/>
    <s v="O000000009"/>
    <s v="Remove"/>
    <x v="0"/>
    <x v="0"/>
    <s v="HC"/>
    <s v="Done for 1000"/>
    <b v="1"/>
    <s v="Gearlene Joy Valenzuela"/>
  </r>
  <r>
    <n v="2386"/>
    <s v="F2"/>
    <x v="77"/>
    <s v="H000002201"/>
    <m/>
    <s v="O000000009"/>
    <s v="Remove"/>
    <x v="0"/>
    <x v="0"/>
    <s v="HC"/>
    <s v="Done for 1000"/>
    <b v="1"/>
    <s v="Gearlene Joy Valenzuela"/>
  </r>
  <r>
    <n v="2387"/>
    <s v="F2"/>
    <x v="77"/>
    <s v="H000002202"/>
    <m/>
    <s v="O000000009"/>
    <s v="Remove"/>
    <x v="0"/>
    <x v="0"/>
    <s v="HC"/>
    <s v="Done for 1000"/>
    <b v="1"/>
    <s v="Gearlene Joy Valenzuela"/>
  </r>
  <r>
    <n v="2388"/>
    <s v="F2"/>
    <x v="77"/>
    <s v="H000002203"/>
    <m/>
    <s v="O000000009"/>
    <s v="Remove"/>
    <x v="0"/>
    <x v="0"/>
    <s v="HC"/>
    <s v="Done for 1000"/>
    <b v="1"/>
    <s v="Gearlene Joy Valenzuela"/>
  </r>
  <r>
    <n v="2389"/>
    <s v="F2"/>
    <x v="77"/>
    <s v="H000002204"/>
    <m/>
    <s v="O000000009"/>
    <s v="Remove"/>
    <x v="0"/>
    <x v="0"/>
    <s v="HC"/>
    <s v="Done for 1000"/>
    <b v="1"/>
    <s v="Gearlene Joy Valenzuela"/>
  </r>
  <r>
    <n v="2390"/>
    <s v="F2"/>
    <x v="77"/>
    <s v="H000002205"/>
    <m/>
    <s v="O000000009"/>
    <s v="Remove"/>
    <x v="0"/>
    <x v="0"/>
    <s v="HC"/>
    <s v="Done for 1000"/>
    <b v="1"/>
    <s v="Gearlene Joy Valenzuela"/>
  </r>
  <r>
    <n v="2391"/>
    <s v="F2"/>
    <x v="77"/>
    <s v="H000002206"/>
    <m/>
    <s v="O000000009"/>
    <s v="Remove"/>
    <x v="0"/>
    <x v="0"/>
    <s v="HC"/>
    <s v="Done for 1000"/>
    <b v="1"/>
    <s v="Gearlene Joy Valenzuela"/>
  </r>
  <r>
    <n v="2392"/>
    <s v="F2"/>
    <x v="77"/>
    <s v="H000002207"/>
    <m/>
    <s v="O000000009"/>
    <s v="Remove"/>
    <x v="0"/>
    <x v="0"/>
    <s v="HC"/>
    <s v="Done for 1000"/>
    <b v="1"/>
    <s v="Gearlene Joy Valenzuela"/>
  </r>
  <r>
    <n v="2393"/>
    <s v="F2"/>
    <x v="77"/>
    <s v="H000002208"/>
    <m/>
    <s v="O000000009"/>
    <s v="Remove"/>
    <x v="0"/>
    <x v="0"/>
    <s v="HC"/>
    <s v="Done for 1000"/>
    <b v="1"/>
    <s v="Gearlene Joy Valenzuela"/>
  </r>
  <r>
    <n v="2394"/>
    <s v="F2"/>
    <x v="77"/>
    <s v="H000002209"/>
    <m/>
    <s v="O000000009"/>
    <s v="Remove"/>
    <x v="0"/>
    <x v="0"/>
    <s v="HC"/>
    <s v="Done for 1000"/>
    <b v="1"/>
    <s v="Gearlene Joy Valenzuela"/>
  </r>
  <r>
    <n v="2395"/>
    <s v="F2"/>
    <x v="77"/>
    <s v="H000002210"/>
    <m/>
    <s v="O000000009"/>
    <s v="Remove"/>
    <x v="0"/>
    <x v="0"/>
    <s v="HC"/>
    <s v="Done for 1000"/>
    <b v="1"/>
    <s v="Gearlene Joy Valenzuela"/>
  </r>
  <r>
    <n v="2396"/>
    <s v="F2"/>
    <x v="77"/>
    <s v="H000002211"/>
    <m/>
    <s v="O000000009"/>
    <s v="Remove"/>
    <x v="0"/>
    <x v="0"/>
    <s v="HC"/>
    <s v="Done for 1000"/>
    <b v="1"/>
    <s v="Gearlene Joy Valenzuela"/>
  </r>
  <r>
    <n v="2397"/>
    <s v="F2"/>
    <x v="77"/>
    <s v="H000002212"/>
    <m/>
    <s v="O000000009"/>
    <s v="Remove"/>
    <x v="0"/>
    <x v="0"/>
    <s v="HC"/>
    <s v="Done for 1000"/>
    <b v="1"/>
    <s v="Gearlene Joy Valenzuela"/>
  </r>
  <r>
    <n v="2398"/>
    <s v="F2"/>
    <x v="77"/>
    <s v="H000002213"/>
    <m/>
    <s v="O000000009"/>
    <s v="Remove"/>
    <x v="0"/>
    <x v="0"/>
    <s v="HC"/>
    <s v="Done for 1000"/>
    <b v="1"/>
    <s v="Gearlene Joy Valenzuela"/>
  </r>
  <r>
    <n v="2399"/>
    <s v="F2"/>
    <x v="77"/>
    <s v="H000002214"/>
    <m/>
    <s v="O000000009"/>
    <s v="Remove"/>
    <x v="0"/>
    <x v="0"/>
    <s v="HC"/>
    <s v="Done for 1000"/>
    <b v="1"/>
    <s v="Gearlene Joy Valenzuela"/>
  </r>
  <r>
    <n v="2400"/>
    <s v="F2"/>
    <x v="77"/>
    <s v="H000002215"/>
    <m/>
    <s v="O000000009"/>
    <s v="Remove"/>
    <x v="0"/>
    <x v="0"/>
    <s v="HC"/>
    <s v="Done for 1000"/>
    <b v="1"/>
    <s v="Gearlene Joy Valenzuela"/>
  </r>
  <r>
    <n v="2401"/>
    <s v="F2"/>
    <x v="77"/>
    <s v="H000002216"/>
    <m/>
    <s v="O000000009"/>
    <s v="Remove"/>
    <x v="0"/>
    <x v="0"/>
    <s v="HC"/>
    <s v="Done for 1000"/>
    <b v="1"/>
    <s v="Gearlene Joy Valenzuela"/>
  </r>
  <r>
    <n v="2402"/>
    <s v="F2"/>
    <x v="77"/>
    <s v="H000002217"/>
    <m/>
    <s v="O000000009"/>
    <s v="Remove"/>
    <x v="0"/>
    <x v="0"/>
    <s v="HC"/>
    <s v="Done for 1000"/>
    <b v="1"/>
    <s v="Gearlene Joy Valenzuela"/>
  </r>
  <r>
    <n v="2403"/>
    <s v="F2"/>
    <x v="77"/>
    <s v="H000002218"/>
    <m/>
    <s v="O000000009"/>
    <s v="Remove"/>
    <x v="0"/>
    <x v="0"/>
    <s v="HC"/>
    <s v="Done for 1000"/>
    <b v="1"/>
    <s v="Gearlene Joy Valenzuela"/>
  </r>
  <r>
    <n v="2404"/>
    <s v="F2"/>
    <x v="77"/>
    <s v="H000002219"/>
    <m/>
    <s v="O000000009"/>
    <s v="Remove"/>
    <x v="0"/>
    <x v="0"/>
    <s v="HC"/>
    <s v="Done for 1000"/>
    <b v="1"/>
    <s v="Gearlene Joy Valenzuela"/>
  </r>
  <r>
    <n v="2405"/>
    <s v="F2"/>
    <x v="77"/>
    <s v="H000002220"/>
    <m/>
    <s v="O000000009"/>
    <s v="Remove"/>
    <x v="0"/>
    <x v="0"/>
    <s v="HC"/>
    <s v="Done for 1000"/>
    <b v="1"/>
    <s v="Gearlene Joy Valenzuela"/>
  </r>
  <r>
    <n v="2406"/>
    <s v="F2"/>
    <x v="77"/>
    <s v="H000002221"/>
    <m/>
    <s v="O000000009"/>
    <s v="Remove"/>
    <x v="0"/>
    <x v="0"/>
    <s v="HC"/>
    <s v="Done for 1000"/>
    <b v="1"/>
    <s v="Gearlene Joy Valenzuela"/>
  </r>
  <r>
    <n v="2407"/>
    <s v="F2"/>
    <x v="77"/>
    <s v="H000002222"/>
    <m/>
    <s v="O000000009"/>
    <s v="Remove"/>
    <x v="0"/>
    <x v="0"/>
    <s v="HC"/>
    <s v="Done for 1000"/>
    <b v="1"/>
    <s v="Gearlene Joy Valenzuela"/>
  </r>
  <r>
    <n v="2408"/>
    <s v="F2"/>
    <x v="77"/>
    <s v="H000002223"/>
    <m/>
    <s v="O000000009"/>
    <s v="Remove"/>
    <x v="0"/>
    <x v="0"/>
    <s v="HC"/>
    <s v="Done for 1000"/>
    <b v="1"/>
    <s v="Gearlene Joy Valenzuela"/>
  </r>
  <r>
    <n v="2409"/>
    <s v="F2"/>
    <x v="77"/>
    <s v="H000002224"/>
    <m/>
    <s v="O000000009"/>
    <s v="Remove"/>
    <x v="0"/>
    <x v="0"/>
    <s v="HC"/>
    <s v="Done for 1000"/>
    <b v="1"/>
    <s v="Gearlene Joy Valenzuela"/>
  </r>
  <r>
    <n v="2410"/>
    <s v="F2"/>
    <x v="77"/>
    <s v="H000002225"/>
    <m/>
    <s v="O000000009"/>
    <s v="Remove"/>
    <x v="0"/>
    <x v="0"/>
    <s v="HC"/>
    <s v="Done for 1000"/>
    <b v="1"/>
    <s v="Gearlene Joy Valenzuela"/>
  </r>
  <r>
    <n v="2411"/>
    <s v="F2"/>
    <x v="77"/>
    <s v="H000002226"/>
    <m/>
    <s v="O000000009"/>
    <s v="Remove"/>
    <x v="0"/>
    <x v="0"/>
    <s v="HC"/>
    <s v="Done for 1000"/>
    <b v="1"/>
    <s v="Gearlene Joy Valenzuela"/>
  </r>
  <r>
    <n v="2412"/>
    <s v="F2"/>
    <x v="77"/>
    <s v="H000002227"/>
    <m/>
    <s v="O000000009"/>
    <s v="Remove"/>
    <x v="0"/>
    <x v="0"/>
    <s v="HC"/>
    <s v="Done for 1000"/>
    <b v="1"/>
    <s v="Gearlene Joy Valenzuela"/>
  </r>
  <r>
    <n v="2413"/>
    <s v="F2"/>
    <x v="77"/>
    <s v="H000002338"/>
    <m/>
    <s v="O000000009"/>
    <s v="Remove"/>
    <x v="0"/>
    <x v="0"/>
    <s v="HC"/>
    <s v="Done for 1000"/>
    <b v="1"/>
    <s v="Gearlene Joy Valenzuela"/>
  </r>
  <r>
    <n v="2414"/>
    <s v="F2"/>
    <x v="77"/>
    <s v="H000002339"/>
    <m/>
    <s v="O000000009"/>
    <s v="Remove"/>
    <x v="0"/>
    <x v="0"/>
    <s v="HC"/>
    <s v="Done for 1000"/>
    <b v="1"/>
    <s v="Gearlene Joy Valenzuela"/>
  </r>
  <r>
    <n v="2415"/>
    <s v="F2"/>
    <x v="77"/>
    <s v="H000002340"/>
    <m/>
    <s v="O000000009"/>
    <s v="Remove"/>
    <x v="0"/>
    <x v="0"/>
    <s v="HC"/>
    <s v="Done for 1000"/>
    <b v="1"/>
    <s v="Gearlene Joy Valenzuela"/>
  </r>
  <r>
    <n v="2416"/>
    <s v="F2"/>
    <x v="77"/>
    <s v="H000002341"/>
    <m/>
    <s v="O000000009"/>
    <s v="Remove"/>
    <x v="0"/>
    <x v="0"/>
    <s v="HC"/>
    <s v="Done for 1000"/>
    <b v="1"/>
    <s v="Gearlene Joy Valenzuela"/>
  </r>
  <r>
    <n v="2417"/>
    <s v="F2"/>
    <x v="77"/>
    <s v="H000002344"/>
    <m/>
    <s v="O000000009"/>
    <s v="Remove"/>
    <x v="0"/>
    <x v="0"/>
    <s v="HC"/>
    <s v="Done for 1000"/>
    <b v="1"/>
    <s v="Gearlene Joy Valenzuela"/>
  </r>
  <r>
    <n v="2418"/>
    <s v="F2"/>
    <x v="77"/>
    <s v="H000002345"/>
    <m/>
    <s v="O000000009"/>
    <s v="Remove"/>
    <x v="0"/>
    <x v="0"/>
    <s v="HC"/>
    <s v="Done for 1000"/>
    <b v="1"/>
    <s v="Gearlene Joy Valenzuela"/>
  </r>
  <r>
    <n v="2419"/>
    <s v="F2"/>
    <x v="77"/>
    <s v="H000002346"/>
    <m/>
    <s v="O000000009"/>
    <s v="Remove"/>
    <x v="0"/>
    <x v="0"/>
    <s v="HC"/>
    <s v="Done for 1000"/>
    <b v="1"/>
    <s v="Gearlene Joy Valenzuela"/>
  </r>
  <r>
    <n v="2420"/>
    <s v="F2"/>
    <x v="77"/>
    <s v="H000002347"/>
    <m/>
    <s v="O000000009"/>
    <s v="Remove"/>
    <x v="0"/>
    <x v="0"/>
    <s v="HC"/>
    <s v="Done for 1000"/>
    <b v="1"/>
    <s v="Gearlene Joy Valenzuela"/>
  </r>
  <r>
    <n v="2421"/>
    <s v="F2"/>
    <x v="77"/>
    <s v="H000002348"/>
    <m/>
    <s v="O000000009"/>
    <s v="Remove"/>
    <x v="0"/>
    <x v="0"/>
    <s v="HC"/>
    <s v="Done for 1000"/>
    <b v="1"/>
    <s v="Gearlene Joy Valenzuela"/>
  </r>
  <r>
    <n v="2422"/>
    <s v="F2"/>
    <x v="77"/>
    <s v="H000002349"/>
    <m/>
    <s v="O000000009"/>
    <s v="Remove"/>
    <x v="0"/>
    <x v="0"/>
    <s v="HC"/>
    <s v="Done for 1000"/>
    <b v="1"/>
    <s v="Gearlene Joy Valenzuela"/>
  </r>
  <r>
    <n v="2423"/>
    <s v="F2"/>
    <x v="77"/>
    <s v="H000002351"/>
    <m/>
    <s v="O000000009"/>
    <s v="Remove"/>
    <x v="0"/>
    <x v="0"/>
    <s v="HC"/>
    <s v="Done for 1000"/>
    <b v="1"/>
    <s v="Gearlene Joy Valenzuela"/>
  </r>
  <r>
    <n v="2424"/>
    <s v="F2"/>
    <x v="77"/>
    <s v="H000002352"/>
    <m/>
    <s v="O000000009"/>
    <s v="Remove"/>
    <x v="0"/>
    <x v="0"/>
    <s v="HC"/>
    <s v="Done for 1000"/>
    <b v="1"/>
    <s v="Gearlene Joy Valenzuela"/>
  </r>
  <r>
    <n v="2425"/>
    <s v="F2"/>
    <x v="77"/>
    <s v="H000002353"/>
    <m/>
    <s v="O000000009"/>
    <s v="Remove"/>
    <x v="0"/>
    <x v="0"/>
    <s v="HC"/>
    <s v="Done for 1000"/>
    <b v="1"/>
    <s v="Gearlene Joy Valenzuela"/>
  </r>
  <r>
    <n v="2426"/>
    <s v="F2"/>
    <x v="77"/>
    <s v="H000002354"/>
    <m/>
    <s v="O000000009"/>
    <s v="Remove"/>
    <x v="0"/>
    <x v="0"/>
    <s v="HC"/>
    <s v="Done for 1000"/>
    <b v="1"/>
    <s v="Gearlene Joy Valenzuela"/>
  </r>
  <r>
    <n v="2427"/>
    <s v="F2"/>
    <x v="77"/>
    <s v="H000002355"/>
    <m/>
    <s v="O000000009"/>
    <s v="Remove"/>
    <x v="0"/>
    <x v="0"/>
    <s v="HC"/>
    <s v="Done for 1000"/>
    <b v="1"/>
    <s v="Gearlene Joy Valenzuela"/>
  </r>
  <r>
    <n v="2428"/>
    <s v="F2"/>
    <x v="77"/>
    <s v="H000002356"/>
    <m/>
    <s v="O000000009"/>
    <s v="Remove"/>
    <x v="0"/>
    <x v="0"/>
    <s v="HC"/>
    <s v="Done for 1000"/>
    <b v="1"/>
    <s v="Gearlene Joy Valenzuela"/>
  </r>
  <r>
    <n v="2429"/>
    <s v="F2"/>
    <x v="77"/>
    <s v="H000002357"/>
    <m/>
    <s v="O000000009"/>
    <s v="Remove"/>
    <x v="0"/>
    <x v="0"/>
    <s v="HC"/>
    <s v="Done for 1000"/>
    <b v="1"/>
    <s v="Gearlene Joy Valenzuela"/>
  </r>
  <r>
    <n v="2430"/>
    <s v="F2"/>
    <x v="77"/>
    <s v="H000002358"/>
    <m/>
    <s v="O000000009"/>
    <s v="Remove"/>
    <x v="0"/>
    <x v="0"/>
    <s v="HC"/>
    <s v="Done for 1000"/>
    <b v="1"/>
    <s v="Gearlene Joy Valenzuela"/>
  </r>
  <r>
    <n v="2431"/>
    <s v="F2"/>
    <x v="77"/>
    <s v="H000002359"/>
    <m/>
    <s v="O000000009"/>
    <s v="Remove"/>
    <x v="0"/>
    <x v="0"/>
    <s v="HC"/>
    <s v="Done for 1000"/>
    <b v="1"/>
    <s v="Gearlene Joy Valenzuela"/>
  </r>
  <r>
    <n v="2432"/>
    <s v="F2"/>
    <x v="77"/>
    <s v="H000002360"/>
    <m/>
    <s v="O000000009"/>
    <s v="Remove"/>
    <x v="0"/>
    <x v="0"/>
    <s v="HC"/>
    <s v="Done for 1000"/>
    <b v="1"/>
    <s v="Gearlene Joy Valenzuela"/>
  </r>
  <r>
    <n v="2433"/>
    <s v="F2"/>
    <x v="77"/>
    <s v="H000002361"/>
    <m/>
    <s v="O000000009"/>
    <s v="Remove"/>
    <x v="0"/>
    <x v="0"/>
    <s v="HC"/>
    <s v="Done for 1000"/>
    <b v="1"/>
    <s v="Gearlene Joy Valenzuela"/>
  </r>
  <r>
    <n v="2434"/>
    <s v="F2"/>
    <x v="77"/>
    <s v="H000002364"/>
    <m/>
    <s v="O000000009"/>
    <s v="Remove"/>
    <x v="0"/>
    <x v="0"/>
    <s v="HC"/>
    <s v="Done for 1000"/>
    <b v="1"/>
    <s v="Gearlene Joy Valenzuela"/>
  </r>
  <r>
    <n v="2435"/>
    <s v="F2"/>
    <x v="77"/>
    <s v="H000002365"/>
    <m/>
    <s v="O000000009"/>
    <s v="Remove"/>
    <x v="0"/>
    <x v="0"/>
    <s v="HC"/>
    <s v="Done for 1000"/>
    <b v="1"/>
    <s v="Gearlene Joy Valenzuela"/>
  </r>
  <r>
    <n v="2436"/>
    <s v="F2"/>
    <x v="77"/>
    <s v="H000002366"/>
    <m/>
    <s v="O000000009"/>
    <s v="Remove"/>
    <x v="0"/>
    <x v="0"/>
    <s v="HC"/>
    <s v="Done for 1000"/>
    <b v="1"/>
    <s v="Gearlene Joy Valenzuela"/>
  </r>
  <r>
    <n v="2437"/>
    <s v="F2"/>
    <x v="77"/>
    <s v="H000002367"/>
    <m/>
    <s v="O000000009"/>
    <s v="Remove"/>
    <x v="0"/>
    <x v="0"/>
    <s v="HC"/>
    <s v="Done for 1000"/>
    <b v="1"/>
    <s v="Gearlene Joy Valenzuela"/>
  </r>
  <r>
    <n v="2438"/>
    <s v="F2"/>
    <x v="77"/>
    <s v="H000002368"/>
    <m/>
    <s v="O000000009"/>
    <s v="Remove"/>
    <x v="0"/>
    <x v="0"/>
    <s v="HC"/>
    <s v="Done for 1000"/>
    <b v="1"/>
    <s v="Gearlene Joy Valenzuela"/>
  </r>
  <r>
    <n v="2439"/>
    <s v="F2"/>
    <x v="77"/>
    <s v="H000002369"/>
    <m/>
    <s v="O000000009"/>
    <s v="Remove"/>
    <x v="0"/>
    <x v="0"/>
    <s v="HC"/>
    <s v="Done for 1000"/>
    <b v="1"/>
    <s v="Gearlene Joy Valenzuela"/>
  </r>
  <r>
    <n v="2440"/>
    <s v="F2"/>
    <x v="77"/>
    <s v="H000002370"/>
    <m/>
    <s v="O000000009"/>
    <s v="Remove"/>
    <x v="0"/>
    <x v="0"/>
    <s v="HC"/>
    <s v="Done for 1000"/>
    <b v="1"/>
    <s v="Gearlene Joy Valenzuela"/>
  </r>
  <r>
    <n v="2441"/>
    <s v="F2"/>
    <x v="77"/>
    <s v="H000002303"/>
    <m/>
    <s v="O000000009"/>
    <s v="Remove"/>
    <x v="0"/>
    <x v="0"/>
    <s v="HC"/>
    <s v="Done for 1000"/>
    <b v="1"/>
    <s v="Gearlene Joy Valenzuela"/>
  </r>
  <r>
    <n v="2442"/>
    <s v="F2"/>
    <x v="77"/>
    <s v="H000002304"/>
    <m/>
    <s v="O000000009"/>
    <s v="Remove"/>
    <x v="0"/>
    <x v="0"/>
    <s v="HC"/>
    <s v="Done for 1000"/>
    <b v="1"/>
    <s v="Gearlene Joy Valenzuela"/>
  </r>
  <r>
    <n v="2443"/>
    <s v="F2"/>
    <x v="77"/>
    <s v="H000002305"/>
    <m/>
    <s v="O000000009"/>
    <s v="Remove"/>
    <x v="0"/>
    <x v="0"/>
    <s v="HC"/>
    <s v="Done for 1000"/>
    <b v="1"/>
    <s v="Gearlene Joy Valenzuela"/>
  </r>
  <r>
    <n v="2444"/>
    <s v="F2"/>
    <x v="77"/>
    <s v="H000002306"/>
    <m/>
    <s v="O000000009"/>
    <s v="Remove"/>
    <x v="0"/>
    <x v="0"/>
    <s v="HC"/>
    <s v="Done for 1000"/>
    <b v="1"/>
    <s v="Gearlene Joy Valenzuela"/>
  </r>
  <r>
    <n v="2445"/>
    <s v="F2"/>
    <x v="77"/>
    <s v="H000002309"/>
    <m/>
    <s v="O000000009"/>
    <s v="Remove"/>
    <x v="0"/>
    <x v="0"/>
    <s v="HC"/>
    <s v="Done for 1000"/>
    <b v="1"/>
    <s v="Gearlene Joy Valenzuela"/>
  </r>
  <r>
    <n v="2446"/>
    <s v="F2"/>
    <x v="77"/>
    <s v="H000002310"/>
    <m/>
    <s v="O000000009"/>
    <s v="Remove"/>
    <x v="0"/>
    <x v="0"/>
    <s v="HC"/>
    <s v="Done for 1000"/>
    <b v="1"/>
    <s v="Gearlene Joy Valenzuela"/>
  </r>
  <r>
    <n v="2447"/>
    <s v="F2"/>
    <x v="77"/>
    <s v="H000002313"/>
    <m/>
    <s v="O000000009"/>
    <s v="Remove"/>
    <x v="0"/>
    <x v="0"/>
    <s v="HC"/>
    <s v="Done for 1000"/>
    <b v="1"/>
    <s v="Gearlene Joy Valenzuela"/>
  </r>
  <r>
    <n v="2448"/>
    <s v="F2"/>
    <x v="77"/>
    <s v="H000002314"/>
    <m/>
    <s v="O000000009"/>
    <s v="Remove"/>
    <x v="0"/>
    <x v="0"/>
    <s v="HC"/>
    <s v="Done for 1000"/>
    <b v="1"/>
    <s v="Gearlene Joy Valenzuela"/>
  </r>
  <r>
    <n v="2449"/>
    <s v="F2"/>
    <x v="77"/>
    <s v="H000002316"/>
    <m/>
    <s v="O000000009"/>
    <s v="Remove"/>
    <x v="0"/>
    <x v="0"/>
    <s v="HC"/>
    <s v="Done for 1000"/>
    <b v="1"/>
    <s v="Gearlene Joy Valenzuela"/>
  </r>
  <r>
    <n v="2450"/>
    <s v="F2"/>
    <x v="77"/>
    <s v="H000002317"/>
    <m/>
    <s v="O000000009"/>
    <s v="Remove"/>
    <x v="0"/>
    <x v="0"/>
    <s v="HC"/>
    <s v="Done for 1000"/>
    <b v="1"/>
    <s v="Gearlene Joy Valenzuela"/>
  </r>
  <r>
    <n v="2451"/>
    <s v="F2"/>
    <x v="77"/>
    <s v="H000002318"/>
    <m/>
    <s v="O000000009"/>
    <s v="Remove"/>
    <x v="0"/>
    <x v="0"/>
    <s v="HC"/>
    <s v="Done for 1000"/>
    <b v="1"/>
    <s v="Gearlene Joy Valenzuela"/>
  </r>
  <r>
    <n v="2452"/>
    <s v="F2"/>
    <x v="77"/>
    <s v="H000002319"/>
    <m/>
    <s v="O000000009"/>
    <s v="Remove"/>
    <x v="0"/>
    <x v="0"/>
    <s v="HC"/>
    <s v="Done for 1000"/>
    <b v="1"/>
    <s v="Gearlene Joy Valenzuela"/>
  </r>
  <r>
    <n v="2453"/>
    <s v="F2"/>
    <x v="77"/>
    <s v="H000002320"/>
    <m/>
    <s v="O000000009"/>
    <s v="Remove"/>
    <x v="0"/>
    <x v="0"/>
    <s v="HC"/>
    <s v="Done for 1000"/>
    <b v="1"/>
    <s v="Gearlene Joy Valenzuela"/>
  </r>
  <r>
    <n v="2454"/>
    <s v="F2"/>
    <x v="77"/>
    <s v="H000002321"/>
    <m/>
    <s v="O000000009"/>
    <s v="Remove"/>
    <x v="0"/>
    <x v="0"/>
    <s v="HC"/>
    <s v="Done for 1000"/>
    <b v="1"/>
    <s v="Gearlene Joy Valenzuela"/>
  </r>
  <r>
    <n v="2455"/>
    <s v="F2"/>
    <x v="77"/>
    <s v="H000002322"/>
    <m/>
    <s v="O000000009"/>
    <s v="Remove"/>
    <x v="0"/>
    <x v="0"/>
    <s v="HC"/>
    <s v="Done for 1000"/>
    <b v="1"/>
    <s v="Gearlene Joy Valenzuela"/>
  </r>
  <r>
    <n v="2456"/>
    <s v="F2"/>
    <x v="77"/>
    <s v="H000002323"/>
    <m/>
    <s v="O000000009"/>
    <s v="Remove"/>
    <x v="0"/>
    <x v="0"/>
    <s v="HC"/>
    <s v="Done for 1000"/>
    <b v="1"/>
    <s v="Gearlene Joy Valenzuela"/>
  </r>
  <r>
    <n v="2457"/>
    <s v="F2"/>
    <x v="77"/>
    <s v="H000002324"/>
    <m/>
    <s v="O000000009"/>
    <s v="Remove"/>
    <x v="0"/>
    <x v="0"/>
    <s v="HC"/>
    <s v="Done for 1000"/>
    <b v="1"/>
    <s v="Gearlene Joy Valenzuela"/>
  </r>
  <r>
    <n v="2458"/>
    <s v="F2"/>
    <x v="77"/>
    <s v="H000002325"/>
    <m/>
    <s v="O000000009"/>
    <s v="Remove"/>
    <x v="0"/>
    <x v="0"/>
    <s v="HC"/>
    <s v="Done for 1000"/>
    <b v="1"/>
    <s v="Gearlene Joy Valenzuela"/>
  </r>
  <r>
    <n v="2459"/>
    <s v="F2"/>
    <x v="77"/>
    <s v="H000002326"/>
    <m/>
    <s v="O000000009"/>
    <s v="Remove"/>
    <x v="0"/>
    <x v="0"/>
    <s v="HC"/>
    <s v="Done for 1000"/>
    <b v="1"/>
    <s v="Gearlene Joy Valenzuela"/>
  </r>
  <r>
    <n v="2460"/>
    <s v="F2"/>
    <x v="77"/>
    <s v="H000002329"/>
    <m/>
    <s v="O000000009"/>
    <s v="Remove"/>
    <x v="0"/>
    <x v="0"/>
    <s v="HC"/>
    <s v="Done for 1000"/>
    <b v="1"/>
    <s v="Gearlene Joy Valenzuela"/>
  </r>
  <r>
    <n v="2461"/>
    <s v="F2"/>
    <x v="77"/>
    <s v="H000002330"/>
    <m/>
    <s v="O000000009"/>
    <s v="Remove"/>
    <x v="0"/>
    <x v="0"/>
    <s v="HC"/>
    <s v="Done for 1000"/>
    <b v="1"/>
    <s v="Gearlene Joy Valenzuela"/>
  </r>
  <r>
    <n v="2462"/>
    <s v="F2"/>
    <x v="77"/>
    <s v="H000002331"/>
    <m/>
    <s v="O000000009"/>
    <s v="Remove"/>
    <x v="0"/>
    <x v="0"/>
    <s v="HC"/>
    <s v="Done for 1000"/>
    <b v="1"/>
    <s v="Gearlene Joy Valenzuela"/>
  </r>
  <r>
    <n v="2463"/>
    <s v="F2"/>
    <x v="77"/>
    <s v="H000002332"/>
    <m/>
    <s v="O000000009"/>
    <s v="Remove"/>
    <x v="0"/>
    <x v="0"/>
    <s v="HC"/>
    <s v="Done for 1000"/>
    <b v="1"/>
    <s v="Gearlene Joy Valenzuela"/>
  </r>
  <r>
    <n v="2464"/>
    <s v="F2"/>
    <x v="77"/>
    <s v="H000002333"/>
    <m/>
    <s v="O000000009"/>
    <s v="Remove"/>
    <x v="0"/>
    <x v="0"/>
    <s v="HC"/>
    <s v="Done for 1000"/>
    <b v="1"/>
    <s v="Gearlene Joy Valenzuela"/>
  </r>
  <r>
    <n v="2465"/>
    <s v="F2"/>
    <x v="77"/>
    <s v="H000002334"/>
    <m/>
    <s v="O000000009"/>
    <s v="Remove"/>
    <x v="0"/>
    <x v="0"/>
    <s v="HC"/>
    <s v="Done for 1000"/>
    <b v="1"/>
    <s v="Gearlene Joy Valenzuela"/>
  </r>
  <r>
    <n v="2466"/>
    <s v="F2"/>
    <x v="77"/>
    <s v="H000002335"/>
    <m/>
    <s v="O000000009"/>
    <s v="Remove"/>
    <x v="0"/>
    <x v="0"/>
    <s v="HC"/>
    <s v="Done for 1000"/>
    <b v="1"/>
    <s v="Gearlene Joy Valenzuela"/>
  </r>
  <r>
    <n v="2467"/>
    <s v="F2"/>
    <x v="77"/>
    <s v="H000001846"/>
    <m/>
    <s v="O000000009"/>
    <s v="Remove"/>
    <x v="0"/>
    <x v="0"/>
    <s v="HC"/>
    <s v="Done for 1000"/>
    <b v="1"/>
    <s v="Gearlene Joy Valenzuela"/>
  </r>
  <r>
    <n v="2468"/>
    <s v="F2"/>
    <x v="77"/>
    <s v="H000001847"/>
    <m/>
    <s v="O000000009"/>
    <s v="Remove"/>
    <x v="0"/>
    <x v="0"/>
    <s v="HC"/>
    <s v="Done for 1000"/>
    <b v="1"/>
    <s v="Gearlene Joy Valenzuela"/>
  </r>
  <r>
    <n v="2469"/>
    <s v="F2"/>
    <x v="77"/>
    <s v="H000001848"/>
    <m/>
    <s v="O000000009"/>
    <s v="Remove"/>
    <x v="0"/>
    <x v="0"/>
    <s v="HC"/>
    <s v="Done for 1000"/>
    <b v="1"/>
    <s v="Gearlene Joy Valenzuela"/>
  </r>
  <r>
    <n v="2470"/>
    <s v="F2"/>
    <x v="77"/>
    <s v="H000001849"/>
    <m/>
    <s v="O000000009"/>
    <s v="Remove"/>
    <x v="0"/>
    <x v="0"/>
    <s v="HC"/>
    <s v="Done for 1000"/>
    <b v="1"/>
    <s v="Gearlene Joy Valenzuela"/>
  </r>
  <r>
    <n v="2471"/>
    <s v="F2"/>
    <x v="77"/>
    <s v="H000001850"/>
    <m/>
    <s v="O000000009"/>
    <s v="Remove"/>
    <x v="0"/>
    <x v="0"/>
    <s v="HC"/>
    <s v="Done for 1000"/>
    <b v="1"/>
    <s v="Gearlene Joy Valenzuela"/>
  </r>
  <r>
    <n v="2472"/>
    <s v="F2"/>
    <x v="77"/>
    <s v="H000001851"/>
    <m/>
    <s v="O000000009"/>
    <s v="Remove"/>
    <x v="0"/>
    <x v="0"/>
    <s v="HC"/>
    <s v="Done for 1000"/>
    <b v="1"/>
    <s v="Gearlene Joy Valenzuela"/>
  </r>
  <r>
    <n v="2473"/>
    <s v="F2"/>
    <x v="77"/>
    <s v="H000001852"/>
    <m/>
    <s v="O000000009"/>
    <s v="Remove"/>
    <x v="0"/>
    <x v="0"/>
    <s v="HC"/>
    <s v="Done for 1000"/>
    <b v="1"/>
    <s v="Gearlene Joy Valenzuela"/>
  </r>
  <r>
    <n v="2474"/>
    <s v="F2"/>
    <x v="77"/>
    <s v="H000001853"/>
    <m/>
    <s v="O000000009"/>
    <s v="Remove"/>
    <x v="0"/>
    <x v="0"/>
    <s v="HC"/>
    <s v="Done for 1000"/>
    <b v="1"/>
    <s v="Gearlene Joy Valenzuela"/>
  </r>
  <r>
    <n v="2475"/>
    <s v="F2"/>
    <x v="77"/>
    <s v="H000001860"/>
    <m/>
    <s v="O000000009"/>
    <s v="Remove"/>
    <x v="0"/>
    <x v="0"/>
    <s v="HC"/>
    <s v="Done for 1000"/>
    <b v="1"/>
    <s v="Gearlene Joy Valenzuela"/>
  </r>
  <r>
    <n v="2476"/>
    <s v="F2"/>
    <x v="77"/>
    <s v="H000001861"/>
    <m/>
    <s v="O000000009"/>
    <s v="Remove"/>
    <x v="0"/>
    <x v="0"/>
    <s v="HC"/>
    <s v="Done for 1000"/>
    <b v="1"/>
    <s v="Gearlene Joy Valenzuela"/>
  </r>
  <r>
    <n v="2477"/>
    <s v="F2"/>
    <x v="77"/>
    <s v="H000001862"/>
    <m/>
    <s v="O000000009"/>
    <s v="Remove"/>
    <x v="0"/>
    <x v="0"/>
    <s v="HC"/>
    <s v="Done for 1000"/>
    <b v="1"/>
    <s v="Gearlene Joy Valenzuela"/>
  </r>
  <r>
    <n v="2478"/>
    <s v="F2"/>
    <x v="77"/>
    <s v="H000001863"/>
    <m/>
    <s v="O000000009"/>
    <s v="Remove"/>
    <x v="0"/>
    <x v="0"/>
    <s v="HC"/>
    <s v="Done for 1000"/>
    <b v="1"/>
    <s v="Gearlene Joy Valenzuela"/>
  </r>
  <r>
    <n v="2479"/>
    <s v="F2"/>
    <x v="77"/>
    <s v="H000001864"/>
    <m/>
    <s v="O000000009"/>
    <s v="Remove"/>
    <x v="0"/>
    <x v="0"/>
    <s v="HC"/>
    <s v="Done for 1000"/>
    <b v="1"/>
    <s v="Gearlene Joy Valenzuela"/>
  </r>
  <r>
    <n v="2480"/>
    <s v="F2"/>
    <x v="77"/>
    <s v="H000001865"/>
    <m/>
    <s v="O000000009"/>
    <s v="Remove"/>
    <x v="0"/>
    <x v="0"/>
    <s v="HC"/>
    <s v="Done for 1000"/>
    <b v="1"/>
    <s v="Gearlene Joy Valenzuela"/>
  </r>
  <r>
    <n v="2481"/>
    <s v="F2"/>
    <x v="77"/>
    <s v="H000001866"/>
    <m/>
    <s v="O000000009"/>
    <s v="Remove"/>
    <x v="0"/>
    <x v="0"/>
    <s v="HC"/>
    <s v="Done for 1000"/>
    <b v="1"/>
    <s v="Gearlene Joy Valenzuela"/>
  </r>
  <r>
    <n v="2482"/>
    <s v="F2"/>
    <x v="77"/>
    <s v="H000001867"/>
    <m/>
    <s v="O000000009"/>
    <s v="Remove"/>
    <x v="0"/>
    <x v="0"/>
    <s v="HC"/>
    <s v="Done for 1000"/>
    <b v="1"/>
    <s v="Gearlene Joy Valenzuela"/>
  </r>
  <r>
    <n v="2483"/>
    <s v="F2"/>
    <x v="77"/>
    <s v="H000001869"/>
    <m/>
    <s v="O000000009"/>
    <s v="Remove"/>
    <x v="0"/>
    <x v="0"/>
    <s v="HC"/>
    <s v="Done for 1000"/>
    <b v="1"/>
    <s v="Gearlene Joy Valenzuela"/>
  </r>
  <r>
    <n v="2484"/>
    <s v="F2"/>
    <x v="77"/>
    <s v="H000001870"/>
    <m/>
    <s v="O000000009"/>
    <s v="Remove"/>
    <x v="0"/>
    <x v="0"/>
    <s v="HC"/>
    <s v="Done for 1000"/>
    <b v="1"/>
    <s v="Gearlene Joy Valenzuela"/>
  </r>
  <r>
    <n v="2485"/>
    <s v="F2"/>
    <x v="77"/>
    <s v="H000001873"/>
    <m/>
    <s v="O000000009"/>
    <s v="Remove"/>
    <x v="0"/>
    <x v="0"/>
    <s v="HC"/>
    <s v="Done for 1000"/>
    <b v="1"/>
    <s v="Gearlene Joy Valenzuela"/>
  </r>
  <r>
    <n v="2486"/>
    <s v="F2"/>
    <x v="77"/>
    <s v="H000001874"/>
    <m/>
    <s v="O000000009"/>
    <s v="Remove"/>
    <x v="0"/>
    <x v="0"/>
    <s v="HC"/>
    <s v="Done for 1000"/>
    <b v="1"/>
    <s v="Gearlene Joy Valenzuela"/>
  </r>
  <r>
    <n v="2487"/>
    <s v="F2"/>
    <x v="77"/>
    <s v="H000001877"/>
    <m/>
    <s v="O000000009"/>
    <s v="Remove"/>
    <x v="0"/>
    <x v="0"/>
    <s v="HC"/>
    <s v="Done for 1000"/>
    <b v="1"/>
    <s v="Gearlene Joy Valenzuela"/>
  </r>
  <r>
    <n v="2488"/>
    <s v="F2"/>
    <x v="77"/>
    <s v="H000001878"/>
    <m/>
    <s v="O000000009"/>
    <s v="Remove"/>
    <x v="0"/>
    <x v="0"/>
    <s v="HC"/>
    <s v="Done for 1000"/>
    <b v="1"/>
    <s v="Gearlene Joy Valenzuela"/>
  </r>
  <r>
    <n v="2489"/>
    <s v="F2"/>
    <x v="77"/>
    <s v="H000001881"/>
    <m/>
    <s v="O000000009"/>
    <s v="Remove"/>
    <x v="0"/>
    <x v="0"/>
    <s v="HC"/>
    <s v="Done for 1000"/>
    <b v="1"/>
    <s v="Gearlene Joy Valenzuela"/>
  </r>
  <r>
    <n v="2490"/>
    <s v="F2"/>
    <x v="77"/>
    <s v="H000001882"/>
    <m/>
    <s v="O000000009"/>
    <s v="Remove"/>
    <x v="0"/>
    <x v="0"/>
    <s v="HC"/>
    <s v="Done for 1000"/>
    <b v="1"/>
    <s v="Gearlene Joy Valenzuela"/>
  </r>
  <r>
    <n v="2491"/>
    <s v="F2"/>
    <x v="77"/>
    <s v="H000001883"/>
    <m/>
    <s v="O000000009"/>
    <s v="Remove"/>
    <x v="0"/>
    <x v="0"/>
    <s v="HC"/>
    <s v="Done for 1000"/>
    <b v="1"/>
    <s v="Gearlene Joy Valenzuela"/>
  </r>
  <r>
    <n v="2492"/>
    <s v="F2"/>
    <x v="77"/>
    <s v="H000001884"/>
    <m/>
    <s v="O000000009"/>
    <s v="Remove"/>
    <x v="0"/>
    <x v="0"/>
    <s v="HC"/>
    <s v="Done for 1000"/>
    <b v="1"/>
    <s v="Gearlene Joy Valenzuela"/>
  </r>
  <r>
    <n v="2493"/>
    <s v="F2"/>
    <x v="77"/>
    <s v="H000001885"/>
    <m/>
    <s v="O000000009"/>
    <s v="Remove"/>
    <x v="0"/>
    <x v="0"/>
    <s v="HC"/>
    <s v="Done for 1000"/>
    <b v="1"/>
    <s v="Gearlene Joy Valenzuela"/>
  </r>
  <r>
    <n v="2494"/>
    <s v="F2"/>
    <x v="77"/>
    <s v="H000001886"/>
    <m/>
    <s v="O000000009"/>
    <s v="Remove"/>
    <x v="0"/>
    <x v="0"/>
    <s v="HC"/>
    <s v="Done for 1000"/>
    <b v="1"/>
    <s v="Gearlene Joy Valenzuela"/>
  </r>
  <r>
    <n v="2495"/>
    <s v="F2"/>
    <x v="77"/>
    <s v="H000001892"/>
    <m/>
    <s v="O000000009"/>
    <s v="Remove"/>
    <x v="0"/>
    <x v="0"/>
    <s v="HC"/>
    <s v="Done for 1000"/>
    <b v="1"/>
    <s v="Gearlene Joy Valenzuela"/>
  </r>
  <r>
    <n v="2496"/>
    <s v="F2"/>
    <x v="77"/>
    <s v="H000001896"/>
    <m/>
    <s v="O000000009"/>
    <s v="Remove"/>
    <x v="0"/>
    <x v="0"/>
    <s v="HC"/>
    <s v="Done for 1000"/>
    <b v="1"/>
    <s v="Gearlene Joy Valenzuela"/>
  </r>
  <r>
    <n v="2497"/>
    <s v="F2"/>
    <x v="77"/>
    <s v="H000001900"/>
    <m/>
    <s v="O000000009"/>
    <s v="Remove"/>
    <x v="0"/>
    <x v="0"/>
    <s v="HC"/>
    <s v="Done for 1000"/>
    <b v="1"/>
    <s v="Gearlene Joy Valenzuela"/>
  </r>
  <r>
    <n v="2498"/>
    <s v="F2"/>
    <x v="77"/>
    <s v="H000001904"/>
    <m/>
    <s v="O000000009"/>
    <s v="Remove"/>
    <x v="0"/>
    <x v="0"/>
    <s v="HC"/>
    <s v="Done for 1000"/>
    <b v="1"/>
    <s v="Gearlene Joy Valenzuela"/>
  </r>
  <r>
    <n v="2499"/>
    <s v="F2"/>
    <x v="77"/>
    <s v="H000001908"/>
    <m/>
    <s v="O000000009"/>
    <s v="Remove"/>
    <x v="0"/>
    <x v="0"/>
    <s v="HC"/>
    <s v="Done for 1000"/>
    <b v="1"/>
    <s v="Gearlene Joy Valenzuela"/>
  </r>
  <r>
    <n v="2500"/>
    <s v="F2"/>
    <x v="77"/>
    <s v="H000001909"/>
    <m/>
    <s v="O000000009"/>
    <s v="Remove"/>
    <x v="0"/>
    <x v="0"/>
    <s v="HC"/>
    <s v="Done for 1000"/>
    <b v="1"/>
    <s v="Gearlene Joy Valenzuela"/>
  </r>
  <r>
    <n v="2501"/>
    <s v="F2"/>
    <x v="77"/>
    <s v="H000004486"/>
    <m/>
    <s v="O000000009"/>
    <s v="Remove"/>
    <x v="0"/>
    <x v="0"/>
    <s v="HC"/>
    <s v="Done for 1000"/>
    <b v="1"/>
    <s v="Gearlene Joy Valenzuela"/>
  </r>
  <r>
    <n v="2502"/>
    <s v="F2"/>
    <x v="77"/>
    <s v="H000004487"/>
    <m/>
    <s v="O000000009"/>
    <s v="Remove"/>
    <x v="0"/>
    <x v="0"/>
    <s v="HC"/>
    <s v="Done for 1000"/>
    <b v="1"/>
    <s v="Gearlene Joy Valenzuela"/>
  </r>
  <r>
    <n v="2503"/>
    <s v="F2"/>
    <x v="77"/>
    <s v="H000004488"/>
    <m/>
    <s v="O000000009"/>
    <s v="Remove"/>
    <x v="0"/>
    <x v="0"/>
    <s v="HC"/>
    <s v="Done for 1000"/>
    <b v="1"/>
    <s v="Gearlene Joy Valenzuela"/>
  </r>
  <r>
    <n v="2504"/>
    <s v="F2"/>
    <x v="77"/>
    <s v="H000004489"/>
    <m/>
    <s v="O000000009"/>
    <s v="Remove"/>
    <x v="0"/>
    <x v="0"/>
    <s v="HC"/>
    <s v="Done for 1000"/>
    <b v="1"/>
    <s v="Gearlene Joy Valenzuela"/>
  </r>
  <r>
    <n v="2505"/>
    <s v="F2"/>
    <x v="77"/>
    <s v="H000004490"/>
    <m/>
    <s v="O000000009"/>
    <s v="Remove"/>
    <x v="0"/>
    <x v="0"/>
    <s v="HC"/>
    <s v="Done for 1000"/>
    <b v="1"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e v="#REF!"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e v="#REF!"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e v="#REF!"/>
    <m/>
    <s v="Henry Jr Ifurung"/>
  </r>
  <r>
    <n v="3307"/>
    <s v="F2"/>
    <x v="88"/>
    <s v="H000000338"/>
    <m/>
    <s v="H000004852"/>
    <s v="Move"/>
    <x v="0"/>
    <x v="0"/>
    <s v="HC"/>
    <e v="#REF!"/>
    <m/>
    <s v="Henry Jr Ifurung"/>
  </r>
  <r>
    <n v="3308"/>
    <s v="F2"/>
    <x v="88"/>
    <s v="H000001105"/>
    <m/>
    <s v="O000000009"/>
    <s v="Remove"/>
    <x v="0"/>
    <x v="0"/>
    <s v="HC"/>
    <e v="#REF!"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1"/>
    <x v="3"/>
    <e v="#N/A"/>
    <s v="Processing"/>
    <m/>
    <s v="Marcin Kuskowski"/>
  </r>
  <r>
    <n v="3345"/>
    <s v="F2"/>
    <x v="104"/>
    <s v="G000001030"/>
    <s v="LH Gebaude LS Warehouse DA"/>
    <m/>
    <s v="Rename"/>
    <x v="1"/>
    <x v="3"/>
    <e v="#N/A"/>
    <s v="Processing"/>
    <m/>
    <s v="Marcin Kuskowski"/>
  </r>
  <r>
    <n v="3346"/>
    <s v="F2"/>
    <x v="104"/>
    <s v="G000001031"/>
    <s v="SM-EP Gebaude Gernsheim"/>
    <m/>
    <s v="Rename"/>
    <x v="1"/>
    <x v="3"/>
    <e v="#N/A"/>
    <s v="Processing"/>
    <m/>
    <s v="Marcin Kuskowski"/>
  </r>
  <r>
    <n v="3347"/>
    <s v="F2"/>
    <x v="104"/>
    <s v="G000001032"/>
    <s v="SM-EP Freiflachen Gernsheim"/>
    <m/>
    <s v="Rename"/>
    <x v="1"/>
    <x v="3"/>
    <e v="#N/A"/>
    <s v="Processing"/>
    <m/>
    <s v="Marcin Kuskowski"/>
  </r>
  <r>
    <n v="3348"/>
    <s v="F2"/>
    <x v="104"/>
    <s v="G000001045"/>
    <s v="SM GHM Full Service Gebaude"/>
    <m/>
    <s v="Rename"/>
    <x v="1"/>
    <x v="3"/>
    <e v="#N/A"/>
    <s v="Processing"/>
    <m/>
    <s v="Marcin Kuskowski"/>
  </r>
  <r>
    <n v="3349"/>
    <s v="F2"/>
    <x v="104"/>
    <s v="G000001048"/>
    <s v="SM GHM Shell &amp; Core Gebaude"/>
    <m/>
    <s v="Rename"/>
    <x v="1"/>
    <x v="3"/>
    <e v="#N/A"/>
    <s v="Processing"/>
    <m/>
    <s v="Marcin Kuskowski"/>
  </r>
  <r>
    <n v="3350"/>
    <s v="F2"/>
    <x v="104"/>
    <s v="G000001052"/>
    <s v="SM GHM Lease Hold Gebaude"/>
    <m/>
    <s v="Rename"/>
    <x v="1"/>
    <x v="3"/>
    <e v="#N/A"/>
    <s v="Processing"/>
    <m/>
    <s v="Marcin Kuskowski"/>
  </r>
  <r>
    <n v="3351"/>
    <s v="F2"/>
    <x v="104"/>
    <s v="G000001055"/>
    <s v="SuSo Full Service Gebaude"/>
    <m/>
    <s v="Rename"/>
    <x v="1"/>
    <x v="3"/>
    <e v="#N/A"/>
    <s v="Processing"/>
    <m/>
    <s v="Marcin Kuskowski"/>
  </r>
  <r>
    <n v="3352"/>
    <s v="F2"/>
    <x v="104"/>
    <s v="G000001059"/>
    <s v="SuSo Shell &amp; Core Gebaude"/>
    <m/>
    <s v="Rename"/>
    <x v="1"/>
    <x v="3"/>
    <e v="#N/A"/>
    <s v="Processing"/>
    <m/>
    <s v="Marcin Kuskowski"/>
  </r>
  <r>
    <n v="3353"/>
    <s v="F2"/>
    <x v="104"/>
    <s v="G000001065"/>
    <s v="Lease Hold Gebaude HO"/>
    <m/>
    <s v="Rename"/>
    <x v="1"/>
    <x v="3"/>
    <e v="#N/A"/>
    <s v="Processing"/>
    <m/>
    <s v="Marcin Kuskowski"/>
  </r>
  <r>
    <n v="3354"/>
    <s v="F2"/>
    <x v="104"/>
    <s v="G000001066"/>
    <s v="Freiflachen Hohenbrunn"/>
    <m/>
    <s v="Rename"/>
    <x v="1"/>
    <x v="3"/>
    <e v="#N/A"/>
    <s v="Processing"/>
    <m/>
    <s v="Marcin Kuskowski"/>
  </r>
  <r>
    <n v="3355"/>
    <s v="F2"/>
    <x v="104"/>
    <s v="G000001068"/>
    <s v="Ruckbau Gebaude GHM"/>
    <m/>
    <s v="Rename"/>
    <x v="1"/>
    <x v="3"/>
    <e v="#N/A"/>
    <s v="Processing"/>
    <m/>
    <s v="Marcin Kuskowski"/>
  </r>
  <r>
    <n v="3356"/>
    <s v="F2"/>
    <x v="104"/>
    <s v="G000001070"/>
    <s v="SuSo Lease Hold Gebaude"/>
    <m/>
    <s v="Rename"/>
    <x v="1"/>
    <x v="3"/>
    <e v="#N/A"/>
    <s v="Processing"/>
    <m/>
    <s v="Marcin Kuskowski"/>
  </r>
  <r>
    <n v="3357"/>
    <s v="F2"/>
    <x v="104"/>
    <s v="H000000347"/>
    <s v="BL Saint Barthelemy"/>
    <m/>
    <s v="Rename"/>
    <x v="1"/>
    <x v="3"/>
    <e v="#N/A"/>
    <s v="Processing"/>
    <m/>
    <s v="Marcin Kuskowski"/>
  </r>
  <r>
    <n v="3358"/>
    <s v="F2"/>
    <x v="104"/>
    <s v="H000002691"/>
    <s v="EC - Gastos Convencion"/>
    <m/>
    <s v="Rename"/>
    <x v="1"/>
    <x v="3"/>
    <e v="#N/A"/>
    <s v="Processing"/>
    <m/>
    <s v="Marcin Kuskowski"/>
  </r>
  <r>
    <n v="3359"/>
    <s v="F2"/>
    <x v="104"/>
    <s v="H000004016"/>
    <s v="ES - Fundacion Merck Salud"/>
    <m/>
    <s v="Rename"/>
    <x v="1"/>
    <x v="3"/>
    <e v="#N/A"/>
    <s v="Processing"/>
    <m/>
    <s v="Marcin Kuskowski"/>
  </r>
  <r>
    <n v="3360"/>
    <s v="F2"/>
    <x v="104"/>
    <s v="L000006487"/>
    <s v="PS003200002083 CH70 EXP Expertentat-G"/>
    <m/>
    <s v="Rename"/>
    <x v="1"/>
    <x v="3"/>
    <e v="#N/A"/>
    <s v="Processing"/>
    <m/>
    <s v="Marcin Kuskowski"/>
  </r>
  <r>
    <n v="3361"/>
    <s v="F2"/>
    <x v="104"/>
    <s v="L000007417"/>
    <s v="PS003200000026 DE 40 Logistic Grune-G"/>
    <m/>
    <s v="Rename"/>
    <x v="1"/>
    <x v="3"/>
    <e v="#N/A"/>
    <s v="Processing"/>
    <m/>
    <s v="Marcin Kuskowski"/>
  </r>
  <r>
    <n v="3362"/>
    <s v="F2"/>
    <x v="104"/>
    <s v="L000007493"/>
    <s v="PS000400756903 QA-QC -  Emprove - N-G"/>
    <m/>
    <s v="Rename"/>
    <x v="1"/>
    <x v="3"/>
    <e v="#N/A"/>
    <s v="Processing"/>
    <m/>
    <s v="Marcin Kuskowski"/>
  </r>
  <r>
    <n v="3363"/>
    <s v="F2"/>
    <x v="104"/>
    <s v="L000012151"/>
    <s v="400762273 Start up J29 Sud NH4OH-G"/>
    <m/>
    <s v="Rename"/>
    <x v="1"/>
    <x v="3"/>
    <e v="#N/A"/>
    <s v="Processing"/>
    <m/>
    <s v="Marcin Kuskowski"/>
  </r>
  <r>
    <n v="3364"/>
    <s v="F2"/>
    <x v="104"/>
    <s v="L000012719"/>
    <s v="PS7210$$$2029C01220 PS  Sales A&amp;F W-G"/>
    <m/>
    <s v="Rename"/>
    <x v="1"/>
    <x v="3"/>
    <e v="#N/A"/>
    <s v="Processing"/>
    <m/>
    <s v="Marcin Kuskowski"/>
  </r>
  <r>
    <n v="3365"/>
    <s v="F2"/>
    <x v="104"/>
    <s v="L000012884"/>
    <s v="400762814-Start-up X20 Lomi-Trocknu-G"/>
    <m/>
    <s v="Rename"/>
    <x v="1"/>
    <x v="3"/>
    <e v="#N/A"/>
    <s v="Processing"/>
    <m/>
    <s v="Marcin Kuskowski"/>
  </r>
  <r>
    <n v="3366"/>
    <s v="F2"/>
    <x v="105"/>
    <s v="G000001123"/>
    <s v="EF-DS-DE EF Data &amp; AI Organization"/>
    <s v="G000001118"/>
    <s v="Rename/Move"/>
    <x v="1"/>
    <x v="3"/>
    <s v="LS"/>
    <s v="Processing"/>
    <m/>
    <s v="Jay-R Lizardo"/>
  </r>
  <r>
    <n v="3367"/>
    <s v="F2"/>
    <x v="105"/>
    <s v="H000005506"/>
    <m/>
    <s v="H000004177"/>
    <s v="Move"/>
    <x v="1"/>
    <x v="3"/>
    <s v="LS"/>
    <s v="Processing"/>
    <m/>
    <s v="Jay-R Lizardo"/>
  </r>
  <r>
    <n v="3368"/>
    <s v="F2"/>
    <x v="105"/>
    <s v="H000005507"/>
    <m/>
    <s v="H000004177"/>
    <s v="Move"/>
    <x v="1"/>
    <x v="3"/>
    <s v="LS"/>
    <s v="Processing"/>
    <m/>
    <s v="Jay-R Lizardo"/>
  </r>
  <r>
    <n v="3369"/>
    <s v="F2"/>
    <x v="105"/>
    <s v="G000001677"/>
    <m/>
    <s v="O000000009"/>
    <s v="Remove"/>
    <x v="1"/>
    <x v="3"/>
    <s v="LS"/>
    <s v="Processing"/>
    <m/>
    <s v="Jay-R Lizardo"/>
  </r>
  <r>
    <n v="3370"/>
    <s v="F2"/>
    <x v="106"/>
    <s v="L000013970"/>
    <m/>
    <m/>
    <s v="Remove"/>
    <x v="0"/>
    <x v="2"/>
    <s v="LS"/>
    <s v="Rejected"/>
    <m/>
    <s v="Kalyani Raju"/>
  </r>
  <r>
    <n v="3371"/>
    <s v="F2"/>
    <x v="106"/>
    <s v="L000008335"/>
    <m/>
    <m/>
    <s v="Remove"/>
    <x v="0"/>
    <x v="2"/>
    <s v="LS"/>
    <s v="Rejected"/>
    <m/>
    <s v="Kalyani Raju"/>
  </r>
  <r>
    <n v="3372"/>
    <s v="F2"/>
    <x v="106"/>
    <s v="L000005092"/>
    <m/>
    <m/>
    <s v="Remove"/>
    <x v="0"/>
    <x v="2"/>
    <s v="LS"/>
    <s v="Rejected"/>
    <m/>
    <s v="Kalyani Raju"/>
  </r>
  <r>
    <n v="3373"/>
    <s v="F2"/>
    <x v="106"/>
    <s v="L000012791"/>
    <m/>
    <m/>
    <s v="Remove"/>
    <x v="0"/>
    <x v="2"/>
    <s v="LS"/>
    <s v="Rejected"/>
    <m/>
    <s v="Kalyani Raju"/>
  </r>
  <r>
    <n v="3374"/>
    <s v="F2"/>
    <x v="106"/>
    <s v="L000008336"/>
    <m/>
    <m/>
    <s v="Remove"/>
    <x v="0"/>
    <x v="2"/>
    <s v="LS"/>
    <s v="Rejected"/>
    <m/>
    <s v="Kalyani Raju"/>
  </r>
  <r>
    <n v="3375"/>
    <s v="F2"/>
    <x v="106"/>
    <s v="L000011868 "/>
    <m/>
    <m/>
    <s v="Remove"/>
    <x v="0"/>
    <x v="2"/>
    <s v="LS"/>
    <s v="Rejected"/>
    <m/>
    <s v="Kalyani Raju"/>
  </r>
  <r>
    <n v="3376"/>
    <s v="F2"/>
    <x v="106"/>
    <s v="L000008349"/>
    <m/>
    <m/>
    <s v="Remove"/>
    <x v="0"/>
    <x v="2"/>
    <s v="LS"/>
    <s v="Rejected"/>
    <m/>
    <s v="Kalyani Raju"/>
  </r>
  <r>
    <n v="3377"/>
    <s v="F2"/>
    <x v="106"/>
    <s v="L000013973 "/>
    <m/>
    <m/>
    <s v="Remove"/>
    <x v="0"/>
    <x v="2"/>
    <s v="LS"/>
    <s v="Rejected"/>
    <m/>
    <s v="Kalyani Raju"/>
  </r>
  <r>
    <n v="3378"/>
    <s v="F2"/>
    <x v="106"/>
    <s v="L000013974 "/>
    <m/>
    <m/>
    <s v="Remove"/>
    <x v="0"/>
    <x v="2"/>
    <s v="LS"/>
    <s v="Rejected"/>
    <m/>
    <s v="Kalyani Raju"/>
  </r>
  <r>
    <n v="3379"/>
    <s v="F2"/>
    <x v="106"/>
    <s v="L000008320"/>
    <m/>
    <m/>
    <s v="Remove"/>
    <x v="0"/>
    <x v="2"/>
    <s v="LS"/>
    <s v="Rejected"/>
    <m/>
    <s v="Kalyani Raju"/>
  </r>
  <r>
    <n v="3380"/>
    <s v="F2"/>
    <x v="106"/>
    <s v="L000008323"/>
    <m/>
    <m/>
    <s v="Remove"/>
    <x v="0"/>
    <x v="2"/>
    <s v="LS"/>
    <s v="Rejected"/>
    <m/>
    <s v="Kalyani Raju"/>
  </r>
  <r>
    <n v="3381"/>
    <s v="F2"/>
    <x v="106"/>
    <s v="L000008345"/>
    <s v="DE Commercial Excellence &amp; Tech Servc"/>
    <m/>
    <s v="Rename"/>
    <x v="0"/>
    <x v="2"/>
    <s v="LS"/>
    <s v="Rejected"/>
    <m/>
    <s v="Kalyani Raju"/>
  </r>
  <r>
    <n v="3382"/>
    <s v="F2"/>
    <x v="106"/>
    <s v="L000008331"/>
    <s v="DF Customer Success &amp; Digital Ecosystem"/>
    <m/>
    <s v="Rename"/>
    <x v="0"/>
    <x v="2"/>
    <s v="LS"/>
    <s v="Rejected"/>
    <m/>
    <s v="Kalyani Raju"/>
  </r>
  <r>
    <n v="3383"/>
    <s v="F2"/>
    <x v="106"/>
    <s v="L000013971"/>
    <s v="DA Regional Territories"/>
    <m/>
    <s v="Rename"/>
    <x v="0"/>
    <x v="2"/>
    <s v="LS"/>
    <s v="Rejected"/>
    <m/>
    <s v="Kalyani Raju"/>
  </r>
  <r>
    <n v="3384"/>
    <s v="F2"/>
    <x v="106"/>
    <s v="L000013972"/>
    <s v="DB Major Accounts"/>
    <m/>
    <s v="Rename"/>
    <x v="0"/>
    <x v="2"/>
    <s v="LS"/>
    <s v="Rejected"/>
    <m/>
    <s v="Kalyani Raju"/>
  </r>
  <r>
    <n v="3385"/>
    <s v="F2"/>
    <x v="106"/>
    <s v="L000013975"/>
    <s v="DG Business Planning &amp; Implementation"/>
    <m/>
    <s v="Rename"/>
    <x v="0"/>
    <x v="2"/>
    <s v="LS"/>
    <s v="Rejected"/>
    <m/>
    <s v="Kalyani Raju"/>
  </r>
  <r>
    <n v="3386"/>
    <s v="F2"/>
    <x v="106"/>
    <s v="L000013976 "/>
    <s v="DD Sales Development"/>
    <m/>
    <s v="Rename"/>
    <x v="0"/>
    <x v="2"/>
    <s v="LS"/>
    <s v="Rejected"/>
    <m/>
    <s v="Kalyani Raju"/>
  </r>
  <r>
    <n v="3387"/>
    <s v="F2"/>
    <x v="107"/>
    <s v="L000013970"/>
    <m/>
    <m/>
    <s v="Remove"/>
    <x v="0"/>
    <x v="2"/>
    <s v="LS"/>
    <s v="Rejected"/>
    <m/>
    <s v="Kalyani Raju"/>
  </r>
  <r>
    <n v="3388"/>
    <s v="F2"/>
    <x v="107"/>
    <s v="L000008335"/>
    <m/>
    <m/>
    <s v="Remove"/>
    <x v="0"/>
    <x v="2"/>
    <s v="LS"/>
    <s v="Rejected"/>
    <m/>
    <s v="Kalyani Raju"/>
  </r>
  <r>
    <n v="3389"/>
    <s v="F2"/>
    <x v="107"/>
    <s v="L000005092"/>
    <m/>
    <m/>
    <s v="Remove"/>
    <x v="0"/>
    <x v="2"/>
    <s v="LS"/>
    <s v="Rejected"/>
    <m/>
    <s v="Kalyani Raju"/>
  </r>
  <r>
    <n v="3390"/>
    <s v="F2"/>
    <x v="107"/>
    <s v="L000012791"/>
    <m/>
    <m/>
    <s v="Remove"/>
    <x v="0"/>
    <x v="2"/>
    <s v="LS"/>
    <s v="Rejected"/>
    <m/>
    <s v="Kalyani Raju"/>
  </r>
  <r>
    <n v="3391"/>
    <s v="F2"/>
    <x v="107"/>
    <s v="L000008336"/>
    <m/>
    <m/>
    <s v="Remove"/>
    <x v="0"/>
    <x v="2"/>
    <s v="LS"/>
    <s v="Rejected"/>
    <m/>
    <s v="Kalyani Raju"/>
  </r>
  <r>
    <n v="3392"/>
    <s v="F2"/>
    <x v="107"/>
    <s v="L000011868 "/>
    <m/>
    <m/>
    <s v="Remove"/>
    <x v="0"/>
    <x v="2"/>
    <s v="LS"/>
    <s v="Rejected"/>
    <m/>
    <s v="Kalyani Raju"/>
  </r>
  <r>
    <n v="3393"/>
    <s v="F2"/>
    <x v="107"/>
    <s v="L000008349"/>
    <m/>
    <m/>
    <s v="Remove"/>
    <x v="0"/>
    <x v="2"/>
    <s v="LS"/>
    <s v="Rejected"/>
    <m/>
    <s v="Kalyani Raju"/>
  </r>
  <r>
    <n v="3394"/>
    <s v="F2"/>
    <x v="107"/>
    <s v="L000013973 "/>
    <m/>
    <m/>
    <s v="Remove"/>
    <x v="0"/>
    <x v="2"/>
    <s v="LS"/>
    <s v="Rejected"/>
    <m/>
    <s v="Kalyani Raju"/>
  </r>
  <r>
    <n v="3395"/>
    <s v="F2"/>
    <x v="107"/>
    <s v="L000013974 "/>
    <m/>
    <m/>
    <s v="Remove"/>
    <x v="0"/>
    <x v="2"/>
    <s v="LS"/>
    <s v="Rejected"/>
    <m/>
    <s v="Kalyani Raju"/>
  </r>
  <r>
    <n v="3396"/>
    <s v="F2"/>
    <x v="107"/>
    <s v="L000008320"/>
    <m/>
    <m/>
    <s v="Remove"/>
    <x v="0"/>
    <x v="2"/>
    <s v="LS"/>
    <s v="Rejected"/>
    <m/>
    <s v="Kalyani Raju"/>
  </r>
  <r>
    <n v="3397"/>
    <s v="F2"/>
    <x v="107"/>
    <s v="L000008323"/>
    <m/>
    <m/>
    <s v="Remove"/>
    <x v="0"/>
    <x v="2"/>
    <s v="LS"/>
    <s v="Rejected"/>
    <m/>
    <s v="Kalyani Raju"/>
  </r>
  <r>
    <n v="3398"/>
    <s v="F2"/>
    <x v="107"/>
    <s v="L000008345"/>
    <s v="DE Commercial Excellence &amp; Tech Servc"/>
    <m/>
    <s v="Rename"/>
    <x v="0"/>
    <x v="2"/>
    <s v="LS"/>
    <s v="Rejected"/>
    <m/>
    <s v="Kalyani Raju"/>
  </r>
  <r>
    <n v="3399"/>
    <s v="F2"/>
    <x v="107"/>
    <s v="L000008331"/>
    <s v="DF Customer Success &amp; Digital Ecosystem"/>
    <m/>
    <s v="Rename"/>
    <x v="0"/>
    <x v="2"/>
    <s v="LS"/>
    <s v="Rejected"/>
    <m/>
    <s v="Kalyani Raju"/>
  </r>
  <r>
    <n v="3400"/>
    <s v="F2"/>
    <x v="107"/>
    <s v="L000013971"/>
    <s v="DA Regional Territories"/>
    <m/>
    <s v="Rename"/>
    <x v="0"/>
    <x v="2"/>
    <s v="LS"/>
    <s v="Rejected"/>
    <m/>
    <s v="Kalyani Raju"/>
  </r>
  <r>
    <n v="3401"/>
    <s v="F2"/>
    <x v="107"/>
    <s v="L000013972"/>
    <s v="DB Major Accounts"/>
    <m/>
    <s v="Rename"/>
    <x v="0"/>
    <x v="2"/>
    <s v="LS"/>
    <s v="Rejected"/>
    <m/>
    <s v="Kalyani Raju"/>
  </r>
  <r>
    <n v="3402"/>
    <s v="F2"/>
    <x v="107"/>
    <s v="L000013975"/>
    <s v="DG Business Planning &amp; Implementation"/>
    <m/>
    <s v="Rename"/>
    <x v="0"/>
    <x v="2"/>
    <s v="LS"/>
    <s v="Rejected"/>
    <m/>
    <s v="Kalyani Raju"/>
  </r>
  <r>
    <n v="3403"/>
    <s v="F2"/>
    <x v="107"/>
    <s v="L000013976 "/>
    <s v="DD Sales Development"/>
    <m/>
    <s v="Rename"/>
    <x v="0"/>
    <x v="2"/>
    <s v="LS"/>
    <s v="Rejected"/>
    <m/>
    <s v="Kalyani Raju"/>
  </r>
  <r>
    <n v="3404"/>
    <s v="F2"/>
    <x v="108"/>
    <s v="H000005510"/>
    <s v="MERCK SWITZERLAND - VEVEY (CCH)"/>
    <s v="H000000489"/>
    <s v="New"/>
    <x v="1"/>
    <x v="3"/>
    <s v="HC"/>
    <s v="Processing"/>
    <m/>
    <s v="Anna Maria Urbano"/>
  </r>
  <r>
    <n v="3405"/>
    <s v="F2"/>
    <x v="108"/>
    <s v="H000005511"/>
    <s v="1954VV - OPERATIONS"/>
    <s v="H000005510"/>
    <s v="New"/>
    <x v="1"/>
    <x v="3"/>
    <s v="HC"/>
    <s v="Processing"/>
    <m/>
    <s v="Anna Maria Urbano"/>
  </r>
  <r>
    <n v="3406"/>
    <s v="F2"/>
    <x v="108"/>
    <s v="H000005512"/>
    <s v="1954VV - OPERATIONS SUPPORT SERVICES"/>
    <s v="H000005510"/>
    <s v="New"/>
    <x v="1"/>
    <x v="3"/>
    <s v="HC"/>
    <s v="Processing"/>
    <m/>
    <s v="Anna Maria Urbano"/>
  </r>
  <r>
    <n v="3407"/>
    <s v="F2"/>
    <x v="108"/>
    <s v="H000005513"/>
    <s v="1954VV - SITE INFRASTRUCTURE"/>
    <s v="H000005510"/>
    <s v="New"/>
    <x v="1"/>
    <x v="3"/>
    <s v="HC"/>
    <s v="Processing"/>
    <m/>
    <s v="Anna Maria Urbano"/>
  </r>
  <r>
    <n v="3408"/>
    <s v="F2"/>
    <x v="108"/>
    <s v="H000005514"/>
    <s v="1954VV - QUALITY"/>
    <s v="H000005510"/>
    <s v="New"/>
    <x v="1"/>
    <x v="3"/>
    <s v="HC"/>
    <s v="Processing"/>
    <m/>
    <s v="Anna Maria Urbano"/>
  </r>
  <r>
    <n v="3409"/>
    <s v="F2"/>
    <x v="108"/>
    <s v="H000005515"/>
    <s v="1954VV - OTHERS"/>
    <s v="H000005510"/>
    <s v="New"/>
    <x v="1"/>
    <x v="3"/>
    <s v="HC"/>
    <s v="Processing"/>
    <m/>
    <s v="Anna Maria Urbano"/>
  </r>
  <r>
    <n v="3410"/>
    <s v="F2"/>
    <x v="108"/>
    <s v="H000005516"/>
    <s v="1954VV - MANUFACTURING"/>
    <s v="H000005511"/>
    <s v="New"/>
    <x v="1"/>
    <x v="3"/>
    <s v="HC"/>
    <s v="Processing"/>
    <m/>
    <s v="Anna Maria Urbano"/>
  </r>
  <r>
    <n v="3411"/>
    <s v="F2"/>
    <x v="108"/>
    <s v="H000005517"/>
    <s v="1954VV - MAINTENANCE AND ENGINEERING"/>
    <s v="H000005512"/>
    <s v="New"/>
    <x v="1"/>
    <x v="3"/>
    <s v="HC"/>
    <s v="Processing"/>
    <m/>
    <s v="Anna Maria Urbano"/>
  </r>
  <r>
    <n v="3412"/>
    <s v="F2"/>
    <x v="108"/>
    <s v="H000005518"/>
    <s v="1954VV - SUPPLY AND PLANNING"/>
    <s v="H000005512"/>
    <s v="New"/>
    <x v="1"/>
    <x v="3"/>
    <s v="HC"/>
    <s v="Processing"/>
    <m/>
    <s v="Anna Maria Urbano"/>
  </r>
  <r>
    <n v="3413"/>
    <s v="F2"/>
    <x v="108"/>
    <s v="H000005519"/>
    <s v="1954VV - SITE SERVICES"/>
    <s v="H000005512"/>
    <s v="New"/>
    <x v="1"/>
    <x v="3"/>
    <s v="HC"/>
    <s v="Processing"/>
    <m/>
    <s v="Anna Maria Urbano"/>
  </r>
  <r>
    <n v="3414"/>
    <s v="F2"/>
    <x v="108"/>
    <s v="H000005520"/>
    <s v="1954VV - MANUFACTURING FACILITIES"/>
    <s v="H000005513"/>
    <s v="New"/>
    <x v="1"/>
    <x v="3"/>
    <s v="HC"/>
    <s v="Processing"/>
    <m/>
    <s v="Anna Maria Urbano"/>
  </r>
  <r>
    <n v="3415"/>
    <s v="F2"/>
    <x v="108"/>
    <s v="H000005521"/>
    <s v="1954VV - OTHER FACILITIES"/>
    <s v="H000005513"/>
    <s v="New"/>
    <x v="1"/>
    <x v="3"/>
    <s v="HC"/>
    <s v="Processing"/>
    <m/>
    <s v="Anna Maria Urbano"/>
  </r>
  <r>
    <n v="3416"/>
    <s v="F2"/>
    <x v="108"/>
    <s v="H000005522"/>
    <s v="1954VV - QA"/>
    <s v="H000005514"/>
    <s v="New"/>
    <x v="1"/>
    <x v="3"/>
    <s v="HC"/>
    <s v="Processing"/>
    <m/>
    <s v="Anna Maria Urbano"/>
  </r>
  <r>
    <n v="3417"/>
    <s v="F2"/>
    <x v="108"/>
    <s v="H000005523"/>
    <s v="1954VV - QC"/>
    <s v="H000005514"/>
    <s v="New"/>
    <x v="1"/>
    <x v="3"/>
    <s v="HC"/>
    <s v="Processing"/>
    <m/>
    <s v="Anna Maria Urbano"/>
  </r>
  <r>
    <n v="3418"/>
    <s v="F2"/>
    <x v="108"/>
    <s v="H000005524"/>
    <s v="1954VV - DS"/>
    <s v="H000005516"/>
    <s v="New"/>
    <x v="1"/>
    <x v="3"/>
    <s v="HC"/>
    <s v="Processing"/>
    <m/>
    <s v="Anna Maria Urbano"/>
  </r>
  <r>
    <n v="3419"/>
    <s v="F2"/>
    <x v="108"/>
    <s v="H000005525"/>
    <s v="1954VV - LABOR"/>
    <s v="H000005524"/>
    <s v="New"/>
    <x v="1"/>
    <x v="3"/>
    <s v="HC"/>
    <s v="Processing"/>
    <m/>
    <s v="Anna Maria Urbano"/>
  </r>
  <r>
    <n v="3420"/>
    <s v="F2"/>
    <x v="108"/>
    <s v="H000005526"/>
    <s v="1954VV - EQUIPMENTS"/>
    <s v="H000005524"/>
    <s v="New"/>
    <x v="1"/>
    <x v="3"/>
    <s v="HC"/>
    <s v="Processing"/>
    <m/>
    <s v="Anna Maria Urbano"/>
  </r>
  <r>
    <n v="3421"/>
    <s v="F2"/>
    <x v="108"/>
    <s v="H000005527"/>
    <s v="1954VV - INDIRECT SERVICES"/>
    <s v="H000005524"/>
    <s v="New"/>
    <x v="1"/>
    <x v="3"/>
    <s v="HC"/>
    <s v="Processing"/>
    <m/>
    <s v="Anna Maria Urbano"/>
  </r>
  <r>
    <n v="3422"/>
    <s v="F2"/>
    <x v="108"/>
    <s v="H000005528"/>
    <s v="1954VV - MCC"/>
    <s v="H000005524"/>
    <s v="New"/>
    <x v="1"/>
    <x v="3"/>
    <s v="HC"/>
    <s v="Processing"/>
    <m/>
    <s v="Anna Maria Urbano"/>
  </r>
  <r>
    <n v="3423"/>
    <s v="F2"/>
    <x v="108"/>
    <s v="H000005529"/>
    <s v="MERCK SWITZERLAND - VEVEY (BEFORE CCH)"/>
    <s v="H000000489"/>
    <s v="New"/>
    <x v="1"/>
    <x v="3"/>
    <s v="HC"/>
    <s v="Processing"/>
    <m/>
    <s v="Anna Maria Urbano"/>
  </r>
  <r>
    <n v="3424"/>
    <s v="F2"/>
    <x v="108"/>
    <s v="H000005530"/>
    <s v="MERCK SWITZERLAND - AUBONNE (CCH)"/>
    <s v="H000000480"/>
    <s v="New"/>
    <x v="1"/>
    <x v="3"/>
    <s v="HC"/>
    <s v="Processing"/>
    <m/>
    <s v="Anna Maria Urbano"/>
  </r>
  <r>
    <n v="3425"/>
    <s v="F2"/>
    <x v="108"/>
    <s v="H000005531"/>
    <s v="1954AU - OPERATIONS"/>
    <s v="H000005530"/>
    <s v="New"/>
    <x v="1"/>
    <x v="3"/>
    <s v="HC"/>
    <s v="Processing"/>
    <m/>
    <s v="Anna Maria Urbano"/>
  </r>
  <r>
    <n v="3426"/>
    <s v="F2"/>
    <x v="108"/>
    <s v="H000005532"/>
    <s v="1954AU - OPERATIONS SUPPORT SERVICES"/>
    <s v="H000005530"/>
    <s v="New"/>
    <x v="1"/>
    <x v="3"/>
    <s v="HC"/>
    <s v="Processing"/>
    <m/>
    <s v="Anna Maria Urbano"/>
  </r>
  <r>
    <n v="3427"/>
    <s v="F2"/>
    <x v="108"/>
    <s v="H000005533"/>
    <s v="1954AU - SITE INFRASTRUCTURE"/>
    <s v="H000005530"/>
    <s v="New"/>
    <x v="1"/>
    <x v="3"/>
    <s v="HC"/>
    <s v="Processing"/>
    <m/>
    <s v="Anna Maria Urbano"/>
  </r>
  <r>
    <n v="3428"/>
    <s v="F2"/>
    <x v="108"/>
    <s v="H000005534"/>
    <s v="1954AU - QUALITY"/>
    <s v="H000005530"/>
    <s v="New"/>
    <x v="1"/>
    <x v="3"/>
    <s v="HC"/>
    <s v="Processing"/>
    <m/>
    <s v="Anna Maria Urbano"/>
  </r>
  <r>
    <n v="3429"/>
    <s v="F2"/>
    <x v="108"/>
    <s v="H000005535"/>
    <s v="1954AU - OTHERS"/>
    <s v="H000005530"/>
    <s v="New"/>
    <x v="1"/>
    <x v="3"/>
    <s v="HC"/>
    <s v="Processing"/>
    <m/>
    <s v="Anna Maria Urbano"/>
  </r>
  <r>
    <n v="3430"/>
    <s v="F2"/>
    <x v="108"/>
    <s v="H000005536"/>
    <s v="1954AU - MANUFACTURING"/>
    <s v="H000005531"/>
    <s v="New"/>
    <x v="1"/>
    <x v="3"/>
    <s v="HC"/>
    <s v="Processing"/>
    <m/>
    <s v="Anna Maria Urbano"/>
  </r>
  <r>
    <n v="3431"/>
    <s v="F2"/>
    <x v="108"/>
    <s v="H000005537"/>
    <s v="1954AU - PACKAGING"/>
    <s v="H000005531"/>
    <s v="New"/>
    <x v="1"/>
    <x v="3"/>
    <s v="HC"/>
    <s v="Processing"/>
    <m/>
    <s v="Anna Maria Urbano"/>
  </r>
  <r>
    <n v="3432"/>
    <s v="F2"/>
    <x v="108"/>
    <s v="H000005538"/>
    <s v="1954AU - MAINTENANCE AND ENGINEERING"/>
    <s v="H000005532"/>
    <s v="New"/>
    <x v="1"/>
    <x v="3"/>
    <s v="HC"/>
    <s v="Processing"/>
    <m/>
    <s v="Anna Maria Urbano"/>
  </r>
  <r>
    <n v="3433"/>
    <s v="F2"/>
    <x v="108"/>
    <s v="H000005539"/>
    <s v="1954AU - SUPPLY AND PLANNING"/>
    <s v="H000005532"/>
    <s v="New"/>
    <x v="1"/>
    <x v="3"/>
    <s v="HC"/>
    <s v="Processing"/>
    <m/>
    <s v="Anna Maria Urbano"/>
  </r>
  <r>
    <n v="3434"/>
    <s v="F2"/>
    <x v="108"/>
    <s v="H000005540"/>
    <s v="1954AU - SITE SERVICES"/>
    <s v="H000005532"/>
    <s v="New"/>
    <x v="1"/>
    <x v="3"/>
    <s v="HC"/>
    <s v="Processing"/>
    <m/>
    <s v="Anna Maria Urbano"/>
  </r>
  <r>
    <n v="3435"/>
    <s v="F2"/>
    <x v="108"/>
    <s v="H000005541"/>
    <s v="1954AU - SHARED OPERATIONS FACILITIES"/>
    <s v="H000005533"/>
    <s v="New"/>
    <x v="1"/>
    <x v="3"/>
    <s v="HC"/>
    <s v="Processing"/>
    <m/>
    <s v="Anna Maria Urbano"/>
  </r>
  <r>
    <n v="3436"/>
    <s v="F2"/>
    <x v="108"/>
    <s v="H000005542"/>
    <s v="1954AU - MANUFACTURING FACILITIES"/>
    <s v="H000005533"/>
    <s v="New"/>
    <x v="1"/>
    <x v="3"/>
    <s v="HC"/>
    <s v="Processing"/>
    <m/>
    <s v="Anna Maria Urbano"/>
  </r>
  <r>
    <n v="3437"/>
    <s v="F2"/>
    <x v="108"/>
    <s v="H000005543"/>
    <s v="1954AU - OTHER FACILITIES"/>
    <s v="H000005533"/>
    <s v="New"/>
    <x v="1"/>
    <x v="3"/>
    <s v="HC"/>
    <s v="Processing"/>
    <m/>
    <s v="Anna Maria Urbano"/>
  </r>
  <r>
    <n v="3438"/>
    <s v="F2"/>
    <x v="108"/>
    <s v="H000005544"/>
    <s v="1954AU - QA"/>
    <s v="H000005534"/>
    <s v="New"/>
    <x v="1"/>
    <x v="3"/>
    <s v="HC"/>
    <s v="Processing"/>
    <m/>
    <s v="Anna Maria Urbano"/>
  </r>
  <r>
    <n v="3439"/>
    <s v="F2"/>
    <x v="108"/>
    <s v="H000005545"/>
    <s v="1954AU - QC"/>
    <s v="H000005534"/>
    <s v="New"/>
    <x v="1"/>
    <x v="3"/>
    <s v="HC"/>
    <s v="Processing"/>
    <m/>
    <s v="Anna Maria Urbano"/>
  </r>
  <r>
    <n v="3440"/>
    <s v="F2"/>
    <x v="108"/>
    <s v="H000005546"/>
    <s v="1954AU - DS"/>
    <s v="H000005536"/>
    <s v="New"/>
    <x v="1"/>
    <x v="3"/>
    <s v="HC"/>
    <s v="Processing"/>
    <m/>
    <s v="Anna Maria Urbano"/>
  </r>
  <r>
    <n v="3441"/>
    <s v="F2"/>
    <x v="108"/>
    <s v="H000005547"/>
    <s v="1954AU - DP"/>
    <s v="H000005536"/>
    <s v="New"/>
    <x v="1"/>
    <x v="3"/>
    <s v="HC"/>
    <s v="Processing"/>
    <m/>
    <s v="Anna Maria Urbano"/>
  </r>
  <r>
    <n v="3442"/>
    <s v="F2"/>
    <x v="108"/>
    <s v="H000005548"/>
    <s v="1954AU - PKG BIOTECH"/>
    <s v="H000005537"/>
    <s v="New"/>
    <x v="1"/>
    <x v="3"/>
    <s v="HC"/>
    <s v="Processing"/>
    <m/>
    <s v="Anna Maria Urbano"/>
  </r>
  <r>
    <n v="3443"/>
    <s v="F2"/>
    <x v="108"/>
    <s v="H000005549"/>
    <s v="1954AU - EQUIPMENTS"/>
    <s v="H000005546"/>
    <s v="New"/>
    <x v="1"/>
    <x v="3"/>
    <s v="HC"/>
    <s v="Processing"/>
    <m/>
    <s v="Anna Maria Urbano"/>
  </r>
  <r>
    <n v="3444"/>
    <s v="F2"/>
    <x v="108"/>
    <s v="H000005550"/>
    <s v="1954AU - LABOR"/>
    <s v="H000005546"/>
    <s v="New"/>
    <x v="1"/>
    <x v="3"/>
    <s v="HC"/>
    <s v="Processing"/>
    <m/>
    <s v="Anna Maria Urbano"/>
  </r>
  <r>
    <n v="3445"/>
    <s v="F2"/>
    <x v="108"/>
    <s v="H000005551"/>
    <s v="1954AU - INDIRECT SERVICES"/>
    <s v="H000005546"/>
    <s v="New"/>
    <x v="1"/>
    <x v="3"/>
    <s v="HC"/>
    <s v="Processing"/>
    <m/>
    <s v="Anna Maria Urbano"/>
  </r>
  <r>
    <n v="3446"/>
    <s v="F2"/>
    <x v="108"/>
    <s v="H000005552"/>
    <s v="1954AU - MCC"/>
    <s v="H000005546"/>
    <s v="New"/>
    <x v="1"/>
    <x v="3"/>
    <s v="HC"/>
    <s v="Processing"/>
    <m/>
    <s v="Anna Maria Urbano"/>
  </r>
  <r>
    <n v="3447"/>
    <s v="F2"/>
    <x v="108"/>
    <s v="H000005553"/>
    <s v="1954AU - EQUIPMENTS"/>
    <s v="H000005547"/>
    <s v="New"/>
    <x v="1"/>
    <x v="3"/>
    <s v="HC"/>
    <s v="Processing"/>
    <m/>
    <s v="Anna Maria Urbano"/>
  </r>
  <r>
    <n v="3448"/>
    <s v="F2"/>
    <x v="108"/>
    <s v="H000005554"/>
    <s v="1954AU - LABOR"/>
    <s v="H000005547"/>
    <s v="New"/>
    <x v="1"/>
    <x v="3"/>
    <s v="HC"/>
    <s v="Processing"/>
    <m/>
    <s v="Anna Maria Urbano"/>
  </r>
  <r>
    <n v="3449"/>
    <s v="F2"/>
    <x v="108"/>
    <s v="H000005555"/>
    <s v="1954AU - INDIRECT SERVICES"/>
    <s v="H000005547"/>
    <s v="New"/>
    <x v="1"/>
    <x v="3"/>
    <s v="HC"/>
    <s v="Processing"/>
    <m/>
    <s v="Anna Maria Urbano"/>
  </r>
  <r>
    <n v="3450"/>
    <s v="F2"/>
    <x v="108"/>
    <s v="H000005556"/>
    <s v="1954AU - MCC"/>
    <s v="H000005547"/>
    <s v="New"/>
    <x v="1"/>
    <x v="3"/>
    <s v="HC"/>
    <s v="Processing"/>
    <m/>
    <s v="Anna Maria Urbano"/>
  </r>
  <r>
    <n v="3451"/>
    <s v="F2"/>
    <x v="108"/>
    <s v="H000005557"/>
    <s v="1954AU - EQUIPMENTS"/>
    <s v="H000005548"/>
    <s v="New"/>
    <x v="1"/>
    <x v="3"/>
    <s v="HC"/>
    <s v="Processing"/>
    <m/>
    <s v="Anna Maria Urbano"/>
  </r>
  <r>
    <n v="3452"/>
    <s v="F2"/>
    <x v="108"/>
    <s v="H000005558"/>
    <s v="1954AU - LABOR"/>
    <s v="H000005548"/>
    <s v="New"/>
    <x v="1"/>
    <x v="3"/>
    <s v="HC"/>
    <s v="Processing"/>
    <m/>
    <s v="Anna Maria Urbano"/>
  </r>
  <r>
    <n v="3453"/>
    <s v="F2"/>
    <x v="108"/>
    <s v="H000005559"/>
    <s v="1954AU - INDIRECT SERVICES"/>
    <s v="H000005548"/>
    <s v="New"/>
    <x v="1"/>
    <x v="3"/>
    <s v="HC"/>
    <s v="Processing"/>
    <m/>
    <s v="Anna Maria Urbano"/>
  </r>
  <r>
    <n v="3454"/>
    <s v="F2"/>
    <x v="108"/>
    <s v="H000005560"/>
    <s v="1954AU - MCC"/>
    <s v="H000005548"/>
    <s v="New"/>
    <x v="1"/>
    <x v="3"/>
    <s v="HC"/>
    <s v="Processing"/>
    <m/>
    <s v="Anna Maria Urbano"/>
  </r>
  <r>
    <n v="3455"/>
    <s v="F2"/>
    <x v="108"/>
    <s v="H000005561"/>
    <s v="MERCK SWITZERLAND - AUBONNE (BEFORE CCH)"/>
    <s v="H000000480"/>
    <s v="New"/>
    <x v="1"/>
    <x v="3"/>
    <s v="HC"/>
    <s v="Processing"/>
    <m/>
    <s v="Anna Maria Urbano"/>
  </r>
  <r>
    <n v="3456"/>
    <s v="F2"/>
    <x v="108"/>
    <s v="H000005562"/>
    <s v="MERCK CHINA - NANTONG (CCH)"/>
    <s v="H000000571"/>
    <s v="New"/>
    <x v="1"/>
    <x v="3"/>
    <s v="HC"/>
    <s v="Processing"/>
    <m/>
    <s v="Anna Maria Urbano"/>
  </r>
  <r>
    <n v="3457"/>
    <s v="F2"/>
    <x v="108"/>
    <s v="H000005563"/>
    <s v="1132NA - OPERATIONS"/>
    <s v="H000005562"/>
    <s v="New"/>
    <x v="1"/>
    <x v="3"/>
    <s v="HC"/>
    <s v="Processing"/>
    <m/>
    <s v="Anna Maria Urbano"/>
  </r>
  <r>
    <n v="3458"/>
    <s v="F2"/>
    <x v="108"/>
    <s v="H000005564"/>
    <s v="1132NA - OPERATIONS SUPPORT SERVICES"/>
    <s v="H000005562"/>
    <s v="New"/>
    <x v="1"/>
    <x v="3"/>
    <s v="HC"/>
    <s v="Processing"/>
    <m/>
    <s v="Anna Maria Urbano"/>
  </r>
  <r>
    <n v="3459"/>
    <s v="F2"/>
    <x v="108"/>
    <s v="H000005565"/>
    <s v="1132NA - SITE INFRASTRUCTURE"/>
    <s v="H000005562"/>
    <s v="New"/>
    <x v="1"/>
    <x v="3"/>
    <s v="HC"/>
    <s v="Processing"/>
    <m/>
    <s v="Anna Maria Urbano"/>
  </r>
  <r>
    <n v="3460"/>
    <s v="F2"/>
    <x v="108"/>
    <s v="H000005566"/>
    <s v="1132NA - QUALITY"/>
    <s v="H000005562"/>
    <s v="New"/>
    <x v="1"/>
    <x v="3"/>
    <s v="HC"/>
    <s v="Processing"/>
    <m/>
    <s v="Anna Maria Urbano"/>
  </r>
  <r>
    <n v="3461"/>
    <s v="F2"/>
    <x v="108"/>
    <s v="H000005567"/>
    <s v="1132NA - OTHERS"/>
    <s v="H000005562"/>
    <s v="New"/>
    <x v="1"/>
    <x v="3"/>
    <s v="HC"/>
    <s v="Processing"/>
    <m/>
    <s v="Anna Maria Urbano"/>
  </r>
  <r>
    <n v="3462"/>
    <s v="F2"/>
    <x v="108"/>
    <s v="H000005568"/>
    <s v="1132NA - MANUFACTURING"/>
    <s v="H000005563"/>
    <s v="New"/>
    <x v="1"/>
    <x v="3"/>
    <s v="HC"/>
    <s v="Processing"/>
    <m/>
    <s v="Anna Maria Urbano"/>
  </r>
  <r>
    <n v="3463"/>
    <s v="F2"/>
    <x v="108"/>
    <s v="H000005569"/>
    <s v="1132NA - PACKAGING"/>
    <s v="H000005563"/>
    <s v="New"/>
    <x v="1"/>
    <x v="3"/>
    <s v="HC"/>
    <s v="Processing"/>
    <m/>
    <s v="Anna Maria Urbano"/>
  </r>
  <r>
    <n v="3464"/>
    <s v="F2"/>
    <x v="108"/>
    <s v="H000005570"/>
    <s v="1132NA - MAINTENANCE AND ENGINEERING"/>
    <s v="H000005564"/>
    <s v="New"/>
    <x v="1"/>
    <x v="3"/>
    <s v="HC"/>
    <s v="Processing"/>
    <m/>
    <s v="Anna Maria Urbano"/>
  </r>
  <r>
    <n v="3465"/>
    <s v="F2"/>
    <x v="108"/>
    <s v="H000005571"/>
    <s v="1132NA - SUPPLY AND PLANNING"/>
    <s v="H000005564"/>
    <s v="New"/>
    <x v="1"/>
    <x v="3"/>
    <s v="HC"/>
    <s v="Processing"/>
    <m/>
    <s v="Anna Maria Urbano"/>
  </r>
  <r>
    <n v="3466"/>
    <s v="F2"/>
    <x v="108"/>
    <s v="H000005572"/>
    <s v="1132NA - SITE SERVICES"/>
    <s v="H000005564"/>
    <s v="New"/>
    <x v="1"/>
    <x v="3"/>
    <s v="HC"/>
    <s v="Processing"/>
    <m/>
    <s v="Anna Maria Urbano"/>
  </r>
  <r>
    <n v="3467"/>
    <s v="F2"/>
    <x v="108"/>
    <s v="H000005573"/>
    <s v="1132NA - MANUFACTURING FACILITIES"/>
    <s v="H000005565"/>
    <s v="New"/>
    <x v="1"/>
    <x v="3"/>
    <s v="HC"/>
    <s v="Processing"/>
    <m/>
    <s v="Anna Maria Urbano"/>
  </r>
  <r>
    <n v="3468"/>
    <s v="F2"/>
    <x v="108"/>
    <s v="H000005574"/>
    <s v="1132NA - PACKAGING FACILITIES"/>
    <s v="H000005565"/>
    <s v="New"/>
    <x v="1"/>
    <x v="3"/>
    <s v="HC"/>
    <s v="Processing"/>
    <m/>
    <s v="Anna Maria Urbano"/>
  </r>
  <r>
    <n v="3469"/>
    <s v="F2"/>
    <x v="108"/>
    <s v="H000005575"/>
    <s v="1132NA - SHARED OPERATIONS FACILITIES"/>
    <s v="H000005565"/>
    <s v="New"/>
    <x v="1"/>
    <x v="3"/>
    <s v="HC"/>
    <s v="Processing"/>
    <m/>
    <s v="Anna Maria Urbano"/>
  </r>
  <r>
    <n v="3470"/>
    <s v="F2"/>
    <x v="108"/>
    <s v="H000005576"/>
    <s v="1132NA - OTHER FACILITIES"/>
    <s v="H000005565"/>
    <s v="New"/>
    <x v="1"/>
    <x v="3"/>
    <s v="HC"/>
    <s v="Processing"/>
    <m/>
    <s v="Anna Maria Urbano"/>
  </r>
  <r>
    <n v="3471"/>
    <s v="F2"/>
    <x v="108"/>
    <s v="H000005577"/>
    <s v="1132NA - QA"/>
    <s v="H000005566"/>
    <s v="New"/>
    <x v="1"/>
    <x v="3"/>
    <s v="HC"/>
    <s v="Processing"/>
    <m/>
    <s v="Anna Maria Urbano"/>
  </r>
  <r>
    <n v="3472"/>
    <s v="F2"/>
    <x v="108"/>
    <s v="H000005578"/>
    <s v="1132NA - QC"/>
    <s v="H000005566"/>
    <s v="New"/>
    <x v="1"/>
    <x v="3"/>
    <s v="HC"/>
    <s v="Processing"/>
    <m/>
    <s v="Anna Maria Urbano"/>
  </r>
  <r>
    <n v="3473"/>
    <s v="F2"/>
    <x v="108"/>
    <s v="H000005579"/>
    <s v="1132NA - QS"/>
    <s v="H000005566"/>
    <s v="New"/>
    <x v="1"/>
    <x v="3"/>
    <s v="HC"/>
    <s v="Processing"/>
    <m/>
    <s v="Anna Maria Urbano"/>
  </r>
  <r>
    <n v="3474"/>
    <s v="F2"/>
    <x v="108"/>
    <s v="H000005580"/>
    <s v="1132NA - SOLID"/>
    <s v="H000005568"/>
    <s v="New"/>
    <x v="1"/>
    <x v="3"/>
    <s v="HC"/>
    <s v="Processing"/>
    <m/>
    <s v="Anna Maria Urbano"/>
  </r>
  <r>
    <n v="3475"/>
    <s v="F2"/>
    <x v="108"/>
    <s v="H000005581"/>
    <s v="1132NA - PKG SOLID"/>
    <s v="H000005569"/>
    <s v="New"/>
    <x v="1"/>
    <x v="3"/>
    <s v="HC"/>
    <s v="Processing"/>
    <m/>
    <s v="Anna Maria Urbano"/>
  </r>
  <r>
    <n v="3476"/>
    <s v="F2"/>
    <x v="108"/>
    <s v="H000005582"/>
    <s v="1132NA - PKG BIOTECH"/>
    <s v="H000005569"/>
    <s v="New"/>
    <x v="1"/>
    <x v="3"/>
    <s v="HC"/>
    <s v="Processing"/>
    <m/>
    <s v="Anna Maria Urbano"/>
  </r>
  <r>
    <n v="3477"/>
    <s v="F2"/>
    <x v="108"/>
    <s v="H000005583"/>
    <s v="1132NA - EQUIPMENTS"/>
    <s v="H000005580"/>
    <s v="New"/>
    <x v="1"/>
    <x v="3"/>
    <s v="HC"/>
    <s v="Processing"/>
    <m/>
    <s v="Anna Maria Urbano"/>
  </r>
  <r>
    <n v="3478"/>
    <s v="F2"/>
    <x v="108"/>
    <s v="H000005584"/>
    <s v="1132NA - LABOR"/>
    <s v="H000005580"/>
    <s v="New"/>
    <x v="1"/>
    <x v="3"/>
    <s v="HC"/>
    <s v="Processing"/>
    <m/>
    <s v="Anna Maria Urbano"/>
  </r>
  <r>
    <n v="3479"/>
    <s v="F2"/>
    <x v="108"/>
    <s v="H000005585"/>
    <s v="1132NA - INDIRECT SERVICES"/>
    <s v="H000005580"/>
    <s v="New"/>
    <x v="1"/>
    <x v="3"/>
    <s v="HC"/>
    <s v="Processing"/>
    <m/>
    <s v="Anna Maria Urbano"/>
  </r>
  <r>
    <n v="3480"/>
    <s v="F2"/>
    <x v="108"/>
    <s v="H000005586"/>
    <s v="1132NA - MCC"/>
    <s v="H000005580"/>
    <s v="New"/>
    <x v="1"/>
    <x v="3"/>
    <s v="HC"/>
    <s v="Processing"/>
    <m/>
    <s v="Anna Maria Urbano"/>
  </r>
  <r>
    <n v="3481"/>
    <s v="F2"/>
    <x v="108"/>
    <s v="H000005587"/>
    <s v="1132NA - EQUIPMENTS"/>
    <s v="H000005581"/>
    <s v="New"/>
    <x v="1"/>
    <x v="3"/>
    <s v="HC"/>
    <s v="Processing"/>
    <m/>
    <s v="Anna Maria Urbano"/>
  </r>
  <r>
    <n v="3482"/>
    <s v="F2"/>
    <x v="108"/>
    <s v="H000005588"/>
    <s v="1132NA - LABOR"/>
    <s v="H000005581"/>
    <s v="New"/>
    <x v="1"/>
    <x v="3"/>
    <s v="HC"/>
    <s v="Processing"/>
    <m/>
    <s v="Anna Maria Urbano"/>
  </r>
  <r>
    <n v="3483"/>
    <s v="F2"/>
    <x v="108"/>
    <s v="H000005589"/>
    <s v="1132NA - INDIRECT SERVICES"/>
    <s v="H000005581"/>
    <s v="New"/>
    <x v="1"/>
    <x v="3"/>
    <s v="HC"/>
    <s v="Processing"/>
    <m/>
    <s v="Anna Maria Urbano"/>
  </r>
  <r>
    <n v="3484"/>
    <s v="F2"/>
    <x v="108"/>
    <s v="H000005590"/>
    <s v="1132NA - MCC"/>
    <s v="H000005581"/>
    <s v="New"/>
    <x v="1"/>
    <x v="3"/>
    <s v="HC"/>
    <s v="Processing"/>
    <m/>
    <s v="Anna Maria Urbano"/>
  </r>
  <r>
    <n v="3485"/>
    <s v="F2"/>
    <x v="108"/>
    <s v="H000005591"/>
    <s v="1132NA - EQUIPMENTS"/>
    <s v="H000005582"/>
    <s v="New"/>
    <x v="1"/>
    <x v="3"/>
    <s v="HC"/>
    <s v="Processing"/>
    <m/>
    <s v="Anna Maria Urbano"/>
  </r>
  <r>
    <n v="3486"/>
    <s v="F2"/>
    <x v="108"/>
    <s v="H000005592"/>
    <s v="1132NA - LABOR"/>
    <s v="H000005582"/>
    <s v="New"/>
    <x v="1"/>
    <x v="3"/>
    <s v="HC"/>
    <s v="Processing"/>
    <m/>
    <s v="Anna Maria Urbano"/>
  </r>
  <r>
    <n v="3487"/>
    <s v="F2"/>
    <x v="108"/>
    <s v="H000005593"/>
    <s v="1132NA - INDIRECT SERVICES"/>
    <s v="H000005582"/>
    <s v="New"/>
    <x v="1"/>
    <x v="3"/>
    <s v="HC"/>
    <s v="Processing"/>
    <m/>
    <s v="Anna Maria Urbano"/>
  </r>
  <r>
    <n v="3488"/>
    <s v="F2"/>
    <x v="108"/>
    <s v="H000005594"/>
    <s v="1132NA - MCC"/>
    <s v="H000005582"/>
    <s v="New"/>
    <x v="1"/>
    <x v="3"/>
    <s v="HC"/>
    <s v="Processing"/>
    <m/>
    <s v="Anna Maria Urbano"/>
  </r>
  <r>
    <n v="3489"/>
    <s v="F2"/>
    <x v="108"/>
    <s v="H000005595"/>
    <s v="MERCK CHINA - NANTONG (BEFORE CCH)"/>
    <s v="H000000571"/>
    <s v="New"/>
    <x v="1"/>
    <x v="3"/>
    <s v="HC"/>
    <s v="Processing"/>
    <m/>
    <s v="Anna Maria Urbano"/>
  </r>
  <r>
    <n v="3490"/>
    <s v="F2"/>
    <x v="108"/>
    <s v="H000005596"/>
    <s v="MERCK GERMANY - DARMSTADT (CCH)"/>
    <s v="H000000562"/>
    <s v="New"/>
    <x v="1"/>
    <x v="3"/>
    <s v="HC"/>
    <s v="Processing"/>
    <m/>
    <s v="Anna Maria Urbano"/>
  </r>
  <r>
    <n v="3491"/>
    <s v="F2"/>
    <x v="108"/>
    <s v="H000005597"/>
    <s v="1261DA - OPERATIONS"/>
    <s v="H000005596"/>
    <s v="New"/>
    <x v="1"/>
    <x v="3"/>
    <s v="HC"/>
    <s v="Processing"/>
    <m/>
    <s v="Anna Maria Urbano"/>
  </r>
  <r>
    <n v="3492"/>
    <s v="F2"/>
    <x v="108"/>
    <s v="H000005598"/>
    <s v="1261DA - OPERATIONS SUPPORT SERVICES"/>
    <s v="H000005596"/>
    <s v="New"/>
    <x v="1"/>
    <x v="3"/>
    <s v="HC"/>
    <s v="Processing"/>
    <m/>
    <s v="Anna Maria Urbano"/>
  </r>
  <r>
    <n v="3493"/>
    <s v="F2"/>
    <x v="108"/>
    <s v="H000005599"/>
    <s v="1261DA - QUALITY"/>
    <s v="H000005596"/>
    <s v="New"/>
    <x v="1"/>
    <x v="3"/>
    <s v="HC"/>
    <s v="Processing"/>
    <m/>
    <s v="Anna Maria Urbano"/>
  </r>
  <r>
    <n v="3494"/>
    <s v="F2"/>
    <x v="108"/>
    <s v="H000005600"/>
    <s v="1261DA - OTHERS"/>
    <s v="H000005596"/>
    <s v="New"/>
    <x v="1"/>
    <x v="3"/>
    <s v="HC"/>
    <s v="Processing"/>
    <m/>
    <s v="Anna Maria Urbano"/>
  </r>
  <r>
    <n v="3495"/>
    <s v="F2"/>
    <x v="108"/>
    <s v="H000005601"/>
    <s v="1261DA - PACKAGING"/>
    <s v="H000005597"/>
    <s v="New"/>
    <x v="1"/>
    <x v="3"/>
    <s v="HC"/>
    <s v="Processing"/>
    <m/>
    <s v="Anna Maria Urbano"/>
  </r>
  <r>
    <n v="3496"/>
    <s v="F2"/>
    <x v="108"/>
    <s v="H000005602"/>
    <s v="1261DA - MANUFACTURING"/>
    <s v="H000005597"/>
    <s v="New"/>
    <x v="1"/>
    <x v="3"/>
    <s v="HC"/>
    <s v="Processing"/>
    <m/>
    <s v="Anna Maria Urbano"/>
  </r>
  <r>
    <n v="3497"/>
    <s v="F2"/>
    <x v="108"/>
    <s v="H000005603"/>
    <s v="1261DA - SITE SERVICES"/>
    <s v="H000005598"/>
    <s v="New"/>
    <x v="1"/>
    <x v="3"/>
    <s v="HC"/>
    <s v="Processing"/>
    <m/>
    <s v="Anna Maria Urbano"/>
  </r>
  <r>
    <n v="3498"/>
    <s v="F2"/>
    <x v="108"/>
    <s v="H000005604"/>
    <s v="1261DA - SUPPLY AND PLANNING"/>
    <s v="H000005598"/>
    <s v="New"/>
    <x v="1"/>
    <x v="3"/>
    <s v="HC"/>
    <s v="Processing"/>
    <m/>
    <s v="Anna Maria Urbano"/>
  </r>
  <r>
    <n v="3499"/>
    <s v="F2"/>
    <x v="108"/>
    <s v="H000005605"/>
    <s v="1261DA - MAINTENANCE AND ENGINEERING"/>
    <s v="H000005598"/>
    <s v="New"/>
    <x v="1"/>
    <x v="3"/>
    <s v="HC"/>
    <s v="Processing"/>
    <m/>
    <s v="Anna Maria Urbano"/>
  </r>
  <r>
    <n v="3500"/>
    <s v="F2"/>
    <x v="108"/>
    <s v="H000005606"/>
    <s v="1261DA - QA"/>
    <s v="H000005599"/>
    <s v="New"/>
    <x v="1"/>
    <x v="3"/>
    <s v="HC"/>
    <s v="Processing"/>
    <m/>
    <s v="Anna Maria Urbano"/>
  </r>
  <r>
    <n v="3501"/>
    <s v="F2"/>
    <x v="108"/>
    <s v="H000005607"/>
    <s v="1261DA - QC"/>
    <s v="H000005599"/>
    <s v="New"/>
    <x v="1"/>
    <x v="3"/>
    <s v="HC"/>
    <s v="Processing"/>
    <m/>
    <s v="Anna Maria Urbano"/>
  </r>
  <r>
    <n v="3502"/>
    <s v="F2"/>
    <x v="108"/>
    <s v="H000005608"/>
    <s v="1261DA - QS"/>
    <s v="H000005599"/>
    <s v="New"/>
    <x v="1"/>
    <x v="3"/>
    <s v="HC"/>
    <s v="Processing"/>
    <m/>
    <s v="Anna Maria Urbano"/>
  </r>
  <r>
    <n v="3503"/>
    <s v="F2"/>
    <x v="108"/>
    <s v="H000005609"/>
    <s v="1261DA - SOLID MFG"/>
    <s v="H000005602"/>
    <s v="New"/>
    <x v="1"/>
    <x v="3"/>
    <s v="HC"/>
    <s v="Processing"/>
    <m/>
    <s v="Anna Maria Urbano"/>
  </r>
  <r>
    <n v="3504"/>
    <s v="F2"/>
    <x v="108"/>
    <s v="H000005610"/>
    <s v="1261DA - SOLID PKG"/>
    <s v="H000005601"/>
    <s v="New"/>
    <x v="1"/>
    <x v="3"/>
    <s v="HC"/>
    <s v="Processing"/>
    <m/>
    <s v="Anna Maria Urbano"/>
  </r>
  <r>
    <n v="3505"/>
    <s v="F2"/>
    <x v="108"/>
    <s v="H000005611"/>
    <s v="1261DA - LIQUID"/>
    <s v="H000005602"/>
    <s v="New"/>
    <x v="1"/>
    <x v="3"/>
    <s v="HC"/>
    <s v="Processing"/>
    <m/>
    <s v="Anna Maria Urbano"/>
  </r>
  <r>
    <n v="3506"/>
    <s v="F2"/>
    <x v="108"/>
    <s v="H000005612"/>
    <s v="1261DA - LTC"/>
    <s v="H000005602"/>
    <s v="New"/>
    <x v="1"/>
    <x v="3"/>
    <s v="HC"/>
    <s v="Processing"/>
    <m/>
    <s v="Anna Maria Urbano"/>
  </r>
  <r>
    <n v="3507"/>
    <s v="F2"/>
    <x v="108"/>
    <s v="H000005613"/>
    <s v="1261DA - MCC"/>
    <s v="H000005609"/>
    <s v="New"/>
    <x v="1"/>
    <x v="3"/>
    <s v="HC"/>
    <s v="Processing"/>
    <m/>
    <s v="Anna Maria Urbano"/>
  </r>
  <r>
    <n v="3508"/>
    <s v="F2"/>
    <x v="108"/>
    <s v="H000005614"/>
    <s v="1261DA - EQUIPMENTS"/>
    <s v="H000005609"/>
    <s v="New"/>
    <x v="1"/>
    <x v="3"/>
    <s v="HC"/>
    <s v="Processing"/>
    <m/>
    <s v="Anna Maria Urbano"/>
  </r>
  <r>
    <n v="3509"/>
    <s v="F2"/>
    <x v="108"/>
    <s v="H000005615"/>
    <s v="1261DA - DIRECT LABOR"/>
    <s v="H000005609"/>
    <s v="New"/>
    <x v="1"/>
    <x v="3"/>
    <s v="HC"/>
    <s v="Processing"/>
    <m/>
    <s v="Anna Maria Urbano"/>
  </r>
  <r>
    <n v="3510"/>
    <s v="F2"/>
    <x v="108"/>
    <s v="H000005616"/>
    <s v="1261DA - INDIRECT SERVICES"/>
    <s v="H000005609"/>
    <s v="New"/>
    <x v="1"/>
    <x v="3"/>
    <s v="HC"/>
    <s v="Processing"/>
    <m/>
    <s v="Anna Maria Urbano"/>
  </r>
  <r>
    <n v="3511"/>
    <s v="F2"/>
    <x v="108"/>
    <s v="H000005617"/>
    <s v="1261DA - MAINTENANCE AND ENGINEERING"/>
    <s v="H000005609"/>
    <s v="New"/>
    <x v="1"/>
    <x v="3"/>
    <s v="HC"/>
    <s v="Processing"/>
    <m/>
    <s v="Anna Maria Urbano"/>
  </r>
  <r>
    <n v="3512"/>
    <s v="F2"/>
    <x v="108"/>
    <s v="H000005618"/>
    <s v="1261DA - SITE INFRASTRUCTURE"/>
    <s v="H000005609"/>
    <s v="New"/>
    <x v="1"/>
    <x v="3"/>
    <s v="HC"/>
    <s v="Processing"/>
    <m/>
    <s v="Anna Maria Urbano"/>
  </r>
  <r>
    <n v="3513"/>
    <s v="F2"/>
    <x v="108"/>
    <s v="H000005619"/>
    <s v="1261DA - SITE SERVICES"/>
    <s v="H000005609"/>
    <s v="New"/>
    <x v="1"/>
    <x v="3"/>
    <s v="HC"/>
    <s v="Processing"/>
    <m/>
    <s v="Anna Maria Urbano"/>
  </r>
  <r>
    <n v="3514"/>
    <s v="F2"/>
    <x v="108"/>
    <s v="H000005620"/>
    <s v="1261DA - MCC"/>
    <s v="H000005610"/>
    <s v="New"/>
    <x v="1"/>
    <x v="3"/>
    <s v="HC"/>
    <s v="Processing"/>
    <m/>
    <s v="Anna Maria Urbano"/>
  </r>
  <r>
    <n v="3515"/>
    <s v="F2"/>
    <x v="108"/>
    <s v="H000005621"/>
    <s v="1261DA - EQUIPMENTS"/>
    <s v="H000005610"/>
    <s v="New"/>
    <x v="1"/>
    <x v="3"/>
    <s v="HC"/>
    <s v="Processing"/>
    <m/>
    <s v="Anna Maria Urbano"/>
  </r>
  <r>
    <n v="3516"/>
    <s v="F2"/>
    <x v="108"/>
    <s v="H000005622"/>
    <s v="1261DA - DIRECT LABOR"/>
    <s v="H000005610"/>
    <s v="New"/>
    <x v="1"/>
    <x v="3"/>
    <s v="HC"/>
    <s v="Processing"/>
    <m/>
    <s v="Anna Maria Urbano"/>
  </r>
  <r>
    <n v="3517"/>
    <s v="F2"/>
    <x v="108"/>
    <s v="H000005623"/>
    <s v="1261DA - INDIRECT SERVICES"/>
    <s v="H000005610"/>
    <s v="New"/>
    <x v="1"/>
    <x v="3"/>
    <s v="HC"/>
    <s v="Processing"/>
    <m/>
    <s v="Anna Maria Urbano"/>
  </r>
  <r>
    <n v="3518"/>
    <s v="F2"/>
    <x v="108"/>
    <s v="H000005624"/>
    <s v="1261DA - MAINTENANCE AND ENGINEERING"/>
    <s v="H000005610"/>
    <s v="New"/>
    <x v="1"/>
    <x v="3"/>
    <s v="HC"/>
    <s v="Processing"/>
    <m/>
    <s v="Anna Maria Urbano"/>
  </r>
  <r>
    <n v="3519"/>
    <s v="F2"/>
    <x v="108"/>
    <s v="H000005625"/>
    <s v="1261DA - SITE INFRASTRUCTURE"/>
    <s v="H000005610"/>
    <s v="New"/>
    <x v="1"/>
    <x v="3"/>
    <s v="HC"/>
    <s v="Processing"/>
    <m/>
    <s v="Anna Maria Urbano"/>
  </r>
  <r>
    <n v="3520"/>
    <s v="F2"/>
    <x v="108"/>
    <s v="H000005626"/>
    <s v="1261DA - SITE SERVICES"/>
    <s v="H000005610"/>
    <s v="New"/>
    <x v="1"/>
    <x v="3"/>
    <s v="HC"/>
    <s v="Processing"/>
    <m/>
    <s v="Anna Maria Urbano"/>
  </r>
  <r>
    <n v="3521"/>
    <s v="F2"/>
    <x v="108"/>
    <s v="H000005627"/>
    <s v="1261DA - MCC"/>
    <s v="H000005611"/>
    <s v="New"/>
    <x v="1"/>
    <x v="3"/>
    <s v="HC"/>
    <s v="Processing"/>
    <m/>
    <s v="Anna Maria Urbano"/>
  </r>
  <r>
    <n v="3522"/>
    <s v="F2"/>
    <x v="108"/>
    <s v="H000005628"/>
    <s v="1261DA - EQUIPMENTS"/>
    <s v="H000005611"/>
    <s v="New"/>
    <x v="1"/>
    <x v="3"/>
    <s v="HC"/>
    <s v="Processing"/>
    <m/>
    <s v="Anna Maria Urbano"/>
  </r>
  <r>
    <n v="3523"/>
    <s v="F2"/>
    <x v="108"/>
    <s v="H000005629"/>
    <s v="1261DA - DIRECT LABOR"/>
    <s v="H000005611"/>
    <s v="New"/>
    <x v="1"/>
    <x v="3"/>
    <s v="HC"/>
    <s v="Processing"/>
    <m/>
    <s v="Anna Maria Urbano"/>
  </r>
  <r>
    <n v="3524"/>
    <s v="F2"/>
    <x v="108"/>
    <s v="H000005630"/>
    <s v="1261DA - INDIRECT SERVICES"/>
    <s v="H000005611"/>
    <s v="New"/>
    <x v="1"/>
    <x v="3"/>
    <s v="HC"/>
    <s v="Processing"/>
    <m/>
    <s v="Anna Maria Urbano"/>
  </r>
  <r>
    <n v="3525"/>
    <s v="F2"/>
    <x v="108"/>
    <s v="H000005631"/>
    <s v="1261DA - MAINTENANCE AND ENGINEERING"/>
    <s v="H000005611"/>
    <s v="New"/>
    <x v="1"/>
    <x v="3"/>
    <s v="HC"/>
    <s v="Processing"/>
    <m/>
    <s v="Anna Maria Urbano"/>
  </r>
  <r>
    <n v="3526"/>
    <s v="F2"/>
    <x v="108"/>
    <s v="H000005632"/>
    <s v="1261DA - SITE INFRASTRUCTURE"/>
    <s v="H000005611"/>
    <s v="New"/>
    <x v="1"/>
    <x v="3"/>
    <s v="HC"/>
    <s v="Processing"/>
    <m/>
    <s v="Anna Maria Urbano"/>
  </r>
  <r>
    <n v="3527"/>
    <s v="F2"/>
    <x v="108"/>
    <s v="H000005633"/>
    <s v="1261DA - SITE SERVICES"/>
    <s v="H000005611"/>
    <s v="New"/>
    <x v="1"/>
    <x v="3"/>
    <s v="HC"/>
    <s v="Processing"/>
    <m/>
    <s v="Anna Maria Urbano"/>
  </r>
  <r>
    <n v="3528"/>
    <s v="F2"/>
    <x v="108"/>
    <s v="H000005634"/>
    <s v="1261DA - MCC"/>
    <s v="H000005612"/>
    <s v="New"/>
    <x v="1"/>
    <x v="3"/>
    <s v="HC"/>
    <s v="Processing"/>
    <m/>
    <s v="Anna Maria Urbano"/>
  </r>
  <r>
    <n v="3529"/>
    <s v="F2"/>
    <x v="108"/>
    <s v="H000005635"/>
    <s v="1261DA - EQUIPMENTS"/>
    <s v="H000005612"/>
    <s v="New"/>
    <x v="1"/>
    <x v="3"/>
    <s v="HC"/>
    <s v="Processing"/>
    <m/>
    <s v="Anna Maria Urbano"/>
  </r>
  <r>
    <n v="3530"/>
    <s v="F2"/>
    <x v="108"/>
    <s v="H000005636"/>
    <s v="1261DA - DIRECT LABOR"/>
    <s v="H000005612"/>
    <s v="New"/>
    <x v="1"/>
    <x v="3"/>
    <s v="HC"/>
    <s v="Processing"/>
    <m/>
    <s v="Anna Maria Urbano"/>
  </r>
  <r>
    <n v="3531"/>
    <s v="F2"/>
    <x v="108"/>
    <s v="H000005637"/>
    <s v="1261DA - INDIRECT SERVICES"/>
    <s v="H000005612"/>
    <s v="New"/>
    <x v="1"/>
    <x v="3"/>
    <s v="HC"/>
    <s v="Processing"/>
    <m/>
    <s v="Anna Maria Urbano"/>
  </r>
  <r>
    <n v="3532"/>
    <s v="F2"/>
    <x v="108"/>
    <s v="H000005638"/>
    <s v="1261DA - MAINTENANCE AND ENGINEERING"/>
    <s v="H000005612"/>
    <s v="New"/>
    <x v="1"/>
    <x v="3"/>
    <s v="HC"/>
    <s v="Processing"/>
    <m/>
    <s v="Anna Maria Urbano"/>
  </r>
  <r>
    <n v="3533"/>
    <s v="F2"/>
    <x v="108"/>
    <s v="H000005639"/>
    <s v="1261DA - SITE INFRASTRUCTURE"/>
    <s v="H000005612"/>
    <s v="New"/>
    <x v="1"/>
    <x v="3"/>
    <s v="HC"/>
    <s v="Processing"/>
    <m/>
    <s v="Anna Maria Urbano"/>
  </r>
  <r>
    <n v="3534"/>
    <s v="F2"/>
    <x v="108"/>
    <s v="H000005640"/>
    <s v="1261DA - SITE SERVICES"/>
    <s v="H000005612"/>
    <s v="New"/>
    <x v="1"/>
    <x v="3"/>
    <s v="HC"/>
    <s v="Processing"/>
    <m/>
    <s v="Anna Maria Urbano"/>
  </r>
  <r>
    <n v="3535"/>
    <s v="F2"/>
    <x v="108"/>
    <s v="H000005641"/>
    <s v="MERCK GERMANY - DARMSTADT (BEFORE CCH)"/>
    <s v="H000000562"/>
    <s v="New"/>
    <x v="1"/>
    <x v="3"/>
    <s v="HC"/>
    <s v="Processing"/>
    <m/>
    <s v="Anna Maria Urbano"/>
  </r>
  <r>
    <n v="3536"/>
    <s v="F2"/>
    <x v="108"/>
    <s v="H000005642"/>
    <s v="MERCK SPAIN - MOLLET PHARMA (CCH)"/>
    <s v="H000000508"/>
    <s v="New"/>
    <x v="1"/>
    <x v="3"/>
    <s v="HC"/>
    <s v="Processing"/>
    <m/>
    <s v="Anna Maria Urbano"/>
  </r>
  <r>
    <n v="3537"/>
    <s v="F2"/>
    <x v="108"/>
    <s v="H000005643"/>
    <s v="1215MP - OPERATIONS"/>
    <s v="H000005642"/>
    <s v="New"/>
    <x v="1"/>
    <x v="3"/>
    <s v="HC"/>
    <s v="Processing"/>
    <m/>
    <s v="Anna Maria Urbano"/>
  </r>
  <r>
    <n v="3538"/>
    <s v="F2"/>
    <x v="108"/>
    <s v="H000005644"/>
    <s v="1215MP - OPERATIONS SUPPORT SERVICES"/>
    <s v="H000005642"/>
    <s v="New"/>
    <x v="1"/>
    <x v="3"/>
    <s v="HC"/>
    <s v="Processing"/>
    <m/>
    <s v="Anna Maria Urbano"/>
  </r>
  <r>
    <n v="3539"/>
    <s v="F2"/>
    <x v="108"/>
    <s v="H000005645"/>
    <s v="1215MP - SITE INFRASTRUCTURE"/>
    <s v="H000005642"/>
    <s v="New"/>
    <x v="1"/>
    <x v="3"/>
    <s v="HC"/>
    <s v="Processing"/>
    <m/>
    <s v="Anna Maria Urbano"/>
  </r>
  <r>
    <n v="3540"/>
    <s v="F2"/>
    <x v="108"/>
    <s v="H000005646"/>
    <s v="1215MP - QUALITY"/>
    <s v="H000005642"/>
    <s v="New"/>
    <x v="1"/>
    <x v="3"/>
    <s v="HC"/>
    <s v="Processing"/>
    <m/>
    <s v="Anna Maria Urbano"/>
  </r>
  <r>
    <n v="3541"/>
    <s v="F2"/>
    <x v="108"/>
    <s v="H000005647"/>
    <s v="1215MP - OTHERS"/>
    <s v="H000005642"/>
    <s v="New"/>
    <x v="1"/>
    <x v="3"/>
    <s v="HC"/>
    <s v="Processing"/>
    <m/>
    <s v="Anna Maria Urbano"/>
  </r>
  <r>
    <n v="3542"/>
    <s v="F2"/>
    <x v="108"/>
    <s v="H000005648"/>
    <s v="1215MP - MANUFACTURING"/>
    <s v="H000005643"/>
    <s v="New"/>
    <x v="1"/>
    <x v="3"/>
    <s v="HC"/>
    <s v="Processing"/>
    <m/>
    <s v="Anna Maria Urbano"/>
  </r>
  <r>
    <n v="3543"/>
    <s v="F2"/>
    <x v="108"/>
    <s v="H000005649"/>
    <s v="1215MP - PACKAGING"/>
    <s v="H000005643"/>
    <s v="New"/>
    <x v="1"/>
    <x v="3"/>
    <s v="HC"/>
    <s v="Processing"/>
    <m/>
    <s v="Anna Maria Urbano"/>
  </r>
  <r>
    <n v="3544"/>
    <s v="F2"/>
    <x v="108"/>
    <s v="H000005650"/>
    <s v="1215MP - SITE SERVICES"/>
    <s v="H000005644"/>
    <s v="New"/>
    <x v="1"/>
    <x v="3"/>
    <s v="HC"/>
    <s v="Processing"/>
    <m/>
    <s v="Anna Maria Urbano"/>
  </r>
  <r>
    <n v="3545"/>
    <s v="F2"/>
    <x v="108"/>
    <s v="H000005651"/>
    <s v="1215MP - SUPPLY AND PLANNING"/>
    <s v="H000005644"/>
    <s v="New"/>
    <x v="1"/>
    <x v="3"/>
    <s v="HC"/>
    <s v="Processing"/>
    <m/>
    <s v="Anna Maria Urbano"/>
  </r>
  <r>
    <n v="3546"/>
    <s v="F2"/>
    <x v="108"/>
    <s v="H000005652"/>
    <s v="1215MP - MAINTENANCE AND ENGINEERING"/>
    <s v="H000005644"/>
    <s v="New"/>
    <x v="1"/>
    <x v="3"/>
    <s v="HC"/>
    <s v="Processing"/>
    <m/>
    <s v="Anna Maria Urbano"/>
  </r>
  <r>
    <n v="3547"/>
    <s v="F2"/>
    <x v="108"/>
    <s v="H000005653"/>
    <s v="1215MP - QA"/>
    <s v="H000005646"/>
    <s v="New"/>
    <x v="1"/>
    <x v="3"/>
    <s v="HC"/>
    <s v="Processing"/>
    <m/>
    <s v="Anna Maria Urbano"/>
  </r>
  <r>
    <n v="3548"/>
    <s v="F2"/>
    <x v="108"/>
    <s v="H000005654"/>
    <s v="1215MP - QC"/>
    <s v="H000005646"/>
    <s v="New"/>
    <x v="1"/>
    <x v="3"/>
    <s v="HC"/>
    <s v="Processing"/>
    <m/>
    <s v="Anna Maria Urbano"/>
  </r>
  <r>
    <n v="3549"/>
    <s v="F2"/>
    <x v="108"/>
    <s v="H000005655"/>
    <s v="1215MP - OTHER FACILITIES"/>
    <s v="H000005645"/>
    <s v="New"/>
    <x v="1"/>
    <x v="3"/>
    <s v="HC"/>
    <s v="Processing"/>
    <m/>
    <s v="Anna Maria Urbano"/>
  </r>
  <r>
    <n v="3550"/>
    <s v="F2"/>
    <x v="108"/>
    <s v="H000005656"/>
    <s v="1215MP - MANUFACTURING FACILITIES"/>
    <s v="H000005645"/>
    <s v="New"/>
    <x v="1"/>
    <x v="3"/>
    <s v="HC"/>
    <s v="Processing"/>
    <m/>
    <s v="Anna Maria Urbano"/>
  </r>
  <r>
    <n v="3551"/>
    <s v="F2"/>
    <x v="108"/>
    <s v="H000005657"/>
    <s v="1215MP - SOLID"/>
    <s v="H000005648"/>
    <s v="New"/>
    <x v="1"/>
    <x v="3"/>
    <s v="HC"/>
    <s v="Processing"/>
    <m/>
    <s v="Anna Maria Urbano"/>
  </r>
  <r>
    <n v="3552"/>
    <s v="F2"/>
    <x v="108"/>
    <s v="H000005658"/>
    <s v="1215MP - PCK SOLID"/>
    <s v="H000005649"/>
    <s v="New"/>
    <x v="1"/>
    <x v="3"/>
    <s v="HC"/>
    <s v="Processing"/>
    <m/>
    <s v="Anna Maria Urbano"/>
  </r>
  <r>
    <n v="3553"/>
    <s v="F2"/>
    <x v="108"/>
    <s v="H000005659"/>
    <s v="1215MP - LABOR"/>
    <s v="H000005658"/>
    <s v="New"/>
    <x v="1"/>
    <x v="3"/>
    <s v="HC"/>
    <s v="Processing"/>
    <m/>
    <s v="Anna Maria Urbano"/>
  </r>
  <r>
    <n v="3554"/>
    <s v="F2"/>
    <x v="108"/>
    <s v="H000005660"/>
    <s v="1215MP - MCC"/>
    <s v="H000005658"/>
    <s v="New"/>
    <x v="1"/>
    <x v="3"/>
    <s v="HC"/>
    <s v="Processing"/>
    <m/>
    <s v="Anna Maria Urbano"/>
  </r>
  <r>
    <n v="3555"/>
    <s v="F2"/>
    <x v="108"/>
    <s v="H000005661"/>
    <s v="1215MP - EQUIPMENTS"/>
    <s v="H000005658"/>
    <s v="New"/>
    <x v="1"/>
    <x v="3"/>
    <s v="HC"/>
    <s v="Processing"/>
    <m/>
    <s v="Anna Maria Urbano"/>
  </r>
  <r>
    <n v="3556"/>
    <s v="F2"/>
    <x v="108"/>
    <s v="H000005662"/>
    <s v="1215MP - INDIRECT SERVICES"/>
    <s v="H000005658"/>
    <s v="New"/>
    <x v="1"/>
    <x v="3"/>
    <s v="HC"/>
    <s v="Processing"/>
    <m/>
    <s v="Anna Maria Urbano"/>
  </r>
  <r>
    <n v="3557"/>
    <s v="F2"/>
    <x v="108"/>
    <s v="H000005663"/>
    <s v="1215MP - LABOR"/>
    <s v="H000005657"/>
    <s v="New"/>
    <x v="1"/>
    <x v="3"/>
    <s v="HC"/>
    <s v="Processing"/>
    <m/>
    <s v="Anna Maria Urbano"/>
  </r>
  <r>
    <n v="3558"/>
    <s v="F2"/>
    <x v="108"/>
    <s v="H000005664"/>
    <s v="1215MP - MCC"/>
    <s v="H000005657"/>
    <s v="New"/>
    <x v="1"/>
    <x v="3"/>
    <s v="HC"/>
    <s v="Processing"/>
    <m/>
    <s v="Anna Maria Urbano"/>
  </r>
  <r>
    <n v="3559"/>
    <s v="F2"/>
    <x v="108"/>
    <s v="H000005665"/>
    <s v="1215MP - EQUIPMENTS"/>
    <s v="H000005657"/>
    <s v="New"/>
    <x v="1"/>
    <x v="3"/>
    <s v="HC"/>
    <s v="Processing"/>
    <m/>
    <s v="Anna Maria Urbano"/>
  </r>
  <r>
    <n v="3560"/>
    <s v="F2"/>
    <x v="108"/>
    <s v="H000005666"/>
    <s v="1215MP - INDIRECT SERVICES"/>
    <s v="H000005657"/>
    <s v="New"/>
    <x v="1"/>
    <x v="3"/>
    <s v="HC"/>
    <s v="Processing"/>
    <m/>
    <s v="Anna Maria Urbano"/>
  </r>
  <r>
    <n v="3561"/>
    <s v="F2"/>
    <x v="108"/>
    <s v="H000005667"/>
    <s v="MERCK SPAIN - MOLLET PHARMA (BEFORE CCH)"/>
    <s v="H000000508"/>
    <s v="New"/>
    <x v="1"/>
    <x v="3"/>
    <s v="HC"/>
    <s v="Processing"/>
    <m/>
    <s v="Anna Maria Urbano"/>
  </r>
  <r>
    <n v="3562"/>
    <s v="F2"/>
    <x v="108"/>
    <s v="H000005668"/>
    <s v="MERCK SPAIN - MOLLET CHEMICALS (CCH)"/>
    <s v="H000000517"/>
    <s v="New"/>
    <x v="1"/>
    <x v="3"/>
    <s v="HC"/>
    <s v="Processing"/>
    <m/>
    <s v="Anna Maria Urbano"/>
  </r>
  <r>
    <n v="3563"/>
    <s v="F2"/>
    <x v="108"/>
    <s v="H000005669"/>
    <s v="1215MC - OPERATIONS"/>
    <s v="H000005668"/>
    <s v="New"/>
    <x v="1"/>
    <x v="3"/>
    <s v="HC"/>
    <s v="Processing"/>
    <m/>
    <s v="Anna Maria Urbano"/>
  </r>
  <r>
    <n v="3564"/>
    <s v="F2"/>
    <x v="108"/>
    <s v="H000005670"/>
    <s v="1215MC - OPERATIONS SUPPORT SERVICES"/>
    <s v="H000005668"/>
    <s v="New"/>
    <x v="1"/>
    <x v="3"/>
    <s v="HC"/>
    <s v="Processing"/>
    <m/>
    <s v="Anna Maria Urbano"/>
  </r>
  <r>
    <n v="3565"/>
    <s v="F2"/>
    <x v="108"/>
    <s v="H000005671"/>
    <s v="1215MC - SITE INFRASTRUCTURE"/>
    <s v="H000005668"/>
    <s v="New"/>
    <x v="1"/>
    <x v="3"/>
    <s v="HC"/>
    <s v="Processing"/>
    <m/>
    <s v="Anna Maria Urbano"/>
  </r>
  <r>
    <n v="3566"/>
    <s v="F2"/>
    <x v="108"/>
    <s v="H000005672"/>
    <s v="1215MC - QUALITY"/>
    <s v="H000005668"/>
    <s v="New"/>
    <x v="1"/>
    <x v="3"/>
    <s v="HC"/>
    <s v="Processing"/>
    <m/>
    <s v="Anna Maria Urbano"/>
  </r>
  <r>
    <n v="3567"/>
    <s v="F2"/>
    <x v="108"/>
    <s v="H000005673"/>
    <s v="1215MC - OTHERS"/>
    <s v="H000005668"/>
    <s v="New"/>
    <x v="1"/>
    <x v="3"/>
    <s v="HC"/>
    <s v="Processing"/>
    <m/>
    <s v="Anna Maria Urbano"/>
  </r>
  <r>
    <n v="3568"/>
    <s v="F2"/>
    <x v="108"/>
    <s v="H000005674"/>
    <s v="1215MC - MANUFACTURING"/>
    <s v="H000005669"/>
    <s v="New"/>
    <x v="1"/>
    <x v="3"/>
    <s v="HC"/>
    <s v="Processing"/>
    <m/>
    <s v="Anna Maria Urbano"/>
  </r>
  <r>
    <n v="3569"/>
    <s v="F2"/>
    <x v="108"/>
    <s v="H000005675"/>
    <s v="1215MC - SITE SERVICES"/>
    <s v="H000005670"/>
    <s v="New"/>
    <x v="1"/>
    <x v="3"/>
    <s v="HC"/>
    <s v="Processing"/>
    <m/>
    <s v="Anna Maria Urbano"/>
  </r>
  <r>
    <n v="3570"/>
    <s v="F2"/>
    <x v="108"/>
    <s v="H000005676"/>
    <s v="1215MC - MAINTENANCE AND ENGINEERING"/>
    <s v="H000005670"/>
    <s v="New"/>
    <x v="1"/>
    <x v="3"/>
    <s v="HC"/>
    <s v="Processing"/>
    <m/>
    <s v="Anna Maria Urbano"/>
  </r>
  <r>
    <n v="3571"/>
    <s v="F2"/>
    <x v="108"/>
    <s v="H000005677"/>
    <s v="1215MC - SUPPLY AND PLANNING"/>
    <s v="H000005670"/>
    <s v="New"/>
    <x v="1"/>
    <x v="3"/>
    <s v="HC"/>
    <s v="Processing"/>
    <m/>
    <s v="Anna Maria Urbano"/>
  </r>
  <r>
    <n v="3572"/>
    <s v="F2"/>
    <x v="108"/>
    <s v="H000005678"/>
    <s v="1215MC - OTHER FACILITIES"/>
    <s v="H000005671"/>
    <s v="New"/>
    <x v="1"/>
    <x v="3"/>
    <s v="HC"/>
    <s v="Processing"/>
    <m/>
    <s v="Anna Maria Urbano"/>
  </r>
  <r>
    <n v="3573"/>
    <s v="F2"/>
    <x v="108"/>
    <s v="H000005679"/>
    <s v="1215MC - MANUFACTURING FACILITIES"/>
    <s v="H000005671"/>
    <s v="New"/>
    <x v="1"/>
    <x v="3"/>
    <s v="HC"/>
    <s v="Processing"/>
    <m/>
    <s v="Anna Maria Urbano"/>
  </r>
  <r>
    <n v="3574"/>
    <s v="F2"/>
    <x v="108"/>
    <s v="H000005680"/>
    <s v="1215MC - QA"/>
    <s v="H000005672"/>
    <s v="New"/>
    <x v="1"/>
    <x v="3"/>
    <s v="HC"/>
    <s v="Processing"/>
    <m/>
    <s v="Anna Maria Urbano"/>
  </r>
  <r>
    <n v="3575"/>
    <s v="F2"/>
    <x v="108"/>
    <s v="H000005681"/>
    <s v="1215MC - QC"/>
    <s v="H000005672"/>
    <s v="New"/>
    <x v="1"/>
    <x v="3"/>
    <s v="HC"/>
    <s v="Processing"/>
    <m/>
    <s v="Anna Maria Urbano"/>
  </r>
  <r>
    <n v="3576"/>
    <s v="F2"/>
    <x v="108"/>
    <s v="H000005682"/>
    <s v="1215MC - API"/>
    <s v="H000005674"/>
    <s v="New"/>
    <x v="1"/>
    <x v="3"/>
    <s v="HC"/>
    <s v="Processing"/>
    <m/>
    <s v="Anna Maria Urbano"/>
  </r>
  <r>
    <n v="3577"/>
    <s v="F2"/>
    <x v="108"/>
    <s v="H000005683"/>
    <s v="1215MC - ELECTRONICS"/>
    <s v="H000005674"/>
    <s v="New"/>
    <x v="1"/>
    <x v="3"/>
    <s v="HC"/>
    <s v="Processing"/>
    <m/>
    <s v="Anna Maria Urbano"/>
  </r>
  <r>
    <n v="3578"/>
    <s v="F2"/>
    <x v="108"/>
    <s v="H000005684"/>
    <s v="1215MC - LIFE SCIENCE"/>
    <s v="H000005674"/>
    <s v="New"/>
    <x v="1"/>
    <x v="3"/>
    <s v="HC"/>
    <s v="Processing"/>
    <m/>
    <s v="Anna Maria Urbano"/>
  </r>
  <r>
    <n v="3579"/>
    <s v="F2"/>
    <x v="108"/>
    <s v="H000005685"/>
    <s v="1215MC - MCC"/>
    <s v="H000005682"/>
    <s v="New"/>
    <x v="1"/>
    <x v="3"/>
    <s v="HC"/>
    <s v="Processing"/>
    <m/>
    <s v="Anna Maria Urbano"/>
  </r>
  <r>
    <n v="3580"/>
    <s v="F2"/>
    <x v="108"/>
    <s v="H000005686"/>
    <s v="1215MC - LABOR"/>
    <s v="H000005682"/>
    <s v="New"/>
    <x v="1"/>
    <x v="3"/>
    <s v="HC"/>
    <s v="Processing"/>
    <m/>
    <s v="Anna Maria Urbano"/>
  </r>
  <r>
    <n v="3581"/>
    <s v="F2"/>
    <x v="108"/>
    <s v="H000005687"/>
    <s v="1215MC - EQUIPMENTS"/>
    <s v="H000005682"/>
    <s v="New"/>
    <x v="1"/>
    <x v="3"/>
    <s v="HC"/>
    <s v="Processing"/>
    <m/>
    <s v="Anna Maria Urbano"/>
  </r>
  <r>
    <n v="3582"/>
    <s v="F2"/>
    <x v="108"/>
    <s v="H000005688"/>
    <s v="1215MC - INDIRECT SERVICES"/>
    <s v="H000005682"/>
    <s v="New"/>
    <x v="1"/>
    <x v="3"/>
    <s v="HC"/>
    <s v="Processing"/>
    <m/>
    <s v="Anna Maria Urbano"/>
  </r>
  <r>
    <n v="3583"/>
    <s v="F2"/>
    <x v="108"/>
    <s v="H000005689"/>
    <s v="1215MC - MCC"/>
    <s v="H000005683"/>
    <s v="New"/>
    <x v="1"/>
    <x v="3"/>
    <s v="HC"/>
    <s v="Processing"/>
    <m/>
    <s v="Anna Maria Urbano"/>
  </r>
  <r>
    <n v="3584"/>
    <s v="F2"/>
    <x v="108"/>
    <s v="H000005690"/>
    <s v="1215MC - LABOR"/>
    <s v="H000005683"/>
    <s v="New"/>
    <x v="1"/>
    <x v="3"/>
    <s v="HC"/>
    <s v="Processing"/>
    <m/>
    <s v="Anna Maria Urbano"/>
  </r>
  <r>
    <n v="3585"/>
    <s v="F2"/>
    <x v="108"/>
    <s v="H000005691"/>
    <s v="1215MC - EQUIPMENTS"/>
    <s v="H000005683"/>
    <s v="New"/>
    <x v="1"/>
    <x v="3"/>
    <s v="HC"/>
    <s v="Processing"/>
    <m/>
    <s v="Anna Maria Urbano"/>
  </r>
  <r>
    <n v="3586"/>
    <s v="F2"/>
    <x v="108"/>
    <s v="H000005692"/>
    <s v="1215MC - INDIRECT SERVICES"/>
    <s v="H000005683"/>
    <s v="New"/>
    <x v="1"/>
    <x v="3"/>
    <s v="HC"/>
    <s v="Processing"/>
    <m/>
    <s v="Anna Maria Urbano"/>
  </r>
  <r>
    <n v="3587"/>
    <s v="F2"/>
    <x v="108"/>
    <s v="H000005693"/>
    <s v="1215MC - MCC"/>
    <s v="H000005684"/>
    <s v="New"/>
    <x v="1"/>
    <x v="3"/>
    <s v="HC"/>
    <s v="Processing"/>
    <m/>
    <s v="Anna Maria Urbano"/>
  </r>
  <r>
    <n v="3588"/>
    <s v="F2"/>
    <x v="108"/>
    <s v="H000005694"/>
    <s v="1215MC - LABOR"/>
    <s v="H000005684"/>
    <s v="New"/>
    <x v="1"/>
    <x v="3"/>
    <s v="HC"/>
    <s v="Processing"/>
    <m/>
    <s v="Anna Maria Urbano"/>
  </r>
  <r>
    <n v="3589"/>
    <s v="F2"/>
    <x v="108"/>
    <s v="H000005695"/>
    <s v="1215MC - EQUIPMENTS"/>
    <s v="H000005684"/>
    <s v="New"/>
    <x v="1"/>
    <x v="3"/>
    <s v="HC"/>
    <s v="Processing"/>
    <m/>
    <s v="Anna Maria Urbano"/>
  </r>
  <r>
    <n v="3590"/>
    <s v="F2"/>
    <x v="108"/>
    <s v="H000005696"/>
    <s v="1215MC - INDIRECT SERVICES"/>
    <s v="H000005684"/>
    <s v="New"/>
    <x v="1"/>
    <x v="3"/>
    <s v="HC"/>
    <s v="Processing"/>
    <m/>
    <s v="Anna Maria Urbano"/>
  </r>
  <r>
    <n v="3591"/>
    <s v="F2"/>
    <x v="108"/>
    <s v="H000005697"/>
    <s v="MERCK SPAIN - MOLLET CHEMICALS (BEF CCH)"/>
    <s v="H000000517"/>
    <s v="New"/>
    <x v="1"/>
    <x v="3"/>
    <s v="HC"/>
    <s v="Processing"/>
    <m/>
    <s v="Anna Maria Urbano"/>
  </r>
  <r>
    <n v="3592"/>
    <s v="F2"/>
    <x v="108"/>
    <s v="H000005698"/>
    <s v="MERCK SPAIN - TRES CANTOS (CCH)"/>
    <s v="H000000462"/>
    <s v="New"/>
    <x v="1"/>
    <x v="3"/>
    <s v="HC"/>
    <s v="Processing"/>
    <m/>
    <s v="Anna Maria Urbano"/>
  </r>
  <r>
    <n v="3593"/>
    <s v="F2"/>
    <x v="108"/>
    <s v="H000005699"/>
    <s v="1215TC - OPERATIONS"/>
    <s v="H000005698"/>
    <s v="New"/>
    <x v="1"/>
    <x v="3"/>
    <s v="HC"/>
    <s v="Processing"/>
    <m/>
    <s v="Anna Maria Urbano"/>
  </r>
  <r>
    <n v="3594"/>
    <s v="F2"/>
    <x v="108"/>
    <s v="H000005700"/>
    <s v="1215TC - OPERATIONS SUPPORT SERVICES"/>
    <s v="H000005698"/>
    <s v="New"/>
    <x v="1"/>
    <x v="3"/>
    <s v="HC"/>
    <s v="Processing"/>
    <m/>
    <s v="Anna Maria Urbano"/>
  </r>
  <r>
    <n v="3595"/>
    <s v="F2"/>
    <x v="108"/>
    <s v="H000005701"/>
    <s v="1215TC - SITE INFRASTRUCTURE"/>
    <s v="H000005698"/>
    <s v="New"/>
    <x v="1"/>
    <x v="3"/>
    <s v="HC"/>
    <s v="Processing"/>
    <m/>
    <s v="Anna Maria Urbano"/>
  </r>
  <r>
    <n v="3596"/>
    <s v="F2"/>
    <x v="108"/>
    <s v="H000005702"/>
    <s v="1215TC - QUALITY"/>
    <s v="H000005698"/>
    <s v="New"/>
    <x v="1"/>
    <x v="3"/>
    <s v="HC"/>
    <s v="Processing"/>
    <m/>
    <s v="Anna Maria Urbano"/>
  </r>
  <r>
    <n v="3597"/>
    <s v="F2"/>
    <x v="108"/>
    <s v="H000005703"/>
    <s v="1215TC - OTHERS"/>
    <s v="H000005698"/>
    <s v="New"/>
    <x v="1"/>
    <x v="3"/>
    <s v="HC"/>
    <s v="Processing"/>
    <m/>
    <s v="Anna Maria Urbano"/>
  </r>
  <r>
    <n v="3598"/>
    <s v="F2"/>
    <x v="108"/>
    <s v="H000005704"/>
    <s v="1215TC - MANUFACTURING"/>
    <s v="H000005699"/>
    <s v="New"/>
    <x v="1"/>
    <x v="3"/>
    <s v="HC"/>
    <s v="Processing"/>
    <m/>
    <s v="Anna Maria Urbano"/>
  </r>
  <r>
    <n v="3599"/>
    <s v="F2"/>
    <x v="108"/>
    <s v="H000005705"/>
    <s v="1215TC - SITE SERVICES"/>
    <s v="H000005700"/>
    <s v="New"/>
    <x v="1"/>
    <x v="3"/>
    <s v="HC"/>
    <s v="Processing"/>
    <m/>
    <s v="Anna Maria Urbano"/>
  </r>
  <r>
    <n v="3600"/>
    <s v="F2"/>
    <x v="108"/>
    <s v="H000005706"/>
    <s v="1215TC - MAINTENANCE AND ENGINEERING"/>
    <s v="H000005700"/>
    <s v="New"/>
    <x v="1"/>
    <x v="3"/>
    <s v="HC"/>
    <s v="Processing"/>
    <m/>
    <s v="Anna Maria Urbano"/>
  </r>
  <r>
    <n v="3601"/>
    <s v="F2"/>
    <x v="108"/>
    <s v="H000005707"/>
    <s v="1215TC - SUPPLY AND PLANNING"/>
    <s v="H000005700"/>
    <s v="New"/>
    <x v="1"/>
    <x v="3"/>
    <s v="HC"/>
    <s v="Processing"/>
    <m/>
    <s v="Anna Maria Urbano"/>
  </r>
  <r>
    <n v="3602"/>
    <s v="F2"/>
    <x v="108"/>
    <s v="H000005708"/>
    <s v="1215TC - QA"/>
    <s v="H000005702"/>
    <s v="New"/>
    <x v="1"/>
    <x v="3"/>
    <s v="HC"/>
    <s v="Processing"/>
    <m/>
    <s v="Anna Maria Urbano"/>
  </r>
  <r>
    <n v="3603"/>
    <s v="F2"/>
    <x v="108"/>
    <s v="H000005709"/>
    <s v="1215TC - QC"/>
    <s v="H000005702"/>
    <s v="New"/>
    <x v="1"/>
    <x v="3"/>
    <s v="HC"/>
    <s v="Processing"/>
    <m/>
    <s v="Anna Maria Urbano"/>
  </r>
  <r>
    <n v="3604"/>
    <s v="F2"/>
    <x v="108"/>
    <s v="H000005710"/>
    <s v="1215TC - MANUFACTURING FACILITIES"/>
    <s v="H000005701"/>
    <s v="New"/>
    <x v="1"/>
    <x v="3"/>
    <s v="HC"/>
    <s v="Processing"/>
    <m/>
    <s v="Anna Maria Urbano"/>
  </r>
  <r>
    <n v="3605"/>
    <s v="F2"/>
    <x v="108"/>
    <s v="H000005711"/>
    <s v="1215TC - DS"/>
    <s v="H000005704"/>
    <s v="New"/>
    <x v="1"/>
    <x v="3"/>
    <s v="HC"/>
    <s v="Processing"/>
    <m/>
    <s v="Anna Maria Urbano"/>
  </r>
  <r>
    <n v="3606"/>
    <s v="F2"/>
    <x v="108"/>
    <s v="H000005712"/>
    <s v="1215TC - MSAT MFG"/>
    <s v="H000005704"/>
    <s v="New"/>
    <x v="1"/>
    <x v="3"/>
    <s v="HC"/>
    <s v="Processing"/>
    <m/>
    <s v="Anna Maria Urbano"/>
  </r>
  <r>
    <n v="3607"/>
    <s v="F2"/>
    <x v="108"/>
    <s v="H000005713"/>
    <s v="1215TC - MCC"/>
    <s v="H000005711"/>
    <s v="New"/>
    <x v="1"/>
    <x v="3"/>
    <s v="HC"/>
    <s v="Processing"/>
    <m/>
    <s v="Anna Maria Urbano"/>
  </r>
  <r>
    <n v="3608"/>
    <s v="F2"/>
    <x v="108"/>
    <s v="H000005714"/>
    <s v="1215TC - EQUIPMENTS"/>
    <s v="H000005711"/>
    <s v="New"/>
    <x v="1"/>
    <x v="3"/>
    <s v="HC"/>
    <s v="Processing"/>
    <m/>
    <s v="Anna Maria Urbano"/>
  </r>
  <r>
    <n v="3609"/>
    <s v="F2"/>
    <x v="108"/>
    <s v="H000005715"/>
    <s v="1215TC - INDIRECT SERVICES"/>
    <s v="H000005711"/>
    <s v="New"/>
    <x v="1"/>
    <x v="3"/>
    <s v="HC"/>
    <s v="Processing"/>
    <m/>
    <s v="Anna Maria Urbano"/>
  </r>
  <r>
    <n v="3610"/>
    <s v="F2"/>
    <x v="108"/>
    <s v="H000005716"/>
    <s v="1215TC - LABOR"/>
    <s v="H000005711"/>
    <s v="New"/>
    <x v="1"/>
    <x v="3"/>
    <s v="HC"/>
    <s v="Processing"/>
    <m/>
    <s v="Anna Maria Urbano"/>
  </r>
  <r>
    <n v="3611"/>
    <s v="F2"/>
    <x v="108"/>
    <s v="H000005717"/>
    <s v="MERCK SPAIN - TRES CANTOS (BEFORE CCH)"/>
    <s v="H000000462"/>
    <s v="New"/>
    <x v="1"/>
    <x v="3"/>
    <s v="HC"/>
    <s v="Processing"/>
    <m/>
    <s v="Anna Maria Urbano"/>
  </r>
  <r>
    <n v="3612"/>
    <s v="F2"/>
    <x v="109"/>
    <s v="L000013970"/>
    <m/>
    <m/>
    <s v="Remove"/>
    <x v="0"/>
    <x v="2"/>
    <s v="LS"/>
    <s v="Rejected"/>
    <m/>
    <s v="Kalyani Raju"/>
  </r>
  <r>
    <n v="3613"/>
    <s v="F2"/>
    <x v="109"/>
    <s v="L000008335"/>
    <m/>
    <m/>
    <s v="Remove"/>
    <x v="0"/>
    <x v="2"/>
    <s v="LS"/>
    <s v="Rejected"/>
    <m/>
    <s v="Kalyani Raju"/>
  </r>
  <r>
    <n v="3614"/>
    <s v="F2"/>
    <x v="109"/>
    <s v="L000005092"/>
    <m/>
    <m/>
    <s v="Remove"/>
    <x v="0"/>
    <x v="2"/>
    <s v="LS"/>
    <s v="Rejected"/>
    <m/>
    <s v="Kalyani Raju"/>
  </r>
  <r>
    <n v="3615"/>
    <s v="F2"/>
    <x v="109"/>
    <s v="L000012791"/>
    <m/>
    <m/>
    <s v="Remove"/>
    <x v="0"/>
    <x v="2"/>
    <s v="LS"/>
    <s v="Rejected"/>
    <m/>
    <s v="Kalyani Raju"/>
  </r>
  <r>
    <n v="3616"/>
    <s v="F2"/>
    <x v="109"/>
    <s v="L000008336"/>
    <m/>
    <m/>
    <s v="Remove"/>
    <x v="0"/>
    <x v="2"/>
    <s v="LS"/>
    <s v="Rejected"/>
    <m/>
    <s v="Kalyani Raju"/>
  </r>
  <r>
    <n v="3617"/>
    <s v="F2"/>
    <x v="109"/>
    <s v="L000011868 "/>
    <m/>
    <m/>
    <s v="Remove"/>
    <x v="0"/>
    <x v="2"/>
    <s v="LS"/>
    <s v="Rejected"/>
    <m/>
    <s v="Kalyani Raju"/>
  </r>
  <r>
    <n v="3618"/>
    <s v="F2"/>
    <x v="109"/>
    <s v="L000008349"/>
    <m/>
    <m/>
    <s v="Remove"/>
    <x v="0"/>
    <x v="2"/>
    <s v="LS"/>
    <s v="Rejected"/>
    <m/>
    <s v="Kalyani Raju"/>
  </r>
  <r>
    <n v="3619"/>
    <s v="F2"/>
    <x v="109"/>
    <s v="L000013973 "/>
    <m/>
    <m/>
    <s v="Remove"/>
    <x v="0"/>
    <x v="2"/>
    <s v="LS"/>
    <s v="Rejected"/>
    <m/>
    <s v="Kalyani Raju"/>
  </r>
  <r>
    <n v="3620"/>
    <s v="F2"/>
    <x v="109"/>
    <s v="L000013974 "/>
    <m/>
    <m/>
    <s v="Remove"/>
    <x v="0"/>
    <x v="2"/>
    <s v="LS"/>
    <s v="Rejected"/>
    <m/>
    <s v="Kalyani Raju"/>
  </r>
  <r>
    <n v="3621"/>
    <s v="F2"/>
    <x v="109"/>
    <s v="L000008320"/>
    <m/>
    <m/>
    <s v="Remove"/>
    <x v="0"/>
    <x v="2"/>
    <s v="LS"/>
    <s v="Rejected"/>
    <m/>
    <s v="Kalyani Raju"/>
  </r>
  <r>
    <n v="3622"/>
    <s v="F2"/>
    <x v="109"/>
    <s v="L000008323"/>
    <m/>
    <m/>
    <s v="Remove"/>
    <x v="0"/>
    <x v="2"/>
    <s v="LS"/>
    <s v="Rejected"/>
    <m/>
    <s v="Kalyani Raju"/>
  </r>
  <r>
    <n v="3623"/>
    <s v="F2"/>
    <x v="109"/>
    <s v="L000008345"/>
    <s v="DE Commercial Excellence &amp; Tech Servc"/>
    <m/>
    <s v="Rename"/>
    <x v="0"/>
    <x v="2"/>
    <s v="LS"/>
    <s v="Rejected"/>
    <m/>
    <s v="Kalyani Raju"/>
  </r>
  <r>
    <n v="3624"/>
    <s v="F2"/>
    <x v="109"/>
    <s v="L000008331"/>
    <s v="DF Customer Success &amp; Digital Ecosystem"/>
    <m/>
    <s v="Rename"/>
    <x v="0"/>
    <x v="2"/>
    <s v="LS"/>
    <s v="Rejected"/>
    <m/>
    <s v="Kalyani Raju"/>
  </r>
  <r>
    <n v="3625"/>
    <s v="F2"/>
    <x v="109"/>
    <s v="L000013971"/>
    <s v="DA Regional Territories"/>
    <m/>
    <s v="Rename"/>
    <x v="0"/>
    <x v="2"/>
    <s v="LS"/>
    <s v="Rejected"/>
    <m/>
    <s v="Kalyani Raju"/>
  </r>
  <r>
    <n v="3626"/>
    <s v="F2"/>
    <x v="109"/>
    <s v="L000013972"/>
    <s v="DB Major Accounts"/>
    <m/>
    <s v="Rename"/>
    <x v="0"/>
    <x v="2"/>
    <s v="LS"/>
    <s v="Rejected"/>
    <m/>
    <s v="Kalyani Raju"/>
  </r>
  <r>
    <n v="3627"/>
    <s v="F2"/>
    <x v="109"/>
    <s v="L000013975"/>
    <s v="DG Business Planning &amp; Implementation"/>
    <m/>
    <s v="Rename"/>
    <x v="0"/>
    <x v="2"/>
    <s v="LS"/>
    <s v="Rejected"/>
    <m/>
    <s v="Kalyani Raju"/>
  </r>
  <r>
    <n v="3628"/>
    <s v="F2"/>
    <x v="109"/>
    <s v="L000013976 "/>
    <s v="DD Sales Development"/>
    <m/>
    <s v="Rename"/>
    <x v="0"/>
    <x v="2"/>
    <s v="LS"/>
    <s v="Rejected"/>
    <m/>
    <s v="Kalyani Raju"/>
  </r>
  <r>
    <n v="3629"/>
    <s v="F2"/>
    <x v="110"/>
    <s v="PL_ED_USE9"/>
    <s v="ProcOrd_US  Chandler"/>
    <s v="P000000976"/>
    <s v="New"/>
    <x v="1"/>
    <x v="3"/>
    <s v="EL"/>
    <s v="Processing"/>
    <m/>
    <s v="John Rowie Del Rosario"/>
  </r>
  <r>
    <n v="3630"/>
    <s v="F2"/>
    <x v="110"/>
    <s v="PL_ED_TWC5"/>
    <s v="ProcOrd_TW DS&amp;S Kaohsiung"/>
    <s v="P000000990"/>
    <s v="New"/>
    <x v="1"/>
    <x v="3"/>
    <s v="EL"/>
    <s v="Processing"/>
    <m/>
    <s v="John Rowie Del Rosario"/>
  </r>
  <r>
    <n v="3631"/>
    <s v="F2"/>
    <x v="110"/>
    <s v="PL_ED_KRC5"/>
    <s v="ProcOrd_KR Eumseong"/>
    <s v="P000000807"/>
    <s v="New"/>
    <x v="1"/>
    <x v="3"/>
    <s v="EL"/>
    <s v="Processing"/>
    <m/>
    <s v="John Rowie Del Rosario"/>
  </r>
  <r>
    <n v="3632"/>
    <s v="F2"/>
    <x v="110"/>
    <s v="PL_ED_CND3"/>
    <s v="ProcOrd_CN Zhangjiagang,"/>
    <s v="P000001562"/>
    <s v="New"/>
    <x v="1"/>
    <x v="3"/>
    <s v="EL"/>
    <s v="Processing"/>
    <m/>
    <s v="John Rowie Del Rosario"/>
  </r>
  <r>
    <n v="3633"/>
    <s v="F2"/>
    <x v="110"/>
    <s v="PL_E1_USBA"/>
    <s v="ProcOrd_US Sheboygan"/>
    <s v="P000001415"/>
    <s v="New"/>
    <x v="1"/>
    <x v="3"/>
    <s v="EL"/>
    <s v="Processing"/>
    <m/>
    <s v="John Rowie Del Rosario"/>
  </r>
  <r>
    <n v="3634"/>
    <s v="F2"/>
    <x v="110"/>
    <s v="PL_ED_KRC6"/>
    <s v="ProcOrd_KR DAEJEON R&amp;D Plant"/>
    <s v="P000000578"/>
    <s v="New"/>
    <x v="1"/>
    <x v="3"/>
    <s v="EL"/>
    <s v="Processing"/>
    <m/>
    <s v="John Rowie Del Rosari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2" firstHeaderRow="1" firstDataRow="1" firstDataCol="1" rowPageCount="1" colPageCount="1"/>
  <pivotFields count="13">
    <pivotField showAll="0"/>
    <pivotField showAll="0"/>
    <pivotField axis="axisRow" showAll="0">
      <items count="203">
        <item m="1" x="167"/>
        <item m="1" x="121"/>
        <item m="1" x="139"/>
        <item m="1" x="176"/>
        <item m="1" x="135"/>
        <item m="1" x="179"/>
        <item m="1" x="125"/>
        <item m="1" x="189"/>
        <item m="1" x="118"/>
        <item m="1" x="150"/>
        <item m="1" x="160"/>
        <item m="1" x="180"/>
        <item m="1" x="165"/>
        <item m="1" x="143"/>
        <item m="1" x="161"/>
        <item m="1" x="136"/>
        <item m="1" x="197"/>
        <item m="1" x="133"/>
        <item m="1" x="195"/>
        <item m="1" x="126"/>
        <item m="1" x="181"/>
        <item m="1" x="196"/>
        <item m="1" x="182"/>
        <item m="1" x="151"/>
        <item m="1" x="199"/>
        <item m="1" x="155"/>
        <item m="1" x="144"/>
        <item m="1" x="201"/>
        <item m="1" x="140"/>
        <item m="1" x="162"/>
        <item m="1" x="157"/>
        <item m="1" x="141"/>
        <item m="1" x="163"/>
        <item m="1" x="115"/>
        <item m="1" x="145"/>
        <item m="1" x="170"/>
        <item m="1" x="137"/>
        <item m="1" x="192"/>
        <item m="1" x="186"/>
        <item m="1" x="194"/>
        <item m="1" x="116"/>
        <item m="1" x="168"/>
        <item m="1" x="111"/>
        <item m="1" x="154"/>
        <item m="1" x="193"/>
        <item m="1" x="173"/>
        <item m="1" x="134"/>
        <item m="1" x="153"/>
        <item m="1" x="166"/>
        <item m="1" x="156"/>
        <item m="1" x="119"/>
        <item m="1" x="131"/>
        <item m="1" x="127"/>
        <item m="1" x="200"/>
        <item m="1" x="147"/>
        <item m="1" x="112"/>
        <item m="1" x="187"/>
        <item m="1" x="149"/>
        <item m="1" x="142"/>
        <item m="1" x="178"/>
        <item m="1" x="148"/>
        <item m="1" x="117"/>
        <item m="1" x="183"/>
        <item m="1" x="152"/>
        <item m="1" x="128"/>
        <item m="1" x="158"/>
        <item m="1" x="132"/>
        <item m="1" x="171"/>
        <item m="1" x="175"/>
        <item m="1" x="122"/>
        <item m="1" x="120"/>
        <item m="1" x="159"/>
        <item m="1" x="198"/>
        <item m="1" x="130"/>
        <item m="1" x="123"/>
        <item m="1" x="174"/>
        <item m="1" x="169"/>
        <item m="1" x="172"/>
        <item m="1" x="188"/>
        <item m="1" x="138"/>
        <item m="1" x="114"/>
        <item m="1" x="184"/>
        <item m="1" x="129"/>
        <item m="1" x="124"/>
        <item m="1" x="185"/>
        <item m="1" x="190"/>
        <item m="1" x="146"/>
        <item m="1" x="191"/>
        <item m="1" x="177"/>
        <item m="1" x="1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13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6">
        <item m="1" x="4"/>
        <item x="0"/>
        <item x="1"/>
        <item x="3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9">
    <i>
      <x v="195"/>
    </i>
    <i r="1">
      <x v="3"/>
    </i>
    <i>
      <x v="196"/>
    </i>
    <i r="1">
      <x v="3"/>
    </i>
    <i>
      <x v="199"/>
    </i>
    <i r="1">
      <x v="3"/>
    </i>
    <i>
      <x v="201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686" totalsRowShown="0">
  <autoFilter ref="A1:M3686" xr:uid="{00000000-000C-0000-FFFF-FFFF00000000}">
    <filterColumn colId="7">
      <filters blank="1"/>
    </filterColumn>
    <filterColumn colId="10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2"/>
  <sheetViews>
    <sheetView workbookViewId="0">
      <selection activeCell="D15" sqref="D15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12387</v>
      </c>
      <c r="B4" s="42">
        <v>22</v>
      </c>
    </row>
    <row r="5" spans="1:2">
      <c r="A5" s="65" t="s">
        <v>12297</v>
      </c>
      <c r="B5" s="42">
        <v>22</v>
      </c>
    </row>
    <row r="6" spans="1:2">
      <c r="A6" s="30" t="s">
        <v>12388</v>
      </c>
      <c r="B6" s="42">
        <v>4</v>
      </c>
    </row>
    <row r="7" spans="1:2">
      <c r="A7" s="65" t="s">
        <v>12297</v>
      </c>
      <c r="B7" s="42">
        <v>4</v>
      </c>
    </row>
    <row r="8" spans="1:2">
      <c r="A8" s="30" t="s">
        <v>12406</v>
      </c>
      <c r="B8" s="42">
        <v>208</v>
      </c>
    </row>
    <row r="9" spans="1:2">
      <c r="A9" s="65" t="s">
        <v>12297</v>
      </c>
      <c r="B9" s="42">
        <v>208</v>
      </c>
    </row>
    <row r="10" spans="1:2">
      <c r="A10" s="30" t="s">
        <v>12578</v>
      </c>
      <c r="B10" s="42">
        <v>6</v>
      </c>
    </row>
    <row r="11" spans="1:2">
      <c r="A11" s="65" t="s">
        <v>12297</v>
      </c>
      <c r="B11" s="42">
        <v>6</v>
      </c>
    </row>
    <row r="12" spans="1:2">
      <c r="A12" s="30" t="s">
        <v>10</v>
      </c>
      <c r="B12" s="42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93"/>
  <sheetViews>
    <sheetView topLeftCell="A356" workbookViewId="0">
      <selection activeCell="B393" sqref="B390:B393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11465</v>
      </c>
      <c r="B365" s="34" t="s">
        <v>86</v>
      </c>
    </row>
    <row r="366" spans="1:2">
      <c r="A366" s="5" t="s">
        <v>11682</v>
      </c>
      <c r="B366" s="34" t="s">
        <v>86</v>
      </c>
    </row>
    <row r="367" spans="1:2">
      <c r="A367" s="5" t="s">
        <v>12118</v>
      </c>
      <c r="B367" s="34" t="s">
        <v>86</v>
      </c>
    </row>
    <row r="368" spans="1:2">
      <c r="A368" s="44" t="s">
        <v>12132</v>
      </c>
      <c r="B368" s="34" t="s">
        <v>86</v>
      </c>
    </row>
    <row r="369" spans="1:2">
      <c r="A369" s="5" t="s">
        <v>11681</v>
      </c>
      <c r="B369" s="34" t="s">
        <v>86</v>
      </c>
    </row>
    <row r="370" spans="1:2">
      <c r="A370" s="5" t="s">
        <v>12120</v>
      </c>
      <c r="B370" s="34" t="s">
        <v>86</v>
      </c>
    </row>
    <row r="371" spans="1:2">
      <c r="A371" s="5" t="s">
        <v>12117</v>
      </c>
      <c r="B371" s="34" t="s">
        <v>86</v>
      </c>
    </row>
    <row r="372" spans="1:2">
      <c r="A372" s="5" t="s">
        <v>12267</v>
      </c>
      <c r="B372" s="34" t="s">
        <v>86</v>
      </c>
    </row>
    <row r="373" spans="1:2">
      <c r="A373" s="5" t="s">
        <v>12268</v>
      </c>
      <c r="B373" s="34" t="s">
        <v>86</v>
      </c>
    </row>
    <row r="374" spans="1:2">
      <c r="A374" s="5" t="s">
        <v>12269</v>
      </c>
      <c r="B374" s="34" t="s">
        <v>86</v>
      </c>
    </row>
    <row r="375" spans="1:2">
      <c r="A375" s="5" t="s">
        <v>12275</v>
      </c>
      <c r="B375" s="34" t="s">
        <v>86</v>
      </c>
    </row>
    <row r="376" spans="1:2">
      <c r="A376" s="5" t="s">
        <v>12287</v>
      </c>
      <c r="B376" s="34" t="s">
        <v>86</v>
      </c>
    </row>
    <row r="377" spans="1:2">
      <c r="A377" s="5" t="s">
        <v>12292</v>
      </c>
      <c r="B377" s="34" t="s">
        <v>86</v>
      </c>
    </row>
    <row r="378" spans="1:2">
      <c r="A378" s="5" t="s">
        <v>12291</v>
      </c>
      <c r="B378" s="34" t="s">
        <v>86</v>
      </c>
    </row>
    <row r="379" spans="1:2">
      <c r="A379" s="5" t="s">
        <v>12293</v>
      </c>
      <c r="B379" s="34" t="s">
        <v>86</v>
      </c>
    </row>
    <row r="380" spans="1:2">
      <c r="A380" s="5" t="s">
        <v>12299</v>
      </c>
      <c r="B380" s="34" t="s">
        <v>86</v>
      </c>
    </row>
    <row r="381" spans="1:2">
      <c r="A381" s="5" t="s">
        <v>12301</v>
      </c>
      <c r="B381" s="34" t="s">
        <v>86</v>
      </c>
    </row>
    <row r="382" spans="1:2">
      <c r="A382" s="5" t="s">
        <v>12304</v>
      </c>
      <c r="B382" s="34" t="s">
        <v>86</v>
      </c>
    </row>
    <row r="383" spans="1:2">
      <c r="A383" s="5" t="s">
        <v>12305</v>
      </c>
      <c r="B383" s="34" t="s">
        <v>86</v>
      </c>
    </row>
    <row r="384" spans="1:2">
      <c r="A384" s="5" t="s">
        <v>12310</v>
      </c>
      <c r="B384" s="34" t="s">
        <v>86</v>
      </c>
    </row>
    <row r="385" spans="1:2">
      <c r="A385" s="5" t="s">
        <v>12313</v>
      </c>
      <c r="B385" s="34" t="s">
        <v>86</v>
      </c>
    </row>
    <row r="386" spans="1:2">
      <c r="A386" s="5" t="s">
        <v>12325</v>
      </c>
      <c r="B386" s="34" t="s">
        <v>86</v>
      </c>
    </row>
    <row r="387" spans="1:2">
      <c r="A387" s="5" t="s">
        <v>12337</v>
      </c>
      <c r="B387" s="34" t="s">
        <v>86</v>
      </c>
    </row>
    <row r="388" spans="1:2">
      <c r="A388" s="5" t="s">
        <v>12347</v>
      </c>
      <c r="B388" s="34" t="s">
        <v>86</v>
      </c>
    </row>
    <row r="389" spans="1:2">
      <c r="A389" s="5" t="s">
        <v>12349</v>
      </c>
      <c r="B389" s="34" t="s">
        <v>86</v>
      </c>
    </row>
    <row r="390" spans="1:2">
      <c r="A390" s="5" t="s">
        <v>12350</v>
      </c>
      <c r="B390" s="34" t="s">
        <v>86</v>
      </c>
    </row>
    <row r="391" spans="1:2">
      <c r="A391" s="5" t="s">
        <v>12389</v>
      </c>
      <c r="B391" s="34" t="s">
        <v>86</v>
      </c>
    </row>
    <row r="392" spans="1:2">
      <c r="A392" s="5" t="s">
        <v>12405</v>
      </c>
      <c r="B392" s="34" t="s">
        <v>86</v>
      </c>
    </row>
    <row r="393" spans="1:2">
      <c r="A393" s="5" t="s">
        <v>12565</v>
      </c>
      <c r="B393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686"/>
  <sheetViews>
    <sheetView zoomScaleNormal="100" workbookViewId="0">
      <selection activeCell="D3636" sqref="D3636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12135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12135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12135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12135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12135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12135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12135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12135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12135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12135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12134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12134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12134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12134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12134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12134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12134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12134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12134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12134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K1619" s="8" t="s">
        <v>11289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 t="s">
        <v>11289</v>
      </c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 t="s">
        <v>11289</v>
      </c>
      <c r="L1621" s="34" t="b">
        <v>1</v>
      </c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 t="s">
        <v>11289</v>
      </c>
      <c r="L1622" s="34" t="b">
        <v>1</v>
      </c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 t="s">
        <v>11289</v>
      </c>
      <c r="L1623" s="34" t="b">
        <v>1</v>
      </c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 t="s">
        <v>11289</v>
      </c>
      <c r="L1624" s="34" t="b">
        <v>1</v>
      </c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 t="s">
        <v>11289</v>
      </c>
      <c r="L1625" s="34" t="b">
        <v>1</v>
      </c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 t="s">
        <v>11289</v>
      </c>
      <c r="L1626" s="34" t="b">
        <v>1</v>
      </c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 t="s">
        <v>11289</v>
      </c>
      <c r="L1627" s="34" t="b">
        <v>1</v>
      </c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 t="s">
        <v>11289</v>
      </c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 t="s">
        <v>11289</v>
      </c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 t="s">
        <v>11289</v>
      </c>
      <c r="L1630" s="34" t="b">
        <v>1</v>
      </c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 t="s">
        <v>11289</v>
      </c>
      <c r="L1631" s="34" t="b">
        <v>1</v>
      </c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 t="s">
        <v>11289</v>
      </c>
      <c r="L1632" s="34" t="b">
        <v>1</v>
      </c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 t="s">
        <v>11289</v>
      </c>
      <c r="L1633" s="34" t="b">
        <v>1</v>
      </c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 t="s">
        <v>11289</v>
      </c>
      <c r="L1634" s="34" t="b">
        <v>1</v>
      </c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 t="s">
        <v>11289</v>
      </c>
      <c r="L1635" s="34" t="b">
        <v>1</v>
      </c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 t="s">
        <v>11289</v>
      </c>
      <c r="L1636" s="34" t="b">
        <v>1</v>
      </c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 t="s">
        <v>11289</v>
      </c>
      <c r="L1637" s="34" t="b">
        <v>1</v>
      </c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 t="s">
        <v>11289</v>
      </c>
      <c r="L1638" s="34" t="b">
        <v>1</v>
      </c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 t="s">
        <v>11290</v>
      </c>
      <c r="L1639" s="34" t="b">
        <v>1</v>
      </c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 t="s">
        <v>11290</v>
      </c>
      <c r="L1640" s="34" t="b">
        <v>1</v>
      </c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 t="s">
        <v>11290</v>
      </c>
      <c r="L1641" s="34" t="b">
        <v>1</v>
      </c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 t="s">
        <v>11290</v>
      </c>
      <c r="L1642" s="34" t="b">
        <v>1</v>
      </c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 t="s">
        <v>11290</v>
      </c>
      <c r="L1643" s="34" t="b">
        <v>1</v>
      </c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 t="s">
        <v>11290</v>
      </c>
      <c r="L1644" s="34" t="b">
        <v>1</v>
      </c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 t="s">
        <v>11290</v>
      </c>
      <c r="L1645" s="34" t="b">
        <v>1</v>
      </c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 t="s">
        <v>11290</v>
      </c>
      <c r="L1646" s="34" t="b">
        <v>1</v>
      </c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 t="s">
        <v>11290</v>
      </c>
      <c r="L1647" s="34" t="b">
        <v>1</v>
      </c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 t="s">
        <v>11290</v>
      </c>
      <c r="L1648" s="34" t="b">
        <v>1</v>
      </c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 t="s">
        <v>11290</v>
      </c>
      <c r="L1649" s="34" t="b">
        <v>1</v>
      </c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 t="s">
        <v>11290</v>
      </c>
      <c r="L1650" s="34" t="b">
        <v>1</v>
      </c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 t="s">
        <v>11290</v>
      </c>
      <c r="L1651" s="34" t="b">
        <v>1</v>
      </c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 t="s">
        <v>11290</v>
      </c>
      <c r="L1652" s="34" t="b">
        <v>1</v>
      </c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 t="s">
        <v>11290</v>
      </c>
      <c r="L1653" s="34" t="b">
        <v>1</v>
      </c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 t="s">
        <v>11290</v>
      </c>
      <c r="L1654" s="34" t="b">
        <v>1</v>
      </c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 t="s">
        <v>11290</v>
      </c>
      <c r="L1655" s="34" t="b">
        <v>1</v>
      </c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 t="s">
        <v>11290</v>
      </c>
      <c r="L1656" s="34" t="b">
        <v>1</v>
      </c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 t="s">
        <v>11290</v>
      </c>
      <c r="L1657" s="34" t="b">
        <v>1</v>
      </c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 t="s">
        <v>11290</v>
      </c>
      <c r="L1658" s="34" t="b">
        <v>1</v>
      </c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 t="s">
        <v>11290</v>
      </c>
      <c r="L1659" s="34" t="b">
        <v>1</v>
      </c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 t="s">
        <v>11290</v>
      </c>
      <c r="L1660" s="34" t="b">
        <v>1</v>
      </c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 t="s">
        <v>11290</v>
      </c>
      <c r="L1661" s="34" t="b">
        <v>1</v>
      </c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 t="s">
        <v>11290</v>
      </c>
      <c r="L1662" s="34" t="b">
        <v>1</v>
      </c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 t="s">
        <v>11290</v>
      </c>
      <c r="L1663" s="34" t="b">
        <v>1</v>
      </c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 t="s">
        <v>11290</v>
      </c>
      <c r="L1664" s="34" t="b">
        <v>1</v>
      </c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 t="s">
        <v>11290</v>
      </c>
      <c r="L1665" s="34" t="b">
        <v>1</v>
      </c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 t="s">
        <v>11290</v>
      </c>
      <c r="L1666" s="34" t="b">
        <v>1</v>
      </c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 t="s">
        <v>11290</v>
      </c>
      <c r="L1667" s="34" t="b">
        <v>1</v>
      </c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 t="s">
        <v>11290</v>
      </c>
      <c r="L1668" s="34" t="b">
        <v>1</v>
      </c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 t="s">
        <v>11290</v>
      </c>
      <c r="L1669" s="34" t="b">
        <v>1</v>
      </c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 t="s">
        <v>11290</v>
      </c>
      <c r="L1670" s="34" t="b">
        <v>1</v>
      </c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 t="s">
        <v>11290</v>
      </c>
      <c r="L1671" s="34" t="b">
        <v>1</v>
      </c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 t="s">
        <v>11290</v>
      </c>
      <c r="L1672" s="34" t="b">
        <v>1</v>
      </c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 t="s">
        <v>11290</v>
      </c>
      <c r="L1673" s="34" t="b">
        <v>1</v>
      </c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 t="s">
        <v>11290</v>
      </c>
      <c r="L1674" s="34" t="b">
        <v>1</v>
      </c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 t="s">
        <v>11290</v>
      </c>
      <c r="L1675" s="34" t="b">
        <v>1</v>
      </c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 t="s">
        <v>11290</v>
      </c>
      <c r="L1676" s="34" t="b">
        <v>1</v>
      </c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 t="s">
        <v>11290</v>
      </c>
      <c r="L1677" s="34" t="b">
        <v>1</v>
      </c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 t="s">
        <v>11290</v>
      </c>
      <c r="L1678" s="34" t="b">
        <v>1</v>
      </c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 t="s">
        <v>11290</v>
      </c>
      <c r="L1679" s="34" t="b">
        <v>1</v>
      </c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 t="s">
        <v>11290</v>
      </c>
      <c r="L1680" s="34" t="b">
        <v>1</v>
      </c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 t="s">
        <v>11290</v>
      </c>
      <c r="L1681" s="34" t="b">
        <v>1</v>
      </c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 t="s">
        <v>11290</v>
      </c>
      <c r="L1682" s="34" t="b">
        <v>1</v>
      </c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 t="s">
        <v>11290</v>
      </c>
      <c r="L1683" s="34" t="b">
        <v>1</v>
      </c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 t="s">
        <v>11290</v>
      </c>
      <c r="L1684" s="34" t="b">
        <v>1</v>
      </c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 t="s">
        <v>11290</v>
      </c>
      <c r="L1685" s="34" t="b">
        <v>1</v>
      </c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 t="s">
        <v>11290</v>
      </c>
      <c r="L1686" s="34" t="b">
        <v>1</v>
      </c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 t="s">
        <v>11290</v>
      </c>
      <c r="L1687" s="34" t="b">
        <v>1</v>
      </c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 t="s">
        <v>11290</v>
      </c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 t="s">
        <v>11290</v>
      </c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 t="s">
        <v>11290</v>
      </c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 t="s">
        <v>11290</v>
      </c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 t="s">
        <v>11290</v>
      </c>
      <c r="L1692" s="34" t="b">
        <v>1</v>
      </c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 t="s">
        <v>11290</v>
      </c>
      <c r="L1693" s="34" t="b">
        <v>1</v>
      </c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 t="s">
        <v>11290</v>
      </c>
      <c r="L1694" s="34" t="b">
        <v>1</v>
      </c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 t="s">
        <v>11290</v>
      </c>
      <c r="L1695" s="34" t="b">
        <v>1</v>
      </c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 t="s">
        <v>11290</v>
      </c>
      <c r="L1696" s="34" t="b">
        <v>1</v>
      </c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 t="s">
        <v>11290</v>
      </c>
      <c r="L1697" s="34" t="b">
        <v>1</v>
      </c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 t="s">
        <v>11290</v>
      </c>
      <c r="L1698" s="34" t="b">
        <v>1</v>
      </c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 t="s">
        <v>11290</v>
      </c>
      <c r="L1699" s="34" t="b">
        <v>1</v>
      </c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 t="s">
        <v>11290</v>
      </c>
      <c r="L1700" s="34" t="b">
        <v>1</v>
      </c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 t="s">
        <v>11290</v>
      </c>
      <c r="L1701" s="34" t="b">
        <v>1</v>
      </c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 t="s">
        <v>11290</v>
      </c>
      <c r="L1702" s="34" t="b">
        <v>1</v>
      </c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 t="s">
        <v>11290</v>
      </c>
      <c r="L1703" s="34" t="b">
        <v>1</v>
      </c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 t="s">
        <v>11290</v>
      </c>
      <c r="L1704" s="34" t="b">
        <v>1</v>
      </c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 t="s">
        <v>11290</v>
      </c>
      <c r="L1705" s="34" t="b">
        <v>1</v>
      </c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 t="s">
        <v>11290</v>
      </c>
      <c r="L1706" s="34" t="b">
        <v>1</v>
      </c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 t="s">
        <v>11290</v>
      </c>
      <c r="L1707" s="34" t="b">
        <v>1</v>
      </c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 t="s">
        <v>11290</v>
      </c>
      <c r="L1708" s="34" t="b">
        <v>1</v>
      </c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 t="s">
        <v>11290</v>
      </c>
      <c r="L1709" s="34" t="b">
        <v>1</v>
      </c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 t="s">
        <v>11289</v>
      </c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 t="s">
        <v>11289</v>
      </c>
      <c r="L1711" s="34"/>
      <c r="M1711" s="34" t="s">
        <v>12136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 t="s">
        <v>11289</v>
      </c>
      <c r="L1712" s="34"/>
      <c r="M1712" s="34" t="s">
        <v>12136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 t="s">
        <v>11289</v>
      </c>
      <c r="L1713" s="34"/>
      <c r="M1713" s="34" t="s">
        <v>12136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 t="s">
        <v>11289</v>
      </c>
      <c r="L1714" s="34"/>
      <c r="M1714" s="34" t="s">
        <v>12136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 t="s">
        <v>11289</v>
      </c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 t="s">
        <v>11289</v>
      </c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 t="s">
        <v>11289</v>
      </c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 t="s">
        <v>11289</v>
      </c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 t="s">
        <v>11289</v>
      </c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 t="s">
        <v>11289</v>
      </c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 t="s">
        <v>11289</v>
      </c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 t="s">
        <v>11289</v>
      </c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 t="s">
        <v>11289</v>
      </c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 t="s">
        <v>11289</v>
      </c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 t="s">
        <v>11289</v>
      </c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 t="s">
        <v>11289</v>
      </c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 t="s">
        <v>11289</v>
      </c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 t="s">
        <v>11289</v>
      </c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 t="s">
        <v>11289</v>
      </c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 t="s">
        <v>11289</v>
      </c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 t="s">
        <v>11289</v>
      </c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 t="s">
        <v>11289</v>
      </c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 t="s">
        <v>11289</v>
      </c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 t="s">
        <v>11289</v>
      </c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 t="s">
        <v>11289</v>
      </c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 t="s">
        <v>11289</v>
      </c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 t="s">
        <v>11289</v>
      </c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 t="s">
        <v>11289</v>
      </c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 t="s">
        <v>11289</v>
      </c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 t="s">
        <v>11289</v>
      </c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 t="s">
        <v>11289</v>
      </c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 t="s">
        <v>11289</v>
      </c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 t="s">
        <v>11289</v>
      </c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 t="s">
        <v>11289</v>
      </c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 t="s">
        <v>11289</v>
      </c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 t="s">
        <v>11289</v>
      </c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 t="s">
        <v>11289</v>
      </c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 t="s">
        <v>11289</v>
      </c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 t="s">
        <v>11289</v>
      </c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 t="s">
        <v>11289</v>
      </c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 t="s">
        <v>11289</v>
      </c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 t="s">
        <v>11289</v>
      </c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 t="s">
        <v>11289</v>
      </c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 t="s">
        <v>11289</v>
      </c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 t="s">
        <v>11289</v>
      </c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 t="s">
        <v>11289</v>
      </c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 t="s">
        <v>11289</v>
      </c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 t="s">
        <v>11289</v>
      </c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 t="s">
        <v>11289</v>
      </c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 t="s">
        <v>11289</v>
      </c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 t="s">
        <v>11289</v>
      </c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 t="s">
        <v>11289</v>
      </c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 t="s">
        <v>11289</v>
      </c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 t="s">
        <v>11289</v>
      </c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 t="s">
        <v>11289</v>
      </c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 t="s">
        <v>11289</v>
      </c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 t="s">
        <v>11289</v>
      </c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 t="s">
        <v>11289</v>
      </c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 t="s">
        <v>11289</v>
      </c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 t="s">
        <v>11289</v>
      </c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 t="s">
        <v>11289</v>
      </c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 t="s">
        <v>11289</v>
      </c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 t="s">
        <v>11289</v>
      </c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 t="s">
        <v>11289</v>
      </c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 t="s">
        <v>11289</v>
      </c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 t="s">
        <v>11289</v>
      </c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 t="s">
        <v>11289</v>
      </c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 t="s">
        <v>11289</v>
      </c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 t="s">
        <v>11289</v>
      </c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 t="s">
        <v>11289</v>
      </c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 t="s">
        <v>11289</v>
      </c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 t="s">
        <v>11289</v>
      </c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 t="s">
        <v>11289</v>
      </c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 t="s">
        <v>11289</v>
      </c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 t="s">
        <v>11289</v>
      </c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 t="s">
        <v>11289</v>
      </c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 t="s">
        <v>11289</v>
      </c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 t="s">
        <v>11289</v>
      </c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 t="s">
        <v>11289</v>
      </c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 t="s">
        <v>11289</v>
      </c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 t="s">
        <v>11289</v>
      </c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 t="s">
        <v>11289</v>
      </c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 t="s">
        <v>11289</v>
      </c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 t="s">
        <v>11289</v>
      </c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 t="s">
        <v>11289</v>
      </c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 t="s">
        <v>11289</v>
      </c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 t="s">
        <v>11289</v>
      </c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 t="s">
        <v>11289</v>
      </c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 t="s">
        <v>11289</v>
      </c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 t="s">
        <v>11289</v>
      </c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 t="s">
        <v>11289</v>
      </c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 t="s">
        <v>11289</v>
      </c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 t="s">
        <v>11289</v>
      </c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 t="s">
        <v>11289</v>
      </c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 t="s">
        <v>11289</v>
      </c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 t="s">
        <v>11289</v>
      </c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 t="s">
        <v>11289</v>
      </c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 t="s">
        <v>11289</v>
      </c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 t="s">
        <v>11289</v>
      </c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 t="s">
        <v>11289</v>
      </c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 t="s">
        <v>11289</v>
      </c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 t="s">
        <v>11289</v>
      </c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 t="s">
        <v>11289</v>
      </c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 t="s">
        <v>11289</v>
      </c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 t="s">
        <v>11289</v>
      </c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 t="s">
        <v>11289</v>
      </c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 t="s">
        <v>11289</v>
      </c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 t="s">
        <v>11289</v>
      </c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 t="s">
        <v>11289</v>
      </c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 t="s">
        <v>11289</v>
      </c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 t="s">
        <v>11289</v>
      </c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 t="s">
        <v>11289</v>
      </c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 t="s">
        <v>11289</v>
      </c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 t="s">
        <v>11289</v>
      </c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 t="s">
        <v>11289</v>
      </c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 t="s">
        <v>11289</v>
      </c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 t="s">
        <v>11289</v>
      </c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 t="s">
        <v>11289</v>
      </c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 t="s">
        <v>11289</v>
      </c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 t="s">
        <v>11289</v>
      </c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 t="s">
        <v>11289</v>
      </c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 t="s">
        <v>11289</v>
      </c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 t="s">
        <v>11289</v>
      </c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 t="s">
        <v>11289</v>
      </c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 t="s">
        <v>11289</v>
      </c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 t="s">
        <v>11289</v>
      </c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 t="s">
        <v>11289</v>
      </c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 t="s">
        <v>11289</v>
      </c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 t="s">
        <v>11289</v>
      </c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 t="s">
        <v>11289</v>
      </c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 t="s">
        <v>11289</v>
      </c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 t="s">
        <v>11289</v>
      </c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 t="s">
        <v>11289</v>
      </c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 t="s">
        <v>11289</v>
      </c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 t="s">
        <v>11289</v>
      </c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 t="s">
        <v>11289</v>
      </c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 t="s">
        <v>11289</v>
      </c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 t="s">
        <v>11289</v>
      </c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 t="s">
        <v>11289</v>
      </c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 t="s">
        <v>11289</v>
      </c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 t="s">
        <v>11289</v>
      </c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 t="s">
        <v>11289</v>
      </c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 t="s">
        <v>11289</v>
      </c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 t="s">
        <v>11289</v>
      </c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 t="s">
        <v>11289</v>
      </c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 t="s">
        <v>11289</v>
      </c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 t="s">
        <v>11289</v>
      </c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 t="s">
        <v>11289</v>
      </c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 t="s">
        <v>11289</v>
      </c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 t="s">
        <v>11289</v>
      </c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 t="s">
        <v>11289</v>
      </c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 t="s">
        <v>11289</v>
      </c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 t="s">
        <v>11289</v>
      </c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 t="s">
        <v>11289</v>
      </c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 t="s">
        <v>11289</v>
      </c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 t="s">
        <v>11289</v>
      </c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 t="s">
        <v>11289</v>
      </c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 t="s">
        <v>11289</v>
      </c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 t="s">
        <v>11289</v>
      </c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 t="s">
        <v>11289</v>
      </c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 t="s">
        <v>11289</v>
      </c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 t="s">
        <v>11289</v>
      </c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 t="s">
        <v>11289</v>
      </c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 t="s">
        <v>11289</v>
      </c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 t="s">
        <v>11289</v>
      </c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 t="s">
        <v>11289</v>
      </c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 t="s">
        <v>11289</v>
      </c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 t="s">
        <v>11289</v>
      </c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 t="s">
        <v>11289</v>
      </c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 t="s">
        <v>11289</v>
      </c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 t="s">
        <v>11289</v>
      </c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 t="s">
        <v>11289</v>
      </c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 t="s">
        <v>11289</v>
      </c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 t="s">
        <v>11289</v>
      </c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 t="s">
        <v>11289</v>
      </c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 t="s">
        <v>11289</v>
      </c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 t="s">
        <v>11289</v>
      </c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 t="s">
        <v>11289</v>
      </c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 t="s">
        <v>11289</v>
      </c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 t="s">
        <v>11289</v>
      </c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 t="s">
        <v>11289</v>
      </c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 t="s">
        <v>11289</v>
      </c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 t="s">
        <v>11289</v>
      </c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 t="s">
        <v>11289</v>
      </c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 t="s">
        <v>11289</v>
      </c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 t="s">
        <v>11289</v>
      </c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 t="s">
        <v>11289</v>
      </c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 t="s">
        <v>11289</v>
      </c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 t="s">
        <v>11289</v>
      </c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 t="s">
        <v>11289</v>
      </c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 t="s">
        <v>11289</v>
      </c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 t="s">
        <v>11289</v>
      </c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 t="s">
        <v>11289</v>
      </c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 t="s">
        <v>11289</v>
      </c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 t="s">
        <v>11289</v>
      </c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 t="s">
        <v>11289</v>
      </c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 t="s">
        <v>11289</v>
      </c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 t="s">
        <v>11289</v>
      </c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 t="s">
        <v>11289</v>
      </c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 t="s">
        <v>11289</v>
      </c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 t="s">
        <v>11289</v>
      </c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 t="s">
        <v>11289</v>
      </c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 t="s">
        <v>11289</v>
      </c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 t="s">
        <v>11289</v>
      </c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 t="s">
        <v>11289</v>
      </c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 t="s">
        <v>11289</v>
      </c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 t="s">
        <v>11289</v>
      </c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 t="s">
        <v>11289</v>
      </c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 t="s">
        <v>11289</v>
      </c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 t="s">
        <v>11289</v>
      </c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 t="s">
        <v>11289</v>
      </c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 t="s">
        <v>11289</v>
      </c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 t="s">
        <v>11289</v>
      </c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 t="s">
        <v>11289</v>
      </c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 t="s">
        <v>11289</v>
      </c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 t="s">
        <v>11289</v>
      </c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 t="s">
        <v>11289</v>
      </c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 t="s">
        <v>11289</v>
      </c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 t="s">
        <v>11289</v>
      </c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 t="s">
        <v>11289</v>
      </c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 t="s">
        <v>11289</v>
      </c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 t="s">
        <v>11289</v>
      </c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 t="s">
        <v>11289</v>
      </c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 t="s">
        <v>11289</v>
      </c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 t="s">
        <v>11289</v>
      </c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 t="s">
        <v>11289</v>
      </c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 t="s">
        <v>11289</v>
      </c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 t="s">
        <v>11289</v>
      </c>
      <c r="L1938" s="34" t="b">
        <v>1</v>
      </c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 t="s">
        <v>11289</v>
      </c>
      <c r="L1939" s="34" t="b">
        <v>1</v>
      </c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 t="s">
        <v>11289</v>
      </c>
      <c r="L1940" s="34" t="b">
        <v>1</v>
      </c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 t="s">
        <v>11289</v>
      </c>
      <c r="L1941" s="34" t="b">
        <v>1</v>
      </c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 t="s">
        <v>11289</v>
      </c>
      <c r="L1942" s="34" t="b">
        <v>1</v>
      </c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 t="s">
        <v>11289</v>
      </c>
      <c r="L1943" s="34" t="b">
        <v>1</v>
      </c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 t="s">
        <v>11289</v>
      </c>
      <c r="L1944" s="34" t="b">
        <v>1</v>
      </c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 t="s">
        <v>11289</v>
      </c>
      <c r="L1945" s="34" t="b">
        <v>1</v>
      </c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 t="s">
        <v>11289</v>
      </c>
      <c r="L1946" s="34" t="b">
        <v>1</v>
      </c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 t="s">
        <v>11289</v>
      </c>
      <c r="L1947" s="34" t="b">
        <v>1</v>
      </c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 t="s">
        <v>11289</v>
      </c>
      <c r="L1948" s="34" t="b">
        <v>1</v>
      </c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 t="s">
        <v>11289</v>
      </c>
      <c r="L1949" s="34" t="b">
        <v>1</v>
      </c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 t="s">
        <v>11289</v>
      </c>
      <c r="L1950" s="34" t="b">
        <v>1</v>
      </c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 t="s">
        <v>11289</v>
      </c>
      <c r="L1951" s="34" t="b">
        <v>1</v>
      </c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 t="s">
        <v>11289</v>
      </c>
      <c r="L1952" s="34" t="b">
        <v>1</v>
      </c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 t="s">
        <v>11289</v>
      </c>
      <c r="L1953" s="34" t="b">
        <v>1</v>
      </c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 t="s">
        <v>11289</v>
      </c>
      <c r="L1954" s="34" t="b">
        <v>1</v>
      </c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 t="s">
        <v>11289</v>
      </c>
      <c r="L1955" s="34" t="b">
        <v>1</v>
      </c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 t="s">
        <v>11289</v>
      </c>
      <c r="L1956" s="34" t="b">
        <v>1</v>
      </c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 t="s">
        <v>11289</v>
      </c>
      <c r="L1957" s="34" t="b">
        <v>1</v>
      </c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 t="s">
        <v>11289</v>
      </c>
      <c r="L1958" s="34" t="b">
        <v>1</v>
      </c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 t="s">
        <v>11289</v>
      </c>
      <c r="L1959" s="34" t="b">
        <v>1</v>
      </c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 t="s">
        <v>11289</v>
      </c>
      <c r="L1960" s="34" t="b">
        <v>1</v>
      </c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 t="s">
        <v>11289</v>
      </c>
      <c r="L1961" s="34" t="b">
        <v>1</v>
      </c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 t="s">
        <v>11289</v>
      </c>
      <c r="L1962" s="34" t="b">
        <v>1</v>
      </c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 t="s">
        <v>11289</v>
      </c>
      <c r="L1963" s="34" t="b">
        <v>1</v>
      </c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 t="s">
        <v>11289</v>
      </c>
      <c r="L1964" s="34" t="b">
        <v>1</v>
      </c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 t="s">
        <v>11289</v>
      </c>
      <c r="L1965" s="34" t="b">
        <v>1</v>
      </c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 t="s">
        <v>11289</v>
      </c>
      <c r="L1966" s="34" t="b">
        <v>1</v>
      </c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 t="s">
        <v>11289</v>
      </c>
      <c r="L1967" s="34" t="b">
        <v>1</v>
      </c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 t="s">
        <v>11289</v>
      </c>
      <c r="L1968" s="34" t="b">
        <v>1</v>
      </c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 t="s">
        <v>11289</v>
      </c>
      <c r="L1969" s="34" t="b">
        <v>1</v>
      </c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 t="s">
        <v>11289</v>
      </c>
      <c r="L1970" s="34" t="b">
        <v>1</v>
      </c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 t="s">
        <v>11289</v>
      </c>
      <c r="L1971" s="34" t="b">
        <v>1</v>
      </c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 t="s">
        <v>11289</v>
      </c>
      <c r="L1972" s="34" t="b">
        <v>1</v>
      </c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 t="s">
        <v>11289</v>
      </c>
      <c r="L1973" s="34" t="b">
        <v>1</v>
      </c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 t="s">
        <v>11289</v>
      </c>
      <c r="L1974" s="34" t="b">
        <v>1</v>
      </c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 t="s">
        <v>11289</v>
      </c>
      <c r="L1975" s="34" t="b">
        <v>1</v>
      </c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 t="s">
        <v>11289</v>
      </c>
      <c r="L1976" s="34" t="b">
        <v>1</v>
      </c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 t="s">
        <v>11289</v>
      </c>
      <c r="L1977" s="34" t="b">
        <v>1</v>
      </c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 t="s">
        <v>11289</v>
      </c>
      <c r="L1978" s="34" t="b">
        <v>1</v>
      </c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 t="s">
        <v>11289</v>
      </c>
      <c r="L1979" s="34" t="b">
        <v>1</v>
      </c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 t="s">
        <v>11289</v>
      </c>
      <c r="L1980" s="34" t="b">
        <v>1</v>
      </c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 t="s">
        <v>11289</v>
      </c>
      <c r="L1981" s="34" t="b">
        <v>1</v>
      </c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 t="s">
        <v>11289</v>
      </c>
      <c r="L1982" s="34" t="b">
        <v>1</v>
      </c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 t="s">
        <v>11289</v>
      </c>
      <c r="L1983" s="34" t="b">
        <v>1</v>
      </c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 t="s">
        <v>11289</v>
      </c>
      <c r="L1984" s="34" t="b">
        <v>1</v>
      </c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 t="s">
        <v>11289</v>
      </c>
      <c r="L1985" s="34" t="b">
        <v>1</v>
      </c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 t="s">
        <v>11289</v>
      </c>
      <c r="L1986" s="34" t="b">
        <v>1</v>
      </c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 t="s">
        <v>11289</v>
      </c>
      <c r="L1987" s="34" t="b">
        <v>1</v>
      </c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 t="s">
        <v>11289</v>
      </c>
      <c r="L1988" s="34" t="b">
        <v>1</v>
      </c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 t="s">
        <v>11289</v>
      </c>
      <c r="L1989" s="34" t="b">
        <v>1</v>
      </c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 t="s">
        <v>11289</v>
      </c>
      <c r="L1990" s="34" t="b">
        <v>1</v>
      </c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 t="s">
        <v>11289</v>
      </c>
      <c r="L1991" s="34" t="b">
        <v>1</v>
      </c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 t="s">
        <v>11289</v>
      </c>
      <c r="L1992" s="34" t="b">
        <v>1</v>
      </c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 t="s">
        <v>11289</v>
      </c>
      <c r="L1993" s="34" t="b">
        <v>1</v>
      </c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 t="s">
        <v>11289</v>
      </c>
      <c r="L1994" s="34" t="b">
        <v>1</v>
      </c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 t="s">
        <v>11289</v>
      </c>
      <c r="L1995" s="34" t="b">
        <v>1</v>
      </c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 t="s">
        <v>11289</v>
      </c>
      <c r="L1996" s="34" t="b">
        <v>1</v>
      </c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 t="s">
        <v>11289</v>
      </c>
      <c r="L1997" s="34" t="b">
        <v>1</v>
      </c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 t="s">
        <v>11289</v>
      </c>
      <c r="L1998" s="34" t="b">
        <v>1</v>
      </c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 t="s">
        <v>11289</v>
      </c>
      <c r="L1999" s="34" t="b">
        <v>1</v>
      </c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 t="s">
        <v>11289</v>
      </c>
      <c r="L2000" s="34" t="b">
        <v>1</v>
      </c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 t="s">
        <v>11289</v>
      </c>
      <c r="L2001" s="34" t="b">
        <v>1</v>
      </c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 t="s">
        <v>11289</v>
      </c>
      <c r="L2002" s="34" t="b">
        <v>1</v>
      </c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 t="s">
        <v>11289</v>
      </c>
      <c r="L2003" s="34" t="b">
        <v>1</v>
      </c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 t="s">
        <v>11289</v>
      </c>
      <c r="L2004" s="34" t="b">
        <v>1</v>
      </c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 t="s">
        <v>11289</v>
      </c>
      <c r="L2005" s="34" t="b">
        <v>1</v>
      </c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 t="s">
        <v>11289</v>
      </c>
      <c r="L2006" s="34" t="b">
        <v>1</v>
      </c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 t="s">
        <v>11289</v>
      </c>
      <c r="L2007" s="34" t="b">
        <v>1</v>
      </c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 t="s">
        <v>11289</v>
      </c>
      <c r="L2008" s="34" t="b">
        <v>1</v>
      </c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 t="s">
        <v>11289</v>
      </c>
      <c r="L2009" s="34" t="b">
        <v>1</v>
      </c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 t="s">
        <v>11289</v>
      </c>
      <c r="L2010" s="34" t="b">
        <v>1</v>
      </c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 t="s">
        <v>11289</v>
      </c>
      <c r="L2011" s="34" t="b">
        <v>1</v>
      </c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 t="s">
        <v>11289</v>
      </c>
      <c r="L2012" s="34" t="b">
        <v>1</v>
      </c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 t="s">
        <v>11289</v>
      </c>
      <c r="L2013" s="34" t="b">
        <v>1</v>
      </c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 t="s">
        <v>11289</v>
      </c>
      <c r="L2014" s="34" t="b">
        <v>1</v>
      </c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 t="s">
        <v>11289</v>
      </c>
      <c r="L2015" s="34" t="b">
        <v>1</v>
      </c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 t="s">
        <v>11289</v>
      </c>
      <c r="L2016" s="34" t="b">
        <v>1</v>
      </c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 t="s">
        <v>11289</v>
      </c>
      <c r="L2017" s="34" t="b">
        <v>1</v>
      </c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 t="s">
        <v>11289</v>
      </c>
      <c r="L2018" s="34" t="b">
        <v>1</v>
      </c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 t="s">
        <v>11289</v>
      </c>
      <c r="L2019" s="34" t="b">
        <v>1</v>
      </c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 t="s">
        <v>11289</v>
      </c>
      <c r="L2020" s="34" t="b">
        <v>1</v>
      </c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 t="s">
        <v>11289</v>
      </c>
      <c r="L2021" s="34" t="b">
        <v>1</v>
      </c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 t="s">
        <v>11289</v>
      </c>
      <c r="L2022" s="34" t="b">
        <v>1</v>
      </c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 t="s">
        <v>11289</v>
      </c>
      <c r="L2023" s="34" t="b">
        <v>1</v>
      </c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 t="s">
        <v>11289</v>
      </c>
      <c r="L2024" s="34" t="b">
        <v>1</v>
      </c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 t="s">
        <v>11289</v>
      </c>
      <c r="L2025" s="34" t="b">
        <v>1</v>
      </c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 t="s">
        <v>11289</v>
      </c>
      <c r="L2026" s="34" t="b">
        <v>1</v>
      </c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 t="s">
        <v>11289</v>
      </c>
      <c r="L2027" s="34" t="b">
        <v>1</v>
      </c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 t="s">
        <v>11289</v>
      </c>
      <c r="L2028" s="34" t="b">
        <v>1</v>
      </c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 t="s">
        <v>11289</v>
      </c>
      <c r="L2029" s="34" t="b">
        <v>1</v>
      </c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 t="s">
        <v>11289</v>
      </c>
      <c r="L2030" s="34" t="b">
        <v>1</v>
      </c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 t="s">
        <v>11289</v>
      </c>
      <c r="L2031" s="34" t="b">
        <v>1</v>
      </c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 t="s">
        <v>11289</v>
      </c>
      <c r="L2032" s="34" t="b">
        <v>1</v>
      </c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 t="s">
        <v>11289</v>
      </c>
      <c r="L2033" s="34" t="b">
        <v>1</v>
      </c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 t="s">
        <v>11289</v>
      </c>
      <c r="L2034" s="34" t="b">
        <v>1</v>
      </c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 t="s">
        <v>11289</v>
      </c>
      <c r="L2035" s="34" t="b">
        <v>1</v>
      </c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 t="s">
        <v>11289</v>
      </c>
      <c r="L2036" s="34" t="b">
        <v>1</v>
      </c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 t="s">
        <v>11289</v>
      </c>
      <c r="L2037" s="34" t="b">
        <v>1</v>
      </c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 t="s">
        <v>11289</v>
      </c>
      <c r="L2038" s="34" t="b">
        <v>1</v>
      </c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 t="s">
        <v>11289</v>
      </c>
      <c r="L2039" s="34" t="b">
        <v>1</v>
      </c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 t="s">
        <v>11289</v>
      </c>
      <c r="L2040" s="34" t="b">
        <v>1</v>
      </c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 t="s">
        <v>11289</v>
      </c>
      <c r="L2041" s="34" t="b">
        <v>1</v>
      </c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 t="s">
        <v>11289</v>
      </c>
      <c r="L2042" s="34" t="b">
        <v>1</v>
      </c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 t="s">
        <v>11289</v>
      </c>
      <c r="L2043" s="34" t="b">
        <v>1</v>
      </c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 t="s">
        <v>11289</v>
      </c>
      <c r="L2044" s="34" t="b">
        <v>1</v>
      </c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 t="s">
        <v>11289</v>
      </c>
      <c r="L2045" s="34" t="b">
        <v>1</v>
      </c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 t="s">
        <v>11289</v>
      </c>
      <c r="L2046" s="34" t="b">
        <v>1</v>
      </c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 t="s">
        <v>11289</v>
      </c>
      <c r="L2047" s="34" t="b">
        <v>1</v>
      </c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 t="s">
        <v>11289</v>
      </c>
      <c r="L2048" s="34" t="b">
        <v>1</v>
      </c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 t="s">
        <v>11289</v>
      </c>
      <c r="L2049" s="34" t="b">
        <v>1</v>
      </c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 t="s">
        <v>11289</v>
      </c>
      <c r="L2050" s="34" t="b">
        <v>1</v>
      </c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 t="s">
        <v>11289</v>
      </c>
      <c r="L2051" s="34" t="b">
        <v>1</v>
      </c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 t="s">
        <v>11289</v>
      </c>
      <c r="L2052" s="34" t="b">
        <v>1</v>
      </c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 t="s">
        <v>11289</v>
      </c>
      <c r="L2053" s="34" t="b">
        <v>1</v>
      </c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 t="s">
        <v>11289</v>
      </c>
      <c r="L2054" s="34" t="b">
        <v>1</v>
      </c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 t="s">
        <v>11289</v>
      </c>
      <c r="L2055" s="34" t="b">
        <v>1</v>
      </c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 t="s">
        <v>11289</v>
      </c>
      <c r="L2056" s="34" t="b">
        <v>1</v>
      </c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 t="s">
        <v>11289</v>
      </c>
      <c r="L2057" s="34" t="b">
        <v>1</v>
      </c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 t="s">
        <v>11289</v>
      </c>
      <c r="L2058" s="34" t="b">
        <v>1</v>
      </c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 t="s">
        <v>11289</v>
      </c>
      <c r="L2059" s="34" t="b">
        <v>1</v>
      </c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 t="s">
        <v>11289</v>
      </c>
      <c r="L2060" s="34" t="b">
        <v>1</v>
      </c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 t="s">
        <v>11289</v>
      </c>
      <c r="L2061" s="34" t="b">
        <v>1</v>
      </c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 t="s">
        <v>11289</v>
      </c>
      <c r="L2062" s="34" t="b">
        <v>1</v>
      </c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 t="s">
        <v>11289</v>
      </c>
      <c r="L2063" s="34" t="b">
        <v>1</v>
      </c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 t="s">
        <v>11289</v>
      </c>
      <c r="L2064" s="34" t="b">
        <v>1</v>
      </c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 t="s">
        <v>11289</v>
      </c>
      <c r="L2065" s="34" t="b">
        <v>1</v>
      </c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 t="s">
        <v>11289</v>
      </c>
      <c r="L2066" s="34" t="b">
        <v>1</v>
      </c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 t="s">
        <v>11289</v>
      </c>
      <c r="L2067" s="34" t="b">
        <v>1</v>
      </c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 t="s">
        <v>11289</v>
      </c>
      <c r="L2068" s="34" t="b">
        <v>1</v>
      </c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 t="s">
        <v>11289</v>
      </c>
      <c r="L2069" s="34" t="b">
        <v>1</v>
      </c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 t="s">
        <v>11289</v>
      </c>
      <c r="L2070" s="34" t="b">
        <v>1</v>
      </c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 t="s">
        <v>11289</v>
      </c>
      <c r="L2071" s="34" t="b">
        <v>1</v>
      </c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 t="s">
        <v>11289</v>
      </c>
      <c r="L2072" s="34" t="b">
        <v>1</v>
      </c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 t="s">
        <v>11289</v>
      </c>
      <c r="L2073" s="34" t="b">
        <v>1</v>
      </c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 t="s">
        <v>11289</v>
      </c>
      <c r="L2074" s="34" t="b">
        <v>1</v>
      </c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 t="s">
        <v>11289</v>
      </c>
      <c r="L2075" s="34" t="b">
        <v>1</v>
      </c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 t="s">
        <v>11289</v>
      </c>
      <c r="L2076" s="34" t="b">
        <v>1</v>
      </c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 t="s">
        <v>11289</v>
      </c>
      <c r="L2077" s="34" t="b">
        <v>1</v>
      </c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 t="s">
        <v>11289</v>
      </c>
      <c r="L2078" s="34" t="b">
        <v>1</v>
      </c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 t="s">
        <v>11289</v>
      </c>
      <c r="L2079" s="34" t="b">
        <v>1</v>
      </c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 t="s">
        <v>11289</v>
      </c>
      <c r="L2080" s="34" t="b">
        <v>1</v>
      </c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 t="s">
        <v>11289</v>
      </c>
      <c r="L2081" s="34" t="b">
        <v>1</v>
      </c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 t="s">
        <v>11289</v>
      </c>
      <c r="L2082" s="34" t="b">
        <v>1</v>
      </c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 t="s">
        <v>11289</v>
      </c>
      <c r="L2083" s="34" t="b">
        <v>1</v>
      </c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 t="s">
        <v>11289</v>
      </c>
      <c r="L2084" s="34" t="b">
        <v>1</v>
      </c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 t="s">
        <v>11289</v>
      </c>
      <c r="L2085" s="34" t="b">
        <v>1</v>
      </c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 t="s">
        <v>11289</v>
      </c>
      <c r="L2086" s="34" t="b">
        <v>1</v>
      </c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 t="s">
        <v>11289</v>
      </c>
      <c r="L2087" s="34" t="b">
        <v>1</v>
      </c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 t="s">
        <v>11289</v>
      </c>
      <c r="L2088" s="34" t="b">
        <v>1</v>
      </c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 t="s">
        <v>11289</v>
      </c>
      <c r="L2089" s="34" t="b">
        <v>1</v>
      </c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 t="s">
        <v>11289</v>
      </c>
      <c r="L2090" s="34" t="b">
        <v>1</v>
      </c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 t="s">
        <v>11289</v>
      </c>
      <c r="L2091" s="34" t="b">
        <v>1</v>
      </c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 t="s">
        <v>11289</v>
      </c>
      <c r="L2092" s="34"/>
      <c r="M2092" s="34" t="s">
        <v>12136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 t="s">
        <v>11289</v>
      </c>
      <c r="L2093" s="34"/>
      <c r="M2093" s="34" t="s">
        <v>12136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 t="s">
        <v>11289</v>
      </c>
      <c r="L2094" s="34"/>
      <c r="M2094" s="34" t="s">
        <v>12136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 t="s">
        <v>11289</v>
      </c>
      <c r="L2095" s="34"/>
      <c r="M2095" s="34" t="s">
        <v>12136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 t="s">
        <v>11289</v>
      </c>
      <c r="L2096" s="34"/>
      <c r="M2096" s="34" t="s">
        <v>12136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 t="s">
        <v>11289</v>
      </c>
      <c r="L2097" s="34"/>
      <c r="M2097" s="34" t="s">
        <v>12136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 t="s">
        <v>11289</v>
      </c>
      <c r="L2098" s="34"/>
      <c r="M2098" s="34" t="s">
        <v>12136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 t="s">
        <v>11289</v>
      </c>
      <c r="L2099" s="34"/>
      <c r="M2099" s="34" t="s">
        <v>12136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 t="s">
        <v>11289</v>
      </c>
      <c r="L2100" s="34"/>
      <c r="M2100" s="34" t="s">
        <v>12136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 t="s">
        <v>11289</v>
      </c>
      <c r="L2101" s="34"/>
      <c r="M2101" s="34" t="s">
        <v>12136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 t="s">
        <v>11289</v>
      </c>
      <c r="L2102" s="34"/>
      <c r="M2102" s="34" t="s">
        <v>12133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 t="s">
        <v>11290</v>
      </c>
      <c r="L2103" s="34"/>
      <c r="M2103" s="34" t="s">
        <v>12133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 t="s">
        <v>11290</v>
      </c>
      <c r="L2104" s="34"/>
      <c r="M2104" s="34" t="s">
        <v>12133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 t="s">
        <v>11290</v>
      </c>
      <c r="L2105" s="34"/>
      <c r="M2105" s="34" t="s">
        <v>12133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 t="s">
        <v>11290</v>
      </c>
      <c r="L2106" s="34"/>
      <c r="M2106" s="34" t="s">
        <v>12133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 t="s">
        <v>11290</v>
      </c>
      <c r="L2107" s="34"/>
      <c r="M2107" s="34" t="s">
        <v>12133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 t="s">
        <v>11290</v>
      </c>
      <c r="L2108" s="34"/>
      <c r="M2108" s="34" t="s">
        <v>12133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 t="s">
        <v>11290</v>
      </c>
      <c r="L2109" s="34"/>
      <c r="M2109" s="34" t="s">
        <v>12133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 t="s">
        <v>11290</v>
      </c>
      <c r="L2110" s="34"/>
      <c r="M2110" s="34" t="s">
        <v>12133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 t="s">
        <v>11290</v>
      </c>
      <c r="L2111" s="34"/>
      <c r="M2111" s="34" t="s">
        <v>12133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 t="s">
        <v>11290</v>
      </c>
      <c r="L2112" s="34"/>
      <c r="M2112" s="34" t="s">
        <v>12133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 t="s">
        <v>11290</v>
      </c>
      <c r="L2113" s="34"/>
      <c r="M2113" s="34" t="s">
        <v>12133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 t="s">
        <v>11290</v>
      </c>
      <c r="L2114" s="34"/>
      <c r="M2114" s="34" t="s">
        <v>12133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 t="s">
        <v>11290</v>
      </c>
      <c r="L2115" s="34"/>
      <c r="M2115" s="34" t="s">
        <v>12133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 t="s">
        <v>11290</v>
      </c>
      <c r="L2116" s="34"/>
      <c r="M2116" s="34" t="s">
        <v>12133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 t="s">
        <v>11290</v>
      </c>
      <c r="L2117" s="34"/>
      <c r="M2117" s="34" t="s">
        <v>12133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 t="s">
        <v>11290</v>
      </c>
      <c r="L2118" s="34"/>
      <c r="M2118" s="34" t="s">
        <v>12133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 t="s">
        <v>11290</v>
      </c>
      <c r="L2119" s="34"/>
      <c r="M2119" s="34" t="s">
        <v>12133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 t="s">
        <v>11290</v>
      </c>
      <c r="L2120" s="34"/>
      <c r="M2120" s="34" t="s">
        <v>12133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 t="s">
        <v>11290</v>
      </c>
      <c r="L2121" s="34"/>
      <c r="M2121" s="34" t="s">
        <v>12133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 t="s">
        <v>11290</v>
      </c>
      <c r="L2122" s="34"/>
      <c r="M2122" s="34" t="s">
        <v>12133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 t="s">
        <v>11290</v>
      </c>
      <c r="L2123" s="34"/>
      <c r="M2123" s="34" t="s">
        <v>12133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 t="s">
        <v>11290</v>
      </c>
      <c r="L2124" s="34"/>
      <c r="M2124" s="34" t="s">
        <v>12133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 t="s">
        <v>11290</v>
      </c>
      <c r="L2125" s="34"/>
      <c r="M2125" s="34" t="s">
        <v>12133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 t="s">
        <v>11290</v>
      </c>
      <c r="L2126" s="34"/>
      <c r="M2126" s="34" t="s">
        <v>12133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 t="s">
        <v>11290</v>
      </c>
      <c r="L2127" s="34"/>
      <c r="M2127" s="34" t="s">
        <v>12133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 t="s">
        <v>11290</v>
      </c>
      <c r="L2128" s="34"/>
      <c r="M2128" s="34" t="s">
        <v>12133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 t="s">
        <v>11290</v>
      </c>
      <c r="L2129" s="34"/>
      <c r="M2129" s="34" t="s">
        <v>12133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 t="s">
        <v>11290</v>
      </c>
      <c r="L2130" s="34"/>
      <c r="M2130" s="34" t="s">
        <v>12133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 t="s">
        <v>11290</v>
      </c>
      <c r="L2131" s="34"/>
      <c r="M2131" s="34" t="s">
        <v>12133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 t="s">
        <v>11290</v>
      </c>
      <c r="L2132" s="34"/>
      <c r="M2132" s="34" t="s">
        <v>12133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 t="s">
        <v>11290</v>
      </c>
      <c r="L2133" s="34"/>
      <c r="M2133" s="34" t="s">
        <v>12133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 t="s">
        <v>11290</v>
      </c>
      <c r="L2134" s="34"/>
      <c r="M2134" s="34" t="s">
        <v>12133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 t="s">
        <v>11290</v>
      </c>
      <c r="L2135" s="34"/>
      <c r="M2135" s="34" t="s">
        <v>12133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 t="s">
        <v>11290</v>
      </c>
      <c r="L2136" s="34"/>
      <c r="M2136" s="34" t="s">
        <v>12133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 t="s">
        <v>11290</v>
      </c>
      <c r="L2137" s="34"/>
      <c r="M2137" s="34" t="s">
        <v>12133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 t="s">
        <v>11290</v>
      </c>
      <c r="L2138" s="34"/>
      <c r="M2138" s="34" t="s">
        <v>12133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 t="s">
        <v>11290</v>
      </c>
      <c r="L2139" s="34"/>
      <c r="M2139" s="34" t="s">
        <v>12133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 t="s">
        <v>11290</v>
      </c>
      <c r="L2140" s="34"/>
      <c r="M2140" s="34" t="s">
        <v>12133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 t="s">
        <v>11290</v>
      </c>
      <c r="L2141" s="34"/>
      <c r="M2141" s="34" t="s">
        <v>12133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 t="s">
        <v>11290</v>
      </c>
      <c r="L2142" s="34"/>
      <c r="M2142" s="34" t="s">
        <v>12133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 t="s">
        <v>11290</v>
      </c>
      <c r="L2143" s="34"/>
      <c r="M2143" s="34" t="s">
        <v>12133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 t="s">
        <v>11290</v>
      </c>
      <c r="L2144" s="34"/>
      <c r="M2144" s="34" t="s">
        <v>12133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 t="s">
        <v>11290</v>
      </c>
      <c r="L2145" s="34"/>
      <c r="M2145" s="34" t="s">
        <v>12133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 t="s">
        <v>11290</v>
      </c>
      <c r="L2146" s="34"/>
      <c r="M2146" s="34" t="s">
        <v>12133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 t="s">
        <v>11290</v>
      </c>
      <c r="L2147" s="34"/>
      <c r="M2147" s="34" t="s">
        <v>12133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 t="s">
        <v>11290</v>
      </c>
      <c r="L2148" s="34"/>
      <c r="M2148" s="34" t="s">
        <v>12133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 t="s">
        <v>11290</v>
      </c>
      <c r="L2149" s="34"/>
      <c r="M2149" s="34" t="s">
        <v>12133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 t="s">
        <v>11290</v>
      </c>
      <c r="L2150" s="34"/>
      <c r="M2150" s="34" t="s">
        <v>12133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 t="s">
        <v>11290</v>
      </c>
      <c r="L2151" s="34"/>
      <c r="M2151" s="34" t="s">
        <v>12133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 t="s">
        <v>11290</v>
      </c>
      <c r="L2152" s="34"/>
      <c r="M2152" s="34" t="s">
        <v>12133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 t="s">
        <v>11290</v>
      </c>
      <c r="L2153" s="34"/>
      <c r="M2153" s="34" t="s">
        <v>12133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 t="s">
        <v>11290</v>
      </c>
      <c r="L2154" s="34"/>
      <c r="M2154" s="34" t="s">
        <v>12133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 t="s">
        <v>11290</v>
      </c>
      <c r="L2155" s="34"/>
      <c r="M2155" s="34" t="s">
        <v>12133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 t="s">
        <v>11290</v>
      </c>
      <c r="L2156" s="34"/>
      <c r="M2156" s="34" t="s">
        <v>12133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 t="s">
        <v>11290</v>
      </c>
      <c r="L2157" s="34"/>
      <c r="M2157" s="34" t="s">
        <v>12133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 t="s">
        <v>11290</v>
      </c>
      <c r="L2158" s="34"/>
      <c r="M2158" s="34" t="s">
        <v>12133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 t="s">
        <v>11290</v>
      </c>
      <c r="L2159" s="34"/>
      <c r="M2159" s="34" t="s">
        <v>12133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 t="s">
        <v>11290</v>
      </c>
      <c r="L2160" s="34"/>
      <c r="M2160" s="34" t="s">
        <v>12133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 t="s">
        <v>11290</v>
      </c>
      <c r="L2161" s="34"/>
      <c r="M2161" s="34" t="s">
        <v>12133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 t="s">
        <v>11290</v>
      </c>
      <c r="L2162" s="34"/>
      <c r="M2162" s="34" t="s">
        <v>12133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 t="s">
        <v>11290</v>
      </c>
      <c r="L2163" s="34"/>
      <c r="M2163" s="34" t="s">
        <v>12133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 t="s">
        <v>11290</v>
      </c>
      <c r="L2164" s="34"/>
      <c r="M2164" s="34" t="s">
        <v>12133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 t="s">
        <v>11290</v>
      </c>
      <c r="L2165" s="34"/>
      <c r="M2165" s="34" t="s">
        <v>12133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 t="s">
        <v>11290</v>
      </c>
      <c r="L2166" s="34"/>
      <c r="M2166" s="34" t="s">
        <v>12133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 t="s">
        <v>11290</v>
      </c>
      <c r="L2167" s="34"/>
      <c r="M2167" s="34" t="s">
        <v>12133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 t="s">
        <v>11290</v>
      </c>
      <c r="L2168" s="34"/>
      <c r="M2168" s="34" t="s">
        <v>12133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 t="s">
        <v>11290</v>
      </c>
      <c r="L2169" s="34"/>
      <c r="M2169" s="34" t="s">
        <v>12133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 t="s">
        <v>11290</v>
      </c>
      <c r="L2170" s="34"/>
      <c r="M2170" s="34" t="s">
        <v>12133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 t="s">
        <v>11289</v>
      </c>
      <c r="L2171" s="34"/>
      <c r="M2171" s="34" t="s">
        <v>12133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 t="s">
        <v>11289</v>
      </c>
      <c r="L2172" s="34"/>
      <c r="M2172" s="34" t="s">
        <v>12133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 t="s">
        <v>11289</v>
      </c>
      <c r="L2173" s="34"/>
      <c r="M2173" s="34" t="s">
        <v>12133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 t="s">
        <v>11289</v>
      </c>
      <c r="L2174" s="34"/>
      <c r="M2174" s="34" t="s">
        <v>12133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 t="s">
        <v>11289</v>
      </c>
      <c r="L2175" s="34"/>
      <c r="M2175" s="34" t="s">
        <v>12133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 t="s">
        <v>11289</v>
      </c>
      <c r="L2176" s="34"/>
      <c r="M2176" s="34" t="s">
        <v>12133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 t="s">
        <v>11289</v>
      </c>
      <c r="L2177" s="34"/>
      <c r="M2177" s="34" t="s">
        <v>12133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 t="s">
        <v>11289</v>
      </c>
      <c r="L2178" s="34"/>
      <c r="M2178" s="34" t="s">
        <v>12133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 t="s">
        <v>11289</v>
      </c>
      <c r="L2179" s="34"/>
      <c r="M2179" s="34" t="s">
        <v>12133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 t="s">
        <v>11289</v>
      </c>
      <c r="L2180" s="34"/>
      <c r="M2180" s="34" t="s">
        <v>12133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 t="s">
        <v>11289</v>
      </c>
      <c r="L2181" s="34"/>
      <c r="M2181" s="34" t="s">
        <v>12133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 t="s">
        <v>11289</v>
      </c>
      <c r="L2182" s="34"/>
      <c r="M2182" s="34" t="s">
        <v>12133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 t="s">
        <v>11289</v>
      </c>
      <c r="L2183" s="34"/>
      <c r="M2183" s="34" t="s">
        <v>12133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 t="s">
        <v>11289</v>
      </c>
      <c r="L2184" s="34"/>
      <c r="M2184" s="34" t="s">
        <v>12133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 t="s">
        <v>11289</v>
      </c>
      <c r="L2185" s="34"/>
      <c r="M2185" s="34" t="s">
        <v>12133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 t="s">
        <v>11289</v>
      </c>
      <c r="L2186" s="34"/>
      <c r="M2186" s="34" t="s">
        <v>12133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 t="s">
        <v>11289</v>
      </c>
      <c r="L2187" s="34"/>
      <c r="M2187" s="34" t="s">
        <v>12133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 t="s">
        <v>11289</v>
      </c>
      <c r="L2188" s="34"/>
      <c r="M2188" s="34" t="s">
        <v>12133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 t="s">
        <v>11289</v>
      </c>
      <c r="L2189" s="34"/>
      <c r="M2189" s="34" t="s">
        <v>12133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 t="s">
        <v>11289</v>
      </c>
      <c r="L2190" s="34"/>
      <c r="M2190" s="34" t="s">
        <v>12133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 t="s">
        <v>11289</v>
      </c>
      <c r="L2191" s="34"/>
      <c r="M2191" s="34" t="s">
        <v>12133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 t="s">
        <v>11289</v>
      </c>
      <c r="L2192" s="34"/>
      <c r="M2192" s="34" t="s">
        <v>12133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 t="s">
        <v>11289</v>
      </c>
      <c r="L2193" s="34"/>
      <c r="M2193" s="34" t="s">
        <v>12133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 t="s">
        <v>11289</v>
      </c>
      <c r="L2194" s="34"/>
      <c r="M2194" s="34" t="s">
        <v>12133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 t="s">
        <v>11289</v>
      </c>
      <c r="L2195" s="34"/>
      <c r="M2195" s="34" t="s">
        <v>12133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 t="s">
        <v>11289</v>
      </c>
      <c r="L2196" s="34"/>
      <c r="M2196" s="34" t="s">
        <v>12133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 t="s">
        <v>11289</v>
      </c>
      <c r="L2197" s="34"/>
      <c r="M2197" s="34" t="s">
        <v>12133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 t="s">
        <v>11289</v>
      </c>
      <c r="L2198" s="34"/>
      <c r="M2198" s="34" t="s">
        <v>12133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 t="s">
        <v>11289</v>
      </c>
      <c r="L2199" s="34"/>
      <c r="M2199" s="34" t="s">
        <v>12133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 t="s">
        <v>11289</v>
      </c>
      <c r="L2200" s="34"/>
      <c r="M2200" s="34" t="s">
        <v>12133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 t="s">
        <v>11289</v>
      </c>
      <c r="L2201" s="34"/>
      <c r="M2201" s="34" t="s">
        <v>12133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 t="s">
        <v>11289</v>
      </c>
      <c r="L2202" s="34"/>
      <c r="M2202" s="34" t="s">
        <v>12133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 t="s">
        <v>11289</v>
      </c>
      <c r="L2203" s="34"/>
      <c r="M2203" s="34" t="s">
        <v>12133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 t="s">
        <v>11289</v>
      </c>
      <c r="L2204" s="34"/>
      <c r="M2204" s="34" t="s">
        <v>12133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 t="s">
        <v>11289</v>
      </c>
      <c r="L2205" s="34"/>
      <c r="M2205" s="34" t="s">
        <v>12133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 t="s">
        <v>11289</v>
      </c>
      <c r="L2206" s="34"/>
      <c r="M2206" s="34" t="s">
        <v>12133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 t="s">
        <v>11289</v>
      </c>
      <c r="L2207" s="34"/>
      <c r="M2207" s="34" t="s">
        <v>12133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 t="s">
        <v>11289</v>
      </c>
      <c r="L2208" s="34"/>
      <c r="M2208" s="34" t="s">
        <v>12133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 t="s">
        <v>11289</v>
      </c>
      <c r="L2209" s="34"/>
      <c r="M2209" s="34" t="s">
        <v>12133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 t="s">
        <v>11289</v>
      </c>
      <c r="L2210" s="34"/>
      <c r="M2210" s="34" t="s">
        <v>12133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 t="s">
        <v>11289</v>
      </c>
      <c r="L2211" s="34"/>
      <c r="M2211" s="34" t="s">
        <v>12133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 t="s">
        <v>11289</v>
      </c>
      <c r="L2212" s="34"/>
      <c r="M2212" s="34" t="s">
        <v>12133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 t="s">
        <v>11289</v>
      </c>
      <c r="L2213" s="34"/>
      <c r="M2213" s="34" t="s">
        <v>12133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 t="s">
        <v>11289</v>
      </c>
      <c r="L2214" s="34"/>
      <c r="M2214" s="34" t="s">
        <v>12133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 t="s">
        <v>11289</v>
      </c>
      <c r="L2215" s="34"/>
      <c r="M2215" s="34" t="s">
        <v>12133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 t="s">
        <v>11289</v>
      </c>
      <c r="L2216" s="34"/>
      <c r="M2216" s="34" t="s">
        <v>12133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 t="s">
        <v>11289</v>
      </c>
      <c r="L2217" s="34"/>
      <c r="M2217" s="34" t="s">
        <v>12133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 t="s">
        <v>11289</v>
      </c>
      <c r="L2218" s="34"/>
      <c r="M2218" s="34" t="s">
        <v>12133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 t="s">
        <v>11289</v>
      </c>
      <c r="L2219" s="34"/>
      <c r="M2219" s="34" t="s">
        <v>12133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 t="s">
        <v>11289</v>
      </c>
      <c r="L2220" s="34"/>
      <c r="M2220" s="34" t="s">
        <v>12133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 t="s">
        <v>11289</v>
      </c>
      <c r="L2221" s="34"/>
      <c r="M2221" s="34" t="s">
        <v>12133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 t="s">
        <v>11289</v>
      </c>
      <c r="L2222" s="34"/>
      <c r="M2222" s="34" t="s">
        <v>12133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 t="s">
        <v>11289</v>
      </c>
      <c r="L2223" s="34"/>
      <c r="M2223" s="34" t="s">
        <v>12133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 t="s">
        <v>11289</v>
      </c>
      <c r="L2224" s="34"/>
      <c r="M2224" s="34" t="s">
        <v>12133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 t="s">
        <v>11289</v>
      </c>
      <c r="L2225" s="34"/>
      <c r="M2225" s="34" t="s">
        <v>12133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 t="s">
        <v>11289</v>
      </c>
      <c r="L2226" s="34"/>
      <c r="M2226" s="34" t="s">
        <v>12133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 t="s">
        <v>11289</v>
      </c>
      <c r="L2227" s="34"/>
      <c r="M2227" s="34" t="s">
        <v>12133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 t="s">
        <v>11290</v>
      </c>
      <c r="L2228" s="34"/>
      <c r="M2228" s="34" t="s">
        <v>12133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 t="s">
        <v>11290</v>
      </c>
      <c r="L2229" s="34"/>
      <c r="M2229" s="34" t="s">
        <v>12133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 t="s">
        <v>11290</v>
      </c>
      <c r="L2230" s="34"/>
      <c r="M2230" s="34" t="s">
        <v>12133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 t="s">
        <v>11290</v>
      </c>
      <c r="L2231" s="34"/>
      <c r="M2231" s="34" t="s">
        <v>12133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 t="s">
        <v>11290</v>
      </c>
      <c r="L2232" s="34"/>
      <c r="M2232" s="34" t="s">
        <v>12133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 t="s">
        <v>11289</v>
      </c>
      <c r="L2233" s="34"/>
      <c r="M2233" s="34" t="s">
        <v>12133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 t="s">
        <v>11289</v>
      </c>
      <c r="L2234" s="34"/>
      <c r="M2234" s="34" t="s">
        <v>12133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 t="s">
        <v>11289</v>
      </c>
      <c r="L2235" s="34"/>
      <c r="M2235" s="34" t="s">
        <v>12133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 t="s">
        <v>11289</v>
      </c>
      <c r="L2236" s="34"/>
      <c r="M2236" s="34" t="s">
        <v>12133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 t="s">
        <v>11289</v>
      </c>
      <c r="L2237" s="34" t="b">
        <v>1</v>
      </c>
      <c r="M2237" s="34" t="s">
        <v>12133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 t="s">
        <v>11289</v>
      </c>
      <c r="L2238" s="34" t="b">
        <v>1</v>
      </c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 t="s">
        <v>11289</v>
      </c>
      <c r="L2239" s="34" t="b">
        <v>1</v>
      </c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 t="s">
        <v>11289</v>
      </c>
      <c r="L2240" s="34" t="b">
        <v>1</v>
      </c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 t="s">
        <v>11289</v>
      </c>
      <c r="L2241" s="34" t="b">
        <v>1</v>
      </c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 t="s">
        <v>11289</v>
      </c>
      <c r="L2242" s="34" t="b">
        <v>1</v>
      </c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 t="s">
        <v>11289</v>
      </c>
      <c r="L2243" s="34" t="b">
        <v>1</v>
      </c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 t="s">
        <v>11289</v>
      </c>
      <c r="L2244" s="34" t="b">
        <v>1</v>
      </c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 t="s">
        <v>11289</v>
      </c>
      <c r="L2245" s="34" t="b">
        <v>1</v>
      </c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 t="s">
        <v>11289</v>
      </c>
      <c r="L2246" s="34" t="b">
        <v>1</v>
      </c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 t="s">
        <v>11289</v>
      </c>
      <c r="L2247" s="34" t="b">
        <v>1</v>
      </c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 t="s">
        <v>11289</v>
      </c>
      <c r="L2248" s="34" t="b">
        <v>1</v>
      </c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 t="s">
        <v>11289</v>
      </c>
      <c r="L2249" s="34" t="b">
        <v>1</v>
      </c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 t="s">
        <v>11289</v>
      </c>
      <c r="L2250" s="34" t="b">
        <v>1</v>
      </c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 t="s">
        <v>11289</v>
      </c>
      <c r="L2251" s="34" t="b">
        <v>1</v>
      </c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 t="s">
        <v>11289</v>
      </c>
      <c r="L2252" s="34" t="b">
        <v>1</v>
      </c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 t="s">
        <v>11289</v>
      </c>
      <c r="L2253" s="34" t="b">
        <v>1</v>
      </c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 t="s">
        <v>11289</v>
      </c>
      <c r="L2254" s="34" t="b">
        <v>1</v>
      </c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 t="s">
        <v>11289</v>
      </c>
      <c r="L2255" s="34" t="b">
        <v>1</v>
      </c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 t="s">
        <v>11289</v>
      </c>
      <c r="L2256" s="34" t="b">
        <v>1</v>
      </c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 t="s">
        <v>11289</v>
      </c>
      <c r="L2257" s="34" t="b">
        <v>1</v>
      </c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 t="s">
        <v>11289</v>
      </c>
      <c r="L2258" s="34" t="b">
        <v>1</v>
      </c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 t="s">
        <v>11289</v>
      </c>
      <c r="L2259" s="34" t="b">
        <v>1</v>
      </c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 t="s">
        <v>11289</v>
      </c>
      <c r="L2260" s="34" t="b">
        <v>1</v>
      </c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 t="s">
        <v>11289</v>
      </c>
      <c r="L2261" s="34" t="b">
        <v>1</v>
      </c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 t="s">
        <v>11289</v>
      </c>
      <c r="L2262" s="34" t="b">
        <v>1</v>
      </c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 t="s">
        <v>11289</v>
      </c>
      <c r="L2263" s="34" t="b">
        <v>1</v>
      </c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 t="s">
        <v>11289</v>
      </c>
      <c r="L2264" s="34" t="b">
        <v>1</v>
      </c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 t="s">
        <v>11289</v>
      </c>
      <c r="L2265" s="34" t="b">
        <v>1</v>
      </c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 t="s">
        <v>11289</v>
      </c>
      <c r="L2266" s="34" t="b">
        <v>1</v>
      </c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 t="s">
        <v>11289</v>
      </c>
      <c r="L2267" s="34" t="b">
        <v>1</v>
      </c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 t="s">
        <v>11289</v>
      </c>
      <c r="L2268" s="34" t="b">
        <v>1</v>
      </c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 t="s">
        <v>11289</v>
      </c>
      <c r="L2269" s="34" t="b">
        <v>1</v>
      </c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 t="s">
        <v>11289</v>
      </c>
      <c r="L2270" s="34" t="b">
        <v>1</v>
      </c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 t="s">
        <v>11289</v>
      </c>
      <c r="L2271" s="34" t="b">
        <v>1</v>
      </c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 t="s">
        <v>11289</v>
      </c>
      <c r="L2272" s="34" t="b">
        <v>1</v>
      </c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 t="s">
        <v>11289</v>
      </c>
      <c r="L2273" s="34" t="b">
        <v>1</v>
      </c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 t="s">
        <v>11289</v>
      </c>
      <c r="L2274" s="34" t="b">
        <v>1</v>
      </c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 t="s">
        <v>11289</v>
      </c>
      <c r="L2275" s="34" t="b">
        <v>1</v>
      </c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 t="s">
        <v>11289</v>
      </c>
      <c r="L2276" s="34" t="b">
        <v>1</v>
      </c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 t="s">
        <v>11289</v>
      </c>
      <c r="L2277" s="34" t="b">
        <v>1</v>
      </c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 t="s">
        <v>11289</v>
      </c>
      <c r="L2278" s="34" t="b">
        <v>1</v>
      </c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 t="s">
        <v>11289</v>
      </c>
      <c r="L2279" s="34" t="b">
        <v>1</v>
      </c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 t="s">
        <v>11289</v>
      </c>
      <c r="L2280" s="34" t="b">
        <v>1</v>
      </c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 t="s">
        <v>11289</v>
      </c>
      <c r="L2281" s="34" t="b">
        <v>1</v>
      </c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 t="s">
        <v>11289</v>
      </c>
      <c r="L2282" s="34" t="b">
        <v>1</v>
      </c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 t="s">
        <v>11289</v>
      </c>
      <c r="L2283" s="34" t="b">
        <v>1</v>
      </c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 t="s">
        <v>11289</v>
      </c>
      <c r="L2284" s="34" t="b">
        <v>1</v>
      </c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 t="s">
        <v>11289</v>
      </c>
      <c r="L2285" s="34" t="b">
        <v>1</v>
      </c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 t="s">
        <v>11289</v>
      </c>
      <c r="L2286" s="34" t="b">
        <v>1</v>
      </c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 t="s">
        <v>11289</v>
      </c>
      <c r="L2287" s="34" t="b">
        <v>1</v>
      </c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 t="s">
        <v>11289</v>
      </c>
      <c r="L2288" s="34" t="b">
        <v>1</v>
      </c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 t="s">
        <v>11289</v>
      </c>
      <c r="L2289" s="34" t="b">
        <v>1</v>
      </c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 t="s">
        <v>11289</v>
      </c>
      <c r="L2290" s="34" t="b">
        <v>1</v>
      </c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 t="s">
        <v>11289</v>
      </c>
      <c r="L2291" s="34" t="b">
        <v>1</v>
      </c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 t="s">
        <v>11289</v>
      </c>
      <c r="L2292" s="34" t="b">
        <v>1</v>
      </c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 t="s">
        <v>11289</v>
      </c>
      <c r="L2293" s="34" t="b">
        <v>1</v>
      </c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 t="s">
        <v>11289</v>
      </c>
      <c r="L2294" s="34" t="b">
        <v>1</v>
      </c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 t="s">
        <v>11289</v>
      </c>
      <c r="L2295" s="34" t="b">
        <v>1</v>
      </c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 t="s">
        <v>11289</v>
      </c>
      <c r="L2296" s="34" t="b">
        <v>1</v>
      </c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 t="s">
        <v>11289</v>
      </c>
      <c r="L2297" s="34" t="b">
        <v>1</v>
      </c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 t="s">
        <v>11289</v>
      </c>
      <c r="L2298" s="34" t="b">
        <v>1</v>
      </c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 t="s">
        <v>11289</v>
      </c>
      <c r="L2299" s="34" t="b">
        <v>1</v>
      </c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 t="s">
        <v>11289</v>
      </c>
      <c r="L2300" s="34" t="b">
        <v>1</v>
      </c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 t="s">
        <v>11289</v>
      </c>
      <c r="L2301" s="34" t="b">
        <v>1</v>
      </c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 t="s">
        <v>11289</v>
      </c>
      <c r="L2302" s="34" t="b">
        <v>1</v>
      </c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 t="s">
        <v>11289</v>
      </c>
      <c r="L2303" s="34" t="b">
        <v>1</v>
      </c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 t="s">
        <v>11289</v>
      </c>
      <c r="L2304" s="34" t="b">
        <v>1</v>
      </c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 t="s">
        <v>11289</v>
      </c>
      <c r="L2305" s="34" t="b">
        <v>1</v>
      </c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 t="s">
        <v>11289</v>
      </c>
      <c r="L2306" s="34" t="b">
        <v>1</v>
      </c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 t="s">
        <v>11289</v>
      </c>
      <c r="L2307" s="34" t="b">
        <v>1</v>
      </c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 t="s">
        <v>11289</v>
      </c>
      <c r="L2308" s="34" t="b">
        <v>1</v>
      </c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 t="s">
        <v>11289</v>
      </c>
      <c r="L2309" s="34" t="b">
        <v>1</v>
      </c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 t="s">
        <v>11289</v>
      </c>
      <c r="L2310" s="34" t="b">
        <v>1</v>
      </c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 t="s">
        <v>11289</v>
      </c>
      <c r="L2311" s="34" t="b">
        <v>1</v>
      </c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 t="s">
        <v>11289</v>
      </c>
      <c r="L2312" s="34" t="b">
        <v>1</v>
      </c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 t="s">
        <v>11289</v>
      </c>
      <c r="L2313" s="34" t="b">
        <v>1</v>
      </c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 t="s">
        <v>11289</v>
      </c>
      <c r="L2314" s="34" t="b">
        <v>1</v>
      </c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 t="s">
        <v>11289</v>
      </c>
      <c r="L2315" s="34" t="b">
        <v>1</v>
      </c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 t="s">
        <v>11289</v>
      </c>
      <c r="L2316" s="34" t="b">
        <v>1</v>
      </c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 t="s">
        <v>11289</v>
      </c>
      <c r="L2317" s="34" t="b">
        <v>1</v>
      </c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 t="s">
        <v>11289</v>
      </c>
      <c r="L2318" s="34" t="b">
        <v>1</v>
      </c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 t="s">
        <v>11289</v>
      </c>
      <c r="L2319" s="34" t="b">
        <v>1</v>
      </c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 t="s">
        <v>11289</v>
      </c>
      <c r="L2320" s="34" t="b">
        <v>1</v>
      </c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 t="s">
        <v>11289</v>
      </c>
      <c r="L2321" s="34" t="b">
        <v>1</v>
      </c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 t="s">
        <v>11289</v>
      </c>
      <c r="L2322" s="34" t="b">
        <v>1</v>
      </c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 t="s">
        <v>11289</v>
      </c>
      <c r="L2323" s="34" t="b">
        <v>1</v>
      </c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 t="s">
        <v>11289</v>
      </c>
      <c r="L2324" s="34" t="b">
        <v>1</v>
      </c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 t="s">
        <v>11289</v>
      </c>
      <c r="L2325" s="34" t="b">
        <v>1</v>
      </c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 t="s">
        <v>11289</v>
      </c>
      <c r="L2326" s="34" t="b">
        <v>1</v>
      </c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 t="s">
        <v>11289</v>
      </c>
      <c r="L2327" s="34" t="b">
        <v>1</v>
      </c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 t="s">
        <v>11289</v>
      </c>
      <c r="L2328" s="34" t="b">
        <v>1</v>
      </c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 t="s">
        <v>11289</v>
      </c>
      <c r="L2329" s="34" t="b">
        <v>1</v>
      </c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 t="s">
        <v>11289</v>
      </c>
      <c r="L2330" s="34" t="b">
        <v>1</v>
      </c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 t="s">
        <v>11289</v>
      </c>
      <c r="L2331" s="34" t="b">
        <v>1</v>
      </c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 t="s">
        <v>11289</v>
      </c>
      <c r="L2332" s="34" t="b">
        <v>1</v>
      </c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 t="s">
        <v>11289</v>
      </c>
      <c r="L2333" s="34" t="b">
        <v>1</v>
      </c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 t="s">
        <v>11289</v>
      </c>
      <c r="L2334" s="34" t="b">
        <v>1</v>
      </c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 t="s">
        <v>11289</v>
      </c>
      <c r="L2335" s="34" t="b">
        <v>1</v>
      </c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 t="s">
        <v>11289</v>
      </c>
      <c r="L2336" s="34" t="b">
        <v>1</v>
      </c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 t="s">
        <v>11289</v>
      </c>
      <c r="L2337" s="34" t="b">
        <v>1</v>
      </c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 t="s">
        <v>11289</v>
      </c>
      <c r="L2338" s="34" t="b">
        <v>1</v>
      </c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 t="s">
        <v>11289</v>
      </c>
      <c r="L2339" s="34" t="b">
        <v>1</v>
      </c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 t="s">
        <v>11289</v>
      </c>
      <c r="L2340" s="34" t="b">
        <v>1</v>
      </c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 t="s">
        <v>11289</v>
      </c>
      <c r="L2341" s="34" t="b">
        <v>1</v>
      </c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 t="s">
        <v>11289</v>
      </c>
      <c r="L2342" s="34" t="b">
        <v>1</v>
      </c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 t="s">
        <v>11289</v>
      </c>
      <c r="L2343" s="34" t="b">
        <v>1</v>
      </c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 t="s">
        <v>11289</v>
      </c>
      <c r="L2344" s="34" t="b">
        <v>1</v>
      </c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 t="s">
        <v>11289</v>
      </c>
      <c r="L2345" s="34" t="b">
        <v>1</v>
      </c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 t="s">
        <v>11289</v>
      </c>
      <c r="L2346" s="34" t="b">
        <v>1</v>
      </c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 t="s">
        <v>11289</v>
      </c>
      <c r="L2347" s="34" t="b">
        <v>1</v>
      </c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 t="s">
        <v>11289</v>
      </c>
      <c r="L2348" s="34" t="b">
        <v>1</v>
      </c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 t="s">
        <v>11289</v>
      </c>
      <c r="L2349" s="34" t="b">
        <v>1</v>
      </c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 t="s">
        <v>11289</v>
      </c>
      <c r="L2350" s="34" t="b">
        <v>1</v>
      </c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 t="s">
        <v>11289</v>
      </c>
      <c r="L2351" s="34" t="b">
        <v>1</v>
      </c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 t="s">
        <v>11289</v>
      </c>
      <c r="L2352" s="34" t="b">
        <v>1</v>
      </c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 t="s">
        <v>11289</v>
      </c>
      <c r="L2353" s="34" t="b">
        <v>1</v>
      </c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 t="s">
        <v>11289</v>
      </c>
      <c r="L2354" s="34" t="b">
        <v>1</v>
      </c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 t="s">
        <v>11289</v>
      </c>
      <c r="L2355" s="34" t="b">
        <v>1</v>
      </c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 t="s">
        <v>11289</v>
      </c>
      <c r="L2356" s="34" t="b">
        <v>1</v>
      </c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 t="s">
        <v>11289</v>
      </c>
      <c r="L2357" s="34" t="b">
        <v>1</v>
      </c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 t="s">
        <v>11289</v>
      </c>
      <c r="L2358" s="34" t="b">
        <v>1</v>
      </c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 t="s">
        <v>11289</v>
      </c>
      <c r="L2359" s="34" t="b">
        <v>1</v>
      </c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 t="s">
        <v>11289</v>
      </c>
      <c r="L2360" s="34" t="b">
        <v>1</v>
      </c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 t="s">
        <v>11289</v>
      </c>
      <c r="L2361" s="34" t="b">
        <v>1</v>
      </c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 t="s">
        <v>11289</v>
      </c>
      <c r="L2362" s="34" t="b">
        <v>1</v>
      </c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 t="s">
        <v>11289</v>
      </c>
      <c r="L2363" s="34" t="b">
        <v>1</v>
      </c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 t="s">
        <v>11289</v>
      </c>
      <c r="L2364" s="34" t="b">
        <v>1</v>
      </c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 t="s">
        <v>11289</v>
      </c>
      <c r="L2365" s="34" t="b">
        <v>1</v>
      </c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 t="s">
        <v>11289</v>
      </c>
      <c r="L2366" s="34" t="b">
        <v>1</v>
      </c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 t="s">
        <v>11289</v>
      </c>
      <c r="L2367" s="34" t="b">
        <v>1</v>
      </c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 t="s">
        <v>11289</v>
      </c>
      <c r="L2368" s="34" t="b">
        <v>1</v>
      </c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 t="s">
        <v>11289</v>
      </c>
      <c r="L2369" s="34" t="b">
        <v>1</v>
      </c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 t="s">
        <v>11289</v>
      </c>
      <c r="L2370" s="34" t="b">
        <v>1</v>
      </c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 t="s">
        <v>11289</v>
      </c>
      <c r="L2371" s="34" t="b">
        <v>1</v>
      </c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 t="s">
        <v>11289</v>
      </c>
      <c r="L2372" s="34" t="b">
        <v>1</v>
      </c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 t="s">
        <v>11289</v>
      </c>
      <c r="L2373" s="34" t="b">
        <v>1</v>
      </c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 t="s">
        <v>11289</v>
      </c>
      <c r="L2374" s="34" t="b">
        <v>1</v>
      </c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 t="s">
        <v>11289</v>
      </c>
      <c r="L2375" s="34" t="b">
        <v>1</v>
      </c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 t="s">
        <v>11289</v>
      </c>
      <c r="L2376" s="34" t="b">
        <v>1</v>
      </c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 t="s">
        <v>11289</v>
      </c>
      <c r="L2377" s="34" t="b">
        <v>1</v>
      </c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 t="s">
        <v>11289</v>
      </c>
      <c r="L2378" s="34" t="b">
        <v>1</v>
      </c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 t="s">
        <v>11289</v>
      </c>
      <c r="L2379" s="34" t="b">
        <v>1</v>
      </c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 t="s">
        <v>11289</v>
      </c>
      <c r="L2380" s="34" t="b">
        <v>1</v>
      </c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 t="s">
        <v>11289</v>
      </c>
      <c r="L2381" s="34" t="b">
        <v>1</v>
      </c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 t="s">
        <v>11289</v>
      </c>
      <c r="L2382" s="34" t="b">
        <v>1</v>
      </c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 t="s">
        <v>11289</v>
      </c>
      <c r="L2383" s="34" t="b">
        <v>1</v>
      </c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 t="s">
        <v>11289</v>
      </c>
      <c r="L2384" s="34" t="b">
        <v>1</v>
      </c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 t="s">
        <v>11289</v>
      </c>
      <c r="L2385" s="34" t="b">
        <v>1</v>
      </c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 t="s">
        <v>11289</v>
      </c>
      <c r="L2386" s="34" t="b">
        <v>1</v>
      </c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 t="s">
        <v>11289</v>
      </c>
      <c r="L2387" s="34" t="b">
        <v>1</v>
      </c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 t="s">
        <v>11289</v>
      </c>
      <c r="L2388" s="34" t="b">
        <v>1</v>
      </c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 t="s">
        <v>11289</v>
      </c>
      <c r="L2389" s="34" t="b">
        <v>1</v>
      </c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 t="s">
        <v>11289</v>
      </c>
      <c r="L2390" s="34" t="b">
        <v>1</v>
      </c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 t="s">
        <v>11289</v>
      </c>
      <c r="L2391" s="34" t="b">
        <v>1</v>
      </c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 t="s">
        <v>11289</v>
      </c>
      <c r="L2392" s="34" t="b">
        <v>1</v>
      </c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 t="s">
        <v>11289</v>
      </c>
      <c r="L2393" s="34" t="b">
        <v>1</v>
      </c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 t="s">
        <v>11289</v>
      </c>
      <c r="L2394" s="34" t="b">
        <v>1</v>
      </c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 t="s">
        <v>11289</v>
      </c>
      <c r="L2395" s="34" t="b">
        <v>1</v>
      </c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 t="s">
        <v>11289</v>
      </c>
      <c r="L2396" s="34" t="b">
        <v>1</v>
      </c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 t="s">
        <v>11289</v>
      </c>
      <c r="L2397" s="34" t="b">
        <v>1</v>
      </c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 t="s">
        <v>11289</v>
      </c>
      <c r="L2398" s="34" t="b">
        <v>1</v>
      </c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 t="s">
        <v>11289</v>
      </c>
      <c r="L2399" s="34" t="b">
        <v>1</v>
      </c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 t="s">
        <v>11289</v>
      </c>
      <c r="L2400" s="34" t="b">
        <v>1</v>
      </c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 t="s">
        <v>11289</v>
      </c>
      <c r="L2401" s="34" t="b">
        <v>1</v>
      </c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 t="s">
        <v>11289</v>
      </c>
      <c r="L2402" s="34" t="b">
        <v>1</v>
      </c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 t="s">
        <v>11289</v>
      </c>
      <c r="L2403" s="34" t="b">
        <v>1</v>
      </c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 t="s">
        <v>11289</v>
      </c>
      <c r="L2404" s="34" t="b">
        <v>1</v>
      </c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 t="s">
        <v>11289</v>
      </c>
      <c r="L2405" s="34" t="b">
        <v>1</v>
      </c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 t="s">
        <v>11289</v>
      </c>
      <c r="L2406" s="34" t="b">
        <v>1</v>
      </c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 t="s">
        <v>11289</v>
      </c>
      <c r="L2407" s="34" t="b">
        <v>1</v>
      </c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 t="s">
        <v>11289</v>
      </c>
      <c r="L2408" s="34" t="b">
        <v>1</v>
      </c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 t="s">
        <v>11289</v>
      </c>
      <c r="L2409" s="34" t="b">
        <v>1</v>
      </c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 t="s">
        <v>11289</v>
      </c>
      <c r="L2410" s="34" t="b">
        <v>1</v>
      </c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 t="s">
        <v>11289</v>
      </c>
      <c r="L2411" s="34" t="b">
        <v>1</v>
      </c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 t="s">
        <v>11289</v>
      </c>
      <c r="L2412" s="34" t="b">
        <v>1</v>
      </c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 t="s">
        <v>11289</v>
      </c>
      <c r="L2413" s="34" t="b">
        <v>1</v>
      </c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 t="s">
        <v>11289</v>
      </c>
      <c r="L2414" s="34" t="b">
        <v>1</v>
      </c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 t="s">
        <v>11289</v>
      </c>
      <c r="L2415" s="34" t="b">
        <v>1</v>
      </c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 t="s">
        <v>11289</v>
      </c>
      <c r="L2416" s="34" t="b">
        <v>1</v>
      </c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 t="s">
        <v>11289</v>
      </c>
      <c r="L2417" s="34" t="b">
        <v>1</v>
      </c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 t="s">
        <v>11289</v>
      </c>
      <c r="L2418" s="34" t="b">
        <v>1</v>
      </c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 t="s">
        <v>11289</v>
      </c>
      <c r="L2419" s="34" t="b">
        <v>1</v>
      </c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 t="s">
        <v>11289</v>
      </c>
      <c r="L2420" s="34" t="b">
        <v>1</v>
      </c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 t="s">
        <v>11289</v>
      </c>
      <c r="L2421" s="34" t="b">
        <v>1</v>
      </c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 t="s">
        <v>11289</v>
      </c>
      <c r="L2422" s="34" t="b">
        <v>1</v>
      </c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 t="s">
        <v>11289</v>
      </c>
      <c r="L2423" s="34" t="b">
        <v>1</v>
      </c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 t="s">
        <v>11289</v>
      </c>
      <c r="L2424" s="34" t="b">
        <v>1</v>
      </c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 t="s">
        <v>11289</v>
      </c>
      <c r="L2425" s="34" t="b">
        <v>1</v>
      </c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 t="s">
        <v>11289</v>
      </c>
      <c r="L2426" s="34" t="b">
        <v>1</v>
      </c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 t="s">
        <v>11289</v>
      </c>
      <c r="L2427" s="34" t="b">
        <v>1</v>
      </c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 t="s">
        <v>11289</v>
      </c>
      <c r="L2428" s="34" t="b">
        <v>1</v>
      </c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 t="s">
        <v>11289</v>
      </c>
      <c r="L2429" s="34" t="b">
        <v>1</v>
      </c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 t="s">
        <v>11289</v>
      </c>
      <c r="L2430" s="34" t="b">
        <v>1</v>
      </c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 t="s">
        <v>11289</v>
      </c>
      <c r="L2431" s="34" t="b">
        <v>1</v>
      </c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 t="s">
        <v>11289</v>
      </c>
      <c r="L2432" s="34" t="b">
        <v>1</v>
      </c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 t="s">
        <v>11289</v>
      </c>
      <c r="L2433" s="34" t="b">
        <v>1</v>
      </c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 t="s">
        <v>11289</v>
      </c>
      <c r="L2434" s="34" t="b">
        <v>1</v>
      </c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 t="s">
        <v>11289</v>
      </c>
      <c r="L2435" s="34" t="b">
        <v>1</v>
      </c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 t="s">
        <v>11289</v>
      </c>
      <c r="L2436" s="34" t="b">
        <v>1</v>
      </c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 t="s">
        <v>11289</v>
      </c>
      <c r="L2437" s="34" t="b">
        <v>1</v>
      </c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 t="s">
        <v>11289</v>
      </c>
      <c r="L2438" s="34" t="b">
        <v>1</v>
      </c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 t="s">
        <v>11289</v>
      </c>
      <c r="L2439" s="34" t="b">
        <v>1</v>
      </c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 t="s">
        <v>11289</v>
      </c>
      <c r="L2440" s="34" t="b">
        <v>1</v>
      </c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 t="s">
        <v>11289</v>
      </c>
      <c r="L2441" s="34" t="b">
        <v>1</v>
      </c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 t="s">
        <v>11289</v>
      </c>
      <c r="L2442" s="34" t="b">
        <v>1</v>
      </c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 t="s">
        <v>11289</v>
      </c>
      <c r="L2443" s="34" t="b">
        <v>1</v>
      </c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 t="s">
        <v>11289</v>
      </c>
      <c r="L2444" s="34" t="b">
        <v>1</v>
      </c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 t="s">
        <v>11289</v>
      </c>
      <c r="L2445" s="34" t="b">
        <v>1</v>
      </c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 t="s">
        <v>11289</v>
      </c>
      <c r="L2446" s="34" t="b">
        <v>1</v>
      </c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 t="s">
        <v>11289</v>
      </c>
      <c r="L2447" s="34" t="b">
        <v>1</v>
      </c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 t="s">
        <v>11289</v>
      </c>
      <c r="L2448" s="34" t="b">
        <v>1</v>
      </c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 t="s">
        <v>11289</v>
      </c>
      <c r="L2449" s="34" t="b">
        <v>1</v>
      </c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 t="s">
        <v>11289</v>
      </c>
      <c r="L2450" s="34" t="b">
        <v>1</v>
      </c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 t="s">
        <v>11289</v>
      </c>
      <c r="L2451" s="34" t="b">
        <v>1</v>
      </c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 t="s">
        <v>11289</v>
      </c>
      <c r="L2452" s="34" t="b">
        <v>1</v>
      </c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 t="s">
        <v>11289</v>
      </c>
      <c r="L2453" s="34" t="b">
        <v>1</v>
      </c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 t="s">
        <v>11289</v>
      </c>
      <c r="L2454" s="34" t="b">
        <v>1</v>
      </c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 t="s">
        <v>11289</v>
      </c>
      <c r="L2455" s="34" t="b">
        <v>1</v>
      </c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 t="s">
        <v>11289</v>
      </c>
      <c r="L2456" s="34" t="b">
        <v>1</v>
      </c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 t="s">
        <v>11289</v>
      </c>
      <c r="L2457" s="34" t="b">
        <v>1</v>
      </c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 t="s">
        <v>11289</v>
      </c>
      <c r="L2458" s="34" t="b">
        <v>1</v>
      </c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 t="s">
        <v>11289</v>
      </c>
      <c r="L2459" s="34" t="b">
        <v>1</v>
      </c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 t="s">
        <v>11289</v>
      </c>
      <c r="L2460" s="34" t="b">
        <v>1</v>
      </c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 t="s">
        <v>11289</v>
      </c>
      <c r="L2461" s="34" t="b">
        <v>1</v>
      </c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 t="s">
        <v>11289</v>
      </c>
      <c r="L2462" s="34" t="b">
        <v>1</v>
      </c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 t="s">
        <v>11289</v>
      </c>
      <c r="L2463" s="34" t="b">
        <v>1</v>
      </c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 t="s">
        <v>11289</v>
      </c>
      <c r="L2464" s="34" t="b">
        <v>1</v>
      </c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 t="s">
        <v>11289</v>
      </c>
      <c r="L2465" s="34" t="b">
        <v>1</v>
      </c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 t="s">
        <v>11289</v>
      </c>
      <c r="L2466" s="34" t="b">
        <v>1</v>
      </c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 t="s">
        <v>11289</v>
      </c>
      <c r="L2467" s="34" t="b">
        <v>1</v>
      </c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 t="s">
        <v>11289</v>
      </c>
      <c r="L2468" s="34" t="b">
        <v>1</v>
      </c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 t="s">
        <v>11289</v>
      </c>
      <c r="L2469" s="34" t="b">
        <v>1</v>
      </c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 t="s">
        <v>11289</v>
      </c>
      <c r="L2470" s="34" t="b">
        <v>1</v>
      </c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 t="s">
        <v>11289</v>
      </c>
      <c r="L2471" s="34" t="b">
        <v>1</v>
      </c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 t="s">
        <v>11289</v>
      </c>
      <c r="L2472" s="34" t="b">
        <v>1</v>
      </c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 t="s">
        <v>11289</v>
      </c>
      <c r="L2473" s="34" t="b">
        <v>1</v>
      </c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 t="s">
        <v>11289</v>
      </c>
      <c r="L2474" s="34" t="b">
        <v>1</v>
      </c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 t="s">
        <v>11289</v>
      </c>
      <c r="L2475" s="34" t="b">
        <v>1</v>
      </c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 t="s">
        <v>11289</v>
      </c>
      <c r="L2476" s="34" t="b">
        <v>1</v>
      </c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 t="s">
        <v>11289</v>
      </c>
      <c r="L2477" s="34" t="b">
        <v>1</v>
      </c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 t="s">
        <v>11289</v>
      </c>
      <c r="L2478" s="34" t="b">
        <v>1</v>
      </c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 t="s">
        <v>11289</v>
      </c>
      <c r="L2479" s="34" t="b">
        <v>1</v>
      </c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 t="s">
        <v>11289</v>
      </c>
      <c r="L2480" s="34" t="b">
        <v>1</v>
      </c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 t="s">
        <v>11289</v>
      </c>
      <c r="L2481" s="34" t="b">
        <v>1</v>
      </c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 t="s">
        <v>11289</v>
      </c>
      <c r="L2482" s="34" t="b">
        <v>1</v>
      </c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 t="s">
        <v>11289</v>
      </c>
      <c r="L2483" s="34" t="b">
        <v>1</v>
      </c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 t="s">
        <v>11289</v>
      </c>
      <c r="L2484" s="34" t="b">
        <v>1</v>
      </c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 t="s">
        <v>11289</v>
      </c>
      <c r="L2485" s="34" t="b">
        <v>1</v>
      </c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 t="s">
        <v>11289</v>
      </c>
      <c r="L2486" s="34" t="b">
        <v>1</v>
      </c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 t="s">
        <v>11289</v>
      </c>
      <c r="L2487" s="34" t="b">
        <v>1</v>
      </c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 t="s">
        <v>11289</v>
      </c>
      <c r="L2488" s="34" t="b">
        <v>1</v>
      </c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 t="s">
        <v>11289</v>
      </c>
      <c r="L2489" s="34" t="b">
        <v>1</v>
      </c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 t="s">
        <v>11289</v>
      </c>
      <c r="L2490" s="34" t="b">
        <v>1</v>
      </c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 t="s">
        <v>11289</v>
      </c>
      <c r="L2491" s="34" t="b">
        <v>1</v>
      </c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 t="s">
        <v>11289</v>
      </c>
      <c r="L2492" s="34" t="b">
        <v>1</v>
      </c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 t="s">
        <v>11289</v>
      </c>
      <c r="L2493" s="34" t="b">
        <v>1</v>
      </c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 t="s">
        <v>11289</v>
      </c>
      <c r="L2494" s="34" t="b">
        <v>1</v>
      </c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 t="s">
        <v>11289</v>
      </c>
      <c r="L2495" s="34" t="b">
        <v>1</v>
      </c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 t="s">
        <v>11289</v>
      </c>
      <c r="L2496" s="34" t="b">
        <v>1</v>
      </c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 t="s">
        <v>11289</v>
      </c>
      <c r="L2497" s="34" t="b">
        <v>1</v>
      </c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 t="s">
        <v>11289</v>
      </c>
      <c r="L2498" s="34" t="b">
        <v>1</v>
      </c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 t="s">
        <v>11289</v>
      </c>
      <c r="L2499" s="34" t="b">
        <v>1</v>
      </c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 t="s">
        <v>11289</v>
      </c>
      <c r="L2500" s="34" t="b">
        <v>1</v>
      </c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 t="s">
        <v>11289</v>
      </c>
      <c r="L2501" s="34" t="b">
        <v>1</v>
      </c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 t="s">
        <v>11289</v>
      </c>
      <c r="L2502" s="34" t="b">
        <v>1</v>
      </c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 t="s">
        <v>11289</v>
      </c>
      <c r="L2503" s="34" t="b">
        <v>1</v>
      </c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 t="s">
        <v>11289</v>
      </c>
      <c r="L2504" s="34" t="b">
        <v>1</v>
      </c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 t="s">
        <v>11289</v>
      </c>
      <c r="L2505" s="34" t="b">
        <v>1</v>
      </c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 t="s">
        <v>11289</v>
      </c>
      <c r="L2506" s="34" t="b">
        <v>1</v>
      </c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11465</v>
      </c>
      <c r="D2507" s="8" t="s">
        <v>11466</v>
      </c>
      <c r="E2507" s="8" t="s">
        <v>11291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11465</v>
      </c>
      <c r="D2508" s="8" t="s">
        <v>11467</v>
      </c>
      <c r="E2508" s="8" t="s">
        <v>11292</v>
      </c>
      <c r="F2508" s="34" t="s">
        <v>11466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11465</v>
      </c>
      <c r="D2509" s="8" t="s">
        <v>11468</v>
      </c>
      <c r="E2509" s="8" t="s">
        <v>11293</v>
      </c>
      <c r="F2509" s="34" t="s">
        <v>11466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11465</v>
      </c>
      <c r="D2510" s="8" t="s">
        <v>11469</v>
      </c>
      <c r="E2510" s="8" t="s">
        <v>11294</v>
      </c>
      <c r="F2510" s="34" t="s">
        <v>11467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11465</v>
      </c>
      <c r="D2511" s="8" t="s">
        <v>11470</v>
      </c>
      <c r="E2511" s="8" t="s">
        <v>11295</v>
      </c>
      <c r="F2511" s="34" t="s">
        <v>11467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11465</v>
      </c>
      <c r="D2512" s="8" t="s">
        <v>11471</v>
      </c>
      <c r="E2512" s="8" t="s">
        <v>11296</v>
      </c>
      <c r="F2512" s="34" t="s">
        <v>11467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11465</v>
      </c>
      <c r="D2513" s="8" t="s">
        <v>11472</v>
      </c>
      <c r="E2513" s="8" t="s">
        <v>11297</v>
      </c>
      <c r="F2513" s="34" t="s">
        <v>11467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11465</v>
      </c>
      <c r="D2514" s="8" t="s">
        <v>11473</v>
      </c>
      <c r="E2514" s="8" t="s">
        <v>11298</v>
      </c>
      <c r="F2514" s="34" t="s">
        <v>11467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11465</v>
      </c>
      <c r="D2515" s="8" t="s">
        <v>11474</v>
      </c>
      <c r="E2515" s="8" t="s">
        <v>11299</v>
      </c>
      <c r="F2515" s="34" t="s">
        <v>11467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11465</v>
      </c>
      <c r="D2516" s="8" t="s">
        <v>11475</v>
      </c>
      <c r="E2516" s="8" t="s">
        <v>11300</v>
      </c>
      <c r="F2516" s="34" t="s">
        <v>11467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11465</v>
      </c>
      <c r="D2517" s="8" t="s">
        <v>11476</v>
      </c>
      <c r="E2517" s="8" t="s">
        <v>11301</v>
      </c>
      <c r="F2517" s="34" t="s">
        <v>11467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11465</v>
      </c>
      <c r="D2518" s="8" t="s">
        <v>11477</v>
      </c>
      <c r="E2518" s="8" t="s">
        <v>11302</v>
      </c>
      <c r="F2518" s="34" t="s">
        <v>11467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11465</v>
      </c>
      <c r="D2519" s="8" t="s">
        <v>11478</v>
      </c>
      <c r="E2519" s="8" t="s">
        <v>11303</v>
      </c>
      <c r="F2519" s="34" t="s">
        <v>11467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11465</v>
      </c>
      <c r="D2520" s="8" t="s">
        <v>11479</v>
      </c>
      <c r="E2520" s="8" t="s">
        <v>11304</v>
      </c>
      <c r="F2520" s="34" t="s">
        <v>11467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11465</v>
      </c>
      <c r="D2521" s="8" t="s">
        <v>11480</v>
      </c>
      <c r="E2521" s="8" t="s">
        <v>11305</v>
      </c>
      <c r="F2521" s="34" t="s">
        <v>11467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11465</v>
      </c>
      <c r="D2522" s="8" t="s">
        <v>11481</v>
      </c>
      <c r="E2522" s="8" t="s">
        <v>11306</v>
      </c>
      <c r="F2522" s="34" t="s">
        <v>11467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11465</v>
      </c>
      <c r="D2523" s="8" t="s">
        <v>11482</v>
      </c>
      <c r="E2523" s="8" t="s">
        <v>11307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11465</v>
      </c>
      <c r="D2524" s="8" t="s">
        <v>11483</v>
      </c>
      <c r="E2524" s="8" t="s">
        <v>11308</v>
      </c>
      <c r="F2524" s="34" t="s">
        <v>11482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11465</v>
      </c>
      <c r="D2525" s="8" t="s">
        <v>11484</v>
      </c>
      <c r="E2525" s="8" t="s">
        <v>11309</v>
      </c>
      <c r="F2525" s="34" t="s">
        <v>11482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11465</v>
      </c>
      <c r="D2526" s="8" t="s">
        <v>11485</v>
      </c>
      <c r="E2526" s="8" t="s">
        <v>11310</v>
      </c>
      <c r="F2526" s="34" t="s">
        <v>11483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11465</v>
      </c>
      <c r="D2527" s="8" t="s">
        <v>11486</v>
      </c>
      <c r="E2527" s="8" t="s">
        <v>11311</v>
      </c>
      <c r="F2527" s="34" t="s">
        <v>11483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11465</v>
      </c>
      <c r="D2528" s="8" t="s">
        <v>11487</v>
      </c>
      <c r="E2528" s="8" t="s">
        <v>11312</v>
      </c>
      <c r="F2528" s="34" t="s">
        <v>11483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11465</v>
      </c>
      <c r="D2529" s="8" t="s">
        <v>11488</v>
      </c>
      <c r="E2529" s="8" t="s">
        <v>11313</v>
      </c>
      <c r="F2529" s="34" t="s">
        <v>11483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11465</v>
      </c>
      <c r="D2530" s="8" t="s">
        <v>11489</v>
      </c>
      <c r="E2530" s="8" t="s">
        <v>11314</v>
      </c>
      <c r="F2530" s="34" t="s">
        <v>11483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11465</v>
      </c>
      <c r="D2531" s="8" t="s">
        <v>11490</v>
      </c>
      <c r="E2531" s="8" t="s">
        <v>11315</v>
      </c>
      <c r="F2531" s="34" t="s">
        <v>11483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11465</v>
      </c>
      <c r="D2532" s="8" t="s">
        <v>11491</v>
      </c>
      <c r="E2532" s="8" t="s">
        <v>11316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11465</v>
      </c>
      <c r="D2533" s="8" t="s">
        <v>11492</v>
      </c>
      <c r="E2533" s="8" t="s">
        <v>11317</v>
      </c>
      <c r="F2533" s="34" t="s">
        <v>11491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11465</v>
      </c>
      <c r="D2534" s="8" t="s">
        <v>11493</v>
      </c>
      <c r="E2534" s="8" t="s">
        <v>11318</v>
      </c>
      <c r="F2534" s="34" t="s">
        <v>11491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11465</v>
      </c>
      <c r="D2535" s="8" t="s">
        <v>11494</v>
      </c>
      <c r="E2535" s="8" t="s">
        <v>11319</v>
      </c>
      <c r="F2535" s="34" t="s">
        <v>11492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11465</v>
      </c>
      <c r="D2536" s="8" t="s">
        <v>11495</v>
      </c>
      <c r="E2536" s="8" t="s">
        <v>11320</v>
      </c>
      <c r="F2536" s="34" t="s">
        <v>11492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11465</v>
      </c>
      <c r="D2537" s="8" t="s">
        <v>11496</v>
      </c>
      <c r="E2537" s="8" t="s">
        <v>11321</v>
      </c>
      <c r="F2537" s="34" t="s">
        <v>11492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11465</v>
      </c>
      <c r="D2538" s="8" t="s">
        <v>11497</v>
      </c>
      <c r="E2538" s="8" t="s">
        <v>11322</v>
      </c>
      <c r="F2538" s="34" t="s">
        <v>11492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11465</v>
      </c>
      <c r="D2539" s="8" t="s">
        <v>11498</v>
      </c>
      <c r="E2539" s="8" t="s">
        <v>11323</v>
      </c>
      <c r="F2539" s="34" t="s">
        <v>11492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11465</v>
      </c>
      <c r="D2540" s="8" t="s">
        <v>11499</v>
      </c>
      <c r="E2540" s="8" t="s">
        <v>11324</v>
      </c>
      <c r="F2540" s="34" t="s">
        <v>11492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11465</v>
      </c>
      <c r="D2541" s="8" t="s">
        <v>11500</v>
      </c>
      <c r="E2541" s="8" t="s">
        <v>11325</v>
      </c>
      <c r="F2541" s="34" t="s">
        <v>11492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11465</v>
      </c>
      <c r="D2542" s="8" t="s">
        <v>11501</v>
      </c>
      <c r="E2542" s="8" t="s">
        <v>11326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11465</v>
      </c>
      <c r="D2543" s="8" t="s">
        <v>11502</v>
      </c>
      <c r="E2543" s="8" t="s">
        <v>11327</v>
      </c>
      <c r="F2543" s="34" t="s">
        <v>11501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11465</v>
      </c>
      <c r="D2544" s="8" t="s">
        <v>11503</v>
      </c>
      <c r="E2544" s="8" t="s">
        <v>11328</v>
      </c>
      <c r="F2544" s="34" t="s">
        <v>11501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11465</v>
      </c>
      <c r="D2545" s="8" t="s">
        <v>11504</v>
      </c>
      <c r="E2545" s="8" t="s">
        <v>11329</v>
      </c>
      <c r="F2545" s="34" t="s">
        <v>11502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11465</v>
      </c>
      <c r="D2546" s="8" t="s">
        <v>11505</v>
      </c>
      <c r="E2546" s="8" t="s">
        <v>11330</v>
      </c>
      <c r="F2546" s="34" t="s">
        <v>11502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11465</v>
      </c>
      <c r="D2547" s="8" t="s">
        <v>11506</v>
      </c>
      <c r="E2547" s="8" t="s">
        <v>11331</v>
      </c>
      <c r="F2547" s="34" t="s">
        <v>11502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11465</v>
      </c>
      <c r="D2548" s="8" t="s">
        <v>11507</v>
      </c>
      <c r="E2548" s="8" t="s">
        <v>11332</v>
      </c>
      <c r="F2548" s="34" t="s">
        <v>11502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11465</v>
      </c>
      <c r="D2549" s="8" t="s">
        <v>11508</v>
      </c>
      <c r="E2549" s="8" t="s">
        <v>11333</v>
      </c>
      <c r="F2549" s="34" t="s">
        <v>11502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11465</v>
      </c>
      <c r="D2550" s="8" t="s">
        <v>11509</v>
      </c>
      <c r="E2550" s="8" t="s">
        <v>11334</v>
      </c>
      <c r="F2550" s="34" t="s">
        <v>11502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11465</v>
      </c>
      <c r="D2551" s="8" t="s">
        <v>11510</v>
      </c>
      <c r="E2551" s="8" t="s">
        <v>11335</v>
      </c>
      <c r="F2551" s="34" t="s">
        <v>11502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11465</v>
      </c>
      <c r="D2552" s="8" t="s">
        <v>11511</v>
      </c>
      <c r="E2552" s="8" t="s">
        <v>11336</v>
      </c>
      <c r="F2552" s="34" t="s">
        <v>11502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11465</v>
      </c>
      <c r="D2553" s="8" t="s">
        <v>11512</v>
      </c>
      <c r="E2553" s="8" t="s">
        <v>11337</v>
      </c>
      <c r="F2553" s="34" t="s">
        <v>11502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11465</v>
      </c>
      <c r="D2554" s="8" t="s">
        <v>11513</v>
      </c>
      <c r="E2554" s="8" t="s">
        <v>11338</v>
      </c>
      <c r="F2554" s="34" t="s">
        <v>11502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11465</v>
      </c>
      <c r="D2555" s="8" t="s">
        <v>11514</v>
      </c>
      <c r="E2555" s="8" t="s">
        <v>11339</v>
      </c>
      <c r="F2555" s="34" t="s">
        <v>11502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11465</v>
      </c>
      <c r="D2556" s="8" t="s">
        <v>11515</v>
      </c>
      <c r="E2556" s="8" t="s">
        <v>11340</v>
      </c>
      <c r="F2556" s="34" t="s">
        <v>11502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11465</v>
      </c>
      <c r="D2557" s="8" t="s">
        <v>11516</v>
      </c>
      <c r="E2557" s="8" t="s">
        <v>11341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11465</v>
      </c>
      <c r="D2558" s="8" t="s">
        <v>11517</v>
      </c>
      <c r="E2558" s="8" t="s">
        <v>11342</v>
      </c>
      <c r="F2558" s="34" t="s">
        <v>11516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11465</v>
      </c>
      <c r="D2559" s="8" t="s">
        <v>11518</v>
      </c>
      <c r="E2559" s="8" t="s">
        <v>11343</v>
      </c>
      <c r="F2559" s="34" t="s">
        <v>11516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11465</v>
      </c>
      <c r="D2560" s="8" t="s">
        <v>11519</v>
      </c>
      <c r="E2560" s="8" t="s">
        <v>11344</v>
      </c>
      <c r="F2560" s="34" t="s">
        <v>11517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11465</v>
      </c>
      <c r="D2561" s="8" t="s">
        <v>11520</v>
      </c>
      <c r="E2561" s="8" t="s">
        <v>11345</v>
      </c>
      <c r="F2561" s="34" t="s">
        <v>11517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11465</v>
      </c>
      <c r="D2562" s="8" t="s">
        <v>11521</v>
      </c>
      <c r="E2562" s="8" t="s">
        <v>11346</v>
      </c>
      <c r="F2562" s="34" t="s">
        <v>11517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11465</v>
      </c>
      <c r="D2563" s="8" t="s">
        <v>11522</v>
      </c>
      <c r="E2563" s="8" t="s">
        <v>11347</v>
      </c>
      <c r="F2563" s="34" t="s">
        <v>11517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11465</v>
      </c>
      <c r="D2564" s="8" t="s">
        <v>11523</v>
      </c>
      <c r="E2564" s="8" t="s">
        <v>11348</v>
      </c>
      <c r="F2564" s="34" t="s">
        <v>11517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11465</v>
      </c>
      <c r="D2565" s="8" t="s">
        <v>11524</v>
      </c>
      <c r="E2565" s="8" t="s">
        <v>11349</v>
      </c>
      <c r="F2565" s="34" t="s">
        <v>11517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11465</v>
      </c>
      <c r="D2566" s="8" t="s">
        <v>11525</v>
      </c>
      <c r="E2566" s="8" t="s">
        <v>11350</v>
      </c>
      <c r="F2566" s="34" t="s">
        <v>11517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11465</v>
      </c>
      <c r="D2567" s="8" t="s">
        <v>11526</v>
      </c>
      <c r="E2567" s="8" t="s">
        <v>11351</v>
      </c>
      <c r="F2567" s="34" t="s">
        <v>11517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11465</v>
      </c>
      <c r="D2568" s="8" t="s">
        <v>11527</v>
      </c>
      <c r="E2568" s="8" t="s">
        <v>11352</v>
      </c>
      <c r="F2568" s="34" t="s">
        <v>11517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11465</v>
      </c>
      <c r="D2569" s="8" t="s">
        <v>11528</v>
      </c>
      <c r="E2569" s="8" t="s">
        <v>11353</v>
      </c>
      <c r="F2569" s="34" t="s">
        <v>11517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11465</v>
      </c>
      <c r="D2570" s="8" t="s">
        <v>11529</v>
      </c>
      <c r="E2570" s="8" t="s">
        <v>11354</v>
      </c>
      <c r="F2570" s="34" t="s">
        <v>11517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11465</v>
      </c>
      <c r="D2571" s="8" t="s">
        <v>11530</v>
      </c>
      <c r="E2571" s="8" t="s">
        <v>11355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11465</v>
      </c>
      <c r="D2572" s="8" t="s">
        <v>11531</v>
      </c>
      <c r="E2572" s="8" t="s">
        <v>11356</v>
      </c>
      <c r="F2572" s="34" t="s">
        <v>11530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11465</v>
      </c>
      <c r="D2573" s="8" t="s">
        <v>11532</v>
      </c>
      <c r="E2573" s="8" t="s">
        <v>11357</v>
      </c>
      <c r="F2573" s="34" t="s">
        <v>11530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11465</v>
      </c>
      <c r="D2574" s="8" t="s">
        <v>11533</v>
      </c>
      <c r="E2574" s="8" t="s">
        <v>11358</v>
      </c>
      <c r="F2574" s="34" t="s">
        <v>11531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11465</v>
      </c>
      <c r="D2575" s="8" t="s">
        <v>11534</v>
      </c>
      <c r="E2575" s="8" t="s">
        <v>11359</v>
      </c>
      <c r="F2575" s="34" t="s">
        <v>11531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11465</v>
      </c>
      <c r="D2576" s="8" t="s">
        <v>11535</v>
      </c>
      <c r="E2576" s="8" t="s">
        <v>11360</v>
      </c>
      <c r="F2576" s="34" t="s">
        <v>11531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11465</v>
      </c>
      <c r="D2577" s="8" t="s">
        <v>11536</v>
      </c>
      <c r="E2577" s="8" t="s">
        <v>11361</v>
      </c>
      <c r="F2577" s="34" t="s">
        <v>11531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11465</v>
      </c>
      <c r="D2578" s="8" t="s">
        <v>11537</v>
      </c>
      <c r="E2578" s="8" t="s">
        <v>11362</v>
      </c>
      <c r="F2578" s="34" t="s">
        <v>11531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11465</v>
      </c>
      <c r="D2579" s="8" t="s">
        <v>11538</v>
      </c>
      <c r="E2579" s="8" t="s">
        <v>11363</v>
      </c>
      <c r="F2579" s="34" t="s">
        <v>11531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11465</v>
      </c>
      <c r="D2580" s="8" t="s">
        <v>11539</v>
      </c>
      <c r="E2580" s="8" t="s">
        <v>11364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11465</v>
      </c>
      <c r="D2581" s="8" t="s">
        <v>11540</v>
      </c>
      <c r="E2581" s="8" t="s">
        <v>11365</v>
      </c>
      <c r="F2581" s="34" t="s">
        <v>11539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11465</v>
      </c>
      <c r="D2582" s="8" t="s">
        <v>11541</v>
      </c>
      <c r="E2582" s="8" t="s">
        <v>11366</v>
      </c>
      <c r="F2582" s="34" t="s">
        <v>11539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11465</v>
      </c>
      <c r="D2583" s="8" t="s">
        <v>11542</v>
      </c>
      <c r="E2583" s="8" t="s">
        <v>11367</v>
      </c>
      <c r="F2583" s="34" t="s">
        <v>11540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11465</v>
      </c>
      <c r="D2584" s="8" t="s">
        <v>11543</v>
      </c>
      <c r="E2584" s="8" t="s">
        <v>11368</v>
      </c>
      <c r="F2584" s="34" t="s">
        <v>11540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11465</v>
      </c>
      <c r="D2585" s="8" t="s">
        <v>11544</v>
      </c>
      <c r="E2585" s="8" t="s">
        <v>11369</v>
      </c>
      <c r="F2585" s="34" t="s">
        <v>11540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11465</v>
      </c>
      <c r="D2586" s="8" t="s">
        <v>11545</v>
      </c>
      <c r="E2586" s="8" t="s">
        <v>11370</v>
      </c>
      <c r="F2586" s="34" t="s">
        <v>11540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11465</v>
      </c>
      <c r="D2587" s="8" t="s">
        <v>11546</v>
      </c>
      <c r="E2587" s="8" t="s">
        <v>11371</v>
      </c>
      <c r="F2587" s="34" t="s">
        <v>11540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11465</v>
      </c>
      <c r="D2588" s="8" t="s">
        <v>11547</v>
      </c>
      <c r="E2588" s="8" t="s">
        <v>11372</v>
      </c>
      <c r="F2588" s="34" t="s">
        <v>11540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11465</v>
      </c>
      <c r="D2589" s="8" t="s">
        <v>11548</v>
      </c>
      <c r="E2589" s="8" t="s">
        <v>11373</v>
      </c>
      <c r="F2589" s="34" t="s">
        <v>11540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11465</v>
      </c>
      <c r="D2590" s="8" t="s">
        <v>11549</v>
      </c>
      <c r="E2590" s="8" t="s">
        <v>11374</v>
      </c>
      <c r="F2590" s="34" t="s">
        <v>11540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11465</v>
      </c>
      <c r="D2591" s="8" t="s">
        <v>11550</v>
      </c>
      <c r="E2591" s="8" t="s">
        <v>11375</v>
      </c>
      <c r="F2591" s="34" t="s">
        <v>11540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11465</v>
      </c>
      <c r="D2592" s="8" t="s">
        <v>11551</v>
      </c>
      <c r="E2592" s="8" t="s">
        <v>11376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11465</v>
      </c>
      <c r="D2593" s="8" t="s">
        <v>11552</v>
      </c>
      <c r="E2593" s="8" t="s">
        <v>11377</v>
      </c>
      <c r="F2593" s="34" t="s">
        <v>11551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11465</v>
      </c>
      <c r="D2594" s="8" t="s">
        <v>11553</v>
      </c>
      <c r="E2594" s="8" t="s">
        <v>11378</v>
      </c>
      <c r="F2594" s="34" t="s">
        <v>11551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11465</v>
      </c>
      <c r="D2595" s="8" t="s">
        <v>11554</v>
      </c>
      <c r="E2595" s="8" t="s">
        <v>11379</v>
      </c>
      <c r="F2595" s="34" t="s">
        <v>11552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11465</v>
      </c>
      <c r="D2596" s="8" t="s">
        <v>11555</v>
      </c>
      <c r="E2596" s="8" t="s">
        <v>11380</v>
      </c>
      <c r="F2596" s="34" t="s">
        <v>11552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11465</v>
      </c>
      <c r="D2597" s="8" t="s">
        <v>11556</v>
      </c>
      <c r="E2597" s="8" t="s">
        <v>11381</v>
      </c>
      <c r="F2597" s="34" t="s">
        <v>11552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11465</v>
      </c>
      <c r="D2598" s="8" t="s">
        <v>11557</v>
      </c>
      <c r="E2598" s="8" t="s">
        <v>11382</v>
      </c>
      <c r="F2598" s="34" t="s">
        <v>11552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11465</v>
      </c>
      <c r="D2599" s="8" t="s">
        <v>11558</v>
      </c>
      <c r="E2599" s="8" t="s">
        <v>11383</v>
      </c>
      <c r="F2599" s="34" t="s">
        <v>11552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11465</v>
      </c>
      <c r="D2600" s="8" t="s">
        <v>11559</v>
      </c>
      <c r="E2600" s="8" t="s">
        <v>11384</v>
      </c>
      <c r="F2600" s="34" t="s">
        <v>11552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11465</v>
      </c>
      <c r="D2601" s="8" t="s">
        <v>11560</v>
      </c>
      <c r="E2601" s="8" t="s">
        <v>11385</v>
      </c>
      <c r="F2601" s="34" t="s">
        <v>11552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11465</v>
      </c>
      <c r="D2602" s="8" t="s">
        <v>11561</v>
      </c>
      <c r="E2602" s="8" t="s">
        <v>11386</v>
      </c>
      <c r="F2602" s="34" t="s">
        <v>11552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11465</v>
      </c>
      <c r="D2603" s="8" t="s">
        <v>11562</v>
      </c>
      <c r="E2603" s="8" t="s">
        <v>11387</v>
      </c>
      <c r="F2603" s="34" t="s">
        <v>11552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11465</v>
      </c>
      <c r="D2604" s="8" t="s">
        <v>11563</v>
      </c>
      <c r="E2604" s="8" t="s">
        <v>11388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11465</v>
      </c>
      <c r="D2605" s="8" t="s">
        <v>11389</v>
      </c>
      <c r="E2605" s="8" t="s">
        <v>11390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11465</v>
      </c>
      <c r="D2606" s="8" t="s">
        <v>11391</v>
      </c>
      <c r="E2606" s="8" t="s">
        <v>11392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11465</v>
      </c>
      <c r="D2607" s="8" t="s">
        <v>11393</v>
      </c>
      <c r="E2607" s="8" t="s">
        <v>11394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11465</v>
      </c>
      <c r="D2608" s="8" t="s">
        <v>11395</v>
      </c>
      <c r="E2608" s="8" t="s">
        <v>11396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11465</v>
      </c>
      <c r="D2609" s="8" t="s">
        <v>11397</v>
      </c>
      <c r="E2609" s="8" t="s">
        <v>11398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11465</v>
      </c>
      <c r="D2610" s="8" t="s">
        <v>11399</v>
      </c>
      <c r="E2610" s="8" t="s">
        <v>11400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11465</v>
      </c>
      <c r="D2611" s="8" t="s">
        <v>3694</v>
      </c>
      <c r="E2611" s="8" t="s">
        <v>11401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11465</v>
      </c>
      <c r="D2612" s="8" t="s">
        <v>12263</v>
      </c>
      <c r="E2612" s="8" t="s">
        <v>11402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11465</v>
      </c>
      <c r="D2613" s="8" t="s">
        <v>11403</v>
      </c>
      <c r="E2613" s="8" t="s">
        <v>11404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11465</v>
      </c>
      <c r="D2614" s="8" t="s">
        <v>11405</v>
      </c>
      <c r="E2614" s="8" t="s">
        <v>11406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11465</v>
      </c>
      <c r="D2615" s="8" t="s">
        <v>11407</v>
      </c>
      <c r="E2615" s="8" t="s">
        <v>11408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11465</v>
      </c>
      <c r="D2616" s="8" t="s">
        <v>11409</v>
      </c>
      <c r="E2616" s="8" t="s">
        <v>11410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11465</v>
      </c>
      <c r="D2617" s="8" t="s">
        <v>11411</v>
      </c>
      <c r="E2617" s="8" t="s">
        <v>11412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11465</v>
      </c>
      <c r="D2618" s="8" t="s">
        <v>11413</v>
      </c>
      <c r="E2618" s="8" t="s">
        <v>11414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11465</v>
      </c>
      <c r="D2619" s="8" t="s">
        <v>11415</v>
      </c>
      <c r="E2619" s="8" t="s">
        <v>11416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11465</v>
      </c>
      <c r="D2620" s="8" t="s">
        <v>11417</v>
      </c>
      <c r="E2620" s="8" t="s">
        <v>11418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11465</v>
      </c>
      <c r="D2621" s="8" t="s">
        <v>11419</v>
      </c>
      <c r="E2621" s="8" t="s">
        <v>11420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11465</v>
      </c>
      <c r="D2622" s="8" t="s">
        <v>11421</v>
      </c>
      <c r="E2622" s="8" t="s">
        <v>11422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11465</v>
      </c>
      <c r="D2623" s="8" t="s">
        <v>4802</v>
      </c>
      <c r="E2623" s="8" t="s">
        <v>11423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11465</v>
      </c>
      <c r="D2624" s="8" t="s">
        <v>11424</v>
      </c>
      <c r="E2624" s="8" t="s">
        <v>11425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11465</v>
      </c>
      <c r="D2625" s="8" t="s">
        <v>4836</v>
      </c>
      <c r="E2625" s="8" t="s">
        <v>11426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11465</v>
      </c>
      <c r="D2626" s="8" t="s">
        <v>11427</v>
      </c>
      <c r="E2626" s="8" t="s">
        <v>11428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11465</v>
      </c>
      <c r="D2627" s="8" t="s">
        <v>11429</v>
      </c>
      <c r="E2627" s="8" t="s">
        <v>11430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11465</v>
      </c>
      <c r="D2628" s="8" t="s">
        <v>5792</v>
      </c>
      <c r="E2628" s="8" t="s">
        <v>11431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11465</v>
      </c>
      <c r="D2629" s="8" t="s">
        <v>11432</v>
      </c>
      <c r="E2629" s="8" t="s">
        <v>11433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11465</v>
      </c>
      <c r="D2630" s="8" t="s">
        <v>11434</v>
      </c>
      <c r="E2630" s="8" t="s">
        <v>11435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11465</v>
      </c>
      <c r="D2631" s="8" t="s">
        <v>4839</v>
      </c>
      <c r="E2631" s="8" t="s">
        <v>11436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11465</v>
      </c>
      <c r="D2632" s="8" t="s">
        <v>11437</v>
      </c>
      <c r="E2632" s="8" t="s">
        <v>11438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11465</v>
      </c>
      <c r="D2633" s="8" t="s">
        <v>11439</v>
      </c>
      <c r="E2633" s="8" t="s">
        <v>11440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11465</v>
      </c>
      <c r="D2634" s="8" t="s">
        <v>11441</v>
      </c>
      <c r="E2634" s="8" t="s">
        <v>11442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11465</v>
      </c>
      <c r="D2635" s="8" t="s">
        <v>11443</v>
      </c>
      <c r="E2635" s="8" t="s">
        <v>11444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11465</v>
      </c>
      <c r="D2636" s="8" t="s">
        <v>11445</v>
      </c>
      <c r="E2636" s="8" t="s">
        <v>11446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11465</v>
      </c>
      <c r="D2637" s="8" t="s">
        <v>5454</v>
      </c>
      <c r="E2637" s="8" t="s">
        <v>11447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11465</v>
      </c>
      <c r="D2638" s="8" t="s">
        <v>11448</v>
      </c>
      <c r="E2638" s="8" t="s">
        <v>11449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11465</v>
      </c>
      <c r="D2639" s="8" t="s">
        <v>4821</v>
      </c>
      <c r="E2639" s="8" t="s">
        <v>11450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11465</v>
      </c>
      <c r="D2640" s="8" t="s">
        <v>4823</v>
      </c>
      <c r="E2640" s="8" t="s">
        <v>11451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11465</v>
      </c>
      <c r="D2641" s="8" t="s">
        <v>4826</v>
      </c>
      <c r="E2641" s="8" t="s">
        <v>11452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11465</v>
      </c>
      <c r="D2642" s="8" t="s">
        <v>11453</v>
      </c>
      <c r="E2642" s="8" t="s">
        <v>11454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11465</v>
      </c>
      <c r="D2643" s="8" t="s">
        <v>5451</v>
      </c>
      <c r="E2643" s="8" t="s">
        <v>11455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11465</v>
      </c>
      <c r="D2644" s="8" t="s">
        <v>11456</v>
      </c>
      <c r="E2644" s="8" t="s">
        <v>11457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11465</v>
      </c>
      <c r="D2645" s="8" t="s">
        <v>11458</v>
      </c>
      <c r="E2645" s="8" t="s">
        <v>11459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11465</v>
      </c>
      <c r="D2646" s="8" t="s">
        <v>5722</v>
      </c>
      <c r="E2646" s="8" t="s">
        <v>11460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11465</v>
      </c>
      <c r="D2647" s="8" t="s">
        <v>11461</v>
      </c>
      <c r="E2647" s="8" t="s">
        <v>11462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11465</v>
      </c>
      <c r="D2648" s="8" t="s">
        <v>7629</v>
      </c>
      <c r="E2648" s="8" t="s">
        <v>11463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11465</v>
      </c>
      <c r="D2649" s="8" t="s">
        <v>7628</v>
      </c>
      <c r="E2649" s="8" t="s">
        <v>11464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11681</v>
      </c>
      <c r="D2650" t="s">
        <v>12139</v>
      </c>
      <c r="E2650" s="8" t="s">
        <v>11564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11681</v>
      </c>
      <c r="D2651" t="s">
        <v>12140</v>
      </c>
      <c r="E2651" s="8" t="s">
        <v>11565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11681</v>
      </c>
      <c r="D2652" t="s">
        <v>12141</v>
      </c>
      <c r="E2652" s="8" t="s">
        <v>11566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11681</v>
      </c>
      <c r="D2653" t="s">
        <v>12142</v>
      </c>
      <c r="E2653" s="8" t="s">
        <v>11567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11681</v>
      </c>
      <c r="D2654" t="s">
        <v>12143</v>
      </c>
      <c r="E2654" s="8" t="s">
        <v>11568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11681</v>
      </c>
      <c r="D2655" t="s">
        <v>12144</v>
      </c>
      <c r="E2655" s="8" t="s">
        <v>11569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11681</v>
      </c>
      <c r="D2656" t="s">
        <v>12145</v>
      </c>
      <c r="E2656" s="8" t="s">
        <v>11570</v>
      </c>
      <c r="F2656" s="8" t="s">
        <v>12144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11681</v>
      </c>
      <c r="D2657" t="s">
        <v>12146</v>
      </c>
      <c r="E2657" s="8" t="s">
        <v>11571</v>
      </c>
      <c r="F2657" s="34" t="s">
        <v>12144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11681</v>
      </c>
      <c r="D2658" t="s">
        <v>12147</v>
      </c>
      <c r="E2658" s="8" t="s">
        <v>11572</v>
      </c>
      <c r="F2658" s="34" t="s">
        <v>12144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11681</v>
      </c>
      <c r="D2659" t="s">
        <v>12148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11681</v>
      </c>
      <c r="D2660" t="s">
        <v>12149</v>
      </c>
      <c r="E2660" s="8" t="s">
        <v>11573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11681</v>
      </c>
      <c r="D2661" t="s">
        <v>12150</v>
      </c>
      <c r="E2661" s="8" t="s">
        <v>11574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11681</v>
      </c>
      <c r="D2662" t="s">
        <v>12151</v>
      </c>
      <c r="E2662" s="8" t="s">
        <v>11575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11681</v>
      </c>
      <c r="D2663" t="s">
        <v>12152</v>
      </c>
      <c r="E2663" s="8" t="s">
        <v>11576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11681</v>
      </c>
      <c r="D2664" t="s">
        <v>12153</v>
      </c>
      <c r="E2664" s="8" t="s">
        <v>11577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11681</v>
      </c>
      <c r="D2665" t="s">
        <v>12154</v>
      </c>
      <c r="E2665" s="8" t="s">
        <v>11578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11681</v>
      </c>
      <c r="D2666" t="s">
        <v>12155</v>
      </c>
      <c r="E2666" s="8" t="s">
        <v>11579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11681</v>
      </c>
      <c r="D2667" t="s">
        <v>12156</v>
      </c>
      <c r="E2667" s="8" t="s">
        <v>11580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11681</v>
      </c>
      <c r="D2668" t="s">
        <v>12157</v>
      </c>
      <c r="E2668" s="8" t="s">
        <v>11581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11681</v>
      </c>
      <c r="D2669" t="s">
        <v>12158</v>
      </c>
      <c r="E2669" s="8" t="s">
        <v>11582</v>
      </c>
      <c r="F2669" s="34" t="s">
        <v>12157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11681</v>
      </c>
      <c r="D2670" t="s">
        <v>12159</v>
      </c>
      <c r="E2670" s="8" t="s">
        <v>11583</v>
      </c>
      <c r="F2670" s="34" t="s">
        <v>12158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11681</v>
      </c>
      <c r="D2671" t="s">
        <v>12160</v>
      </c>
      <c r="E2671" s="8" t="s">
        <v>11584</v>
      </c>
      <c r="F2671" s="34" t="s">
        <v>12158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11681</v>
      </c>
      <c r="D2672" t="s">
        <v>12161</v>
      </c>
      <c r="E2672" s="8" t="s">
        <v>11585</v>
      </c>
      <c r="F2672" s="34" t="s">
        <v>12158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11681</v>
      </c>
      <c r="D2673" t="s">
        <v>12162</v>
      </c>
      <c r="E2673" s="8" t="s">
        <v>11586</v>
      </c>
      <c r="F2673" s="34" t="s">
        <v>12157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11681</v>
      </c>
      <c r="D2674" t="s">
        <v>12163</v>
      </c>
      <c r="E2674" s="8" t="s">
        <v>11587</v>
      </c>
      <c r="F2674" s="34" t="s">
        <v>12162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11681</v>
      </c>
      <c r="D2675" t="s">
        <v>12164</v>
      </c>
      <c r="E2675" s="8" t="s">
        <v>11588</v>
      </c>
      <c r="F2675" s="34" t="s">
        <v>12162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11681</v>
      </c>
      <c r="D2676" t="s">
        <v>12165</v>
      </c>
      <c r="E2676" s="8" t="s">
        <v>11589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11681</v>
      </c>
      <c r="D2677" t="s">
        <v>12166</v>
      </c>
      <c r="E2677" s="8" t="s">
        <v>11590</v>
      </c>
      <c r="F2677" s="34" t="s">
        <v>12165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11681</v>
      </c>
      <c r="D2678" t="s">
        <v>12167</v>
      </c>
      <c r="E2678" s="8" t="s">
        <v>11591</v>
      </c>
      <c r="F2678" s="34" t="s">
        <v>12165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11681</v>
      </c>
      <c r="D2679" t="s">
        <v>12168</v>
      </c>
      <c r="E2679" s="8" t="s">
        <v>11592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11681</v>
      </c>
      <c r="D2680" t="s">
        <v>12169</v>
      </c>
      <c r="E2680" s="8" t="s">
        <v>11593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11681</v>
      </c>
      <c r="D2681" t="s">
        <v>12170</v>
      </c>
      <c r="E2681" s="8" t="s">
        <v>11594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11681</v>
      </c>
      <c r="D2682" t="s">
        <v>12171</v>
      </c>
      <c r="E2682" s="8" t="s">
        <v>11595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11681</v>
      </c>
      <c r="D2683" t="s">
        <v>12172</v>
      </c>
      <c r="E2683" s="8" t="s">
        <v>11596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11681</v>
      </c>
      <c r="D2684" t="s">
        <v>12173</v>
      </c>
      <c r="E2684" s="8" t="s">
        <v>11597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11681</v>
      </c>
      <c r="D2685" t="s">
        <v>12174</v>
      </c>
      <c r="E2685" s="8" t="s">
        <v>11598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11681</v>
      </c>
      <c r="D2686" t="s">
        <v>12175</v>
      </c>
      <c r="E2686" s="8" t="s">
        <v>11599</v>
      </c>
      <c r="F2686" s="34" t="s">
        <v>12165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11681</v>
      </c>
      <c r="D2687" t="s">
        <v>12176</v>
      </c>
      <c r="E2687" s="8" t="s">
        <v>11600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11681</v>
      </c>
      <c r="D2688" t="s">
        <v>12177</v>
      </c>
      <c r="E2688" s="8" t="s">
        <v>11601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11681</v>
      </c>
      <c r="D2689" t="s">
        <v>12178</v>
      </c>
      <c r="E2689" s="8" t="s">
        <v>11602</v>
      </c>
      <c r="F2689" s="34" t="s">
        <v>12177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11681</v>
      </c>
      <c r="D2690" t="s">
        <v>12179</v>
      </c>
      <c r="E2690" s="8" t="s">
        <v>11603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11681</v>
      </c>
      <c r="D2691" t="s">
        <v>12180</v>
      </c>
      <c r="E2691" s="8" t="s">
        <v>11604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11681</v>
      </c>
      <c r="D2692" t="s">
        <v>12181</v>
      </c>
      <c r="E2692" s="8" t="s">
        <v>11605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11681</v>
      </c>
      <c r="D2693" t="s">
        <v>12182</v>
      </c>
      <c r="E2693" s="8" t="s">
        <v>11606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11681</v>
      </c>
      <c r="D2694" t="s">
        <v>12183</v>
      </c>
      <c r="E2694" s="8" t="s">
        <v>11607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11681</v>
      </c>
      <c r="D2695" s="8" t="s">
        <v>5952</v>
      </c>
      <c r="E2695" s="8" t="s">
        <v>11608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11681</v>
      </c>
      <c r="D2696" s="8" t="s">
        <v>5404</v>
      </c>
      <c r="E2696" s="8" t="s">
        <v>11609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11681</v>
      </c>
      <c r="D2697" s="8" t="s">
        <v>5406</v>
      </c>
      <c r="E2697" s="8" t="s">
        <v>11610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11681</v>
      </c>
      <c r="D2698" s="8" t="s">
        <v>8026</v>
      </c>
      <c r="E2698" s="8" t="s">
        <v>11611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11681</v>
      </c>
      <c r="D2699" s="8" t="s">
        <v>8027</v>
      </c>
      <c r="E2699" s="8" t="s">
        <v>11612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11681</v>
      </c>
      <c r="D2700" s="8" t="s">
        <v>2025</v>
      </c>
      <c r="E2700" s="8" t="s">
        <v>11613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11681</v>
      </c>
      <c r="D2701" s="8" t="s">
        <v>2023</v>
      </c>
      <c r="E2701" s="8" t="s">
        <v>11614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11681</v>
      </c>
      <c r="D2702" s="8" t="s">
        <v>2026</v>
      </c>
      <c r="E2702" s="8" t="s">
        <v>11615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11681</v>
      </c>
      <c r="D2703" s="8" t="s">
        <v>2045</v>
      </c>
      <c r="E2703" s="8" t="s">
        <v>11616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11681</v>
      </c>
      <c r="D2704" s="8" t="s">
        <v>2043</v>
      </c>
      <c r="E2704" s="8" t="s">
        <v>11617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11681</v>
      </c>
      <c r="D2705" s="8" t="s">
        <v>2046</v>
      </c>
      <c r="E2705" s="8" t="s">
        <v>11618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11681</v>
      </c>
      <c r="D2706" s="8" t="s">
        <v>8029</v>
      </c>
      <c r="E2706" s="8" t="s">
        <v>11619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11681</v>
      </c>
      <c r="D2707" s="8" t="s">
        <v>2030</v>
      </c>
      <c r="E2707" s="8" t="s">
        <v>11620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11681</v>
      </c>
      <c r="D2708" s="8" t="s">
        <v>2028</v>
      </c>
      <c r="E2708" s="8" t="s">
        <v>11621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11681</v>
      </c>
      <c r="D2709" s="8" t="s">
        <v>2031</v>
      </c>
      <c r="E2709" s="8" t="s">
        <v>11622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11681</v>
      </c>
      <c r="D2710" s="8" t="s">
        <v>2035</v>
      </c>
      <c r="E2710" s="8" t="s">
        <v>11623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11681</v>
      </c>
      <c r="D2711" s="8" t="s">
        <v>2033</v>
      </c>
      <c r="E2711" s="8" t="s">
        <v>11624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11681</v>
      </c>
      <c r="D2712" s="8" t="s">
        <v>2036</v>
      </c>
      <c r="E2712" s="8" t="s">
        <v>11625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11681</v>
      </c>
      <c r="D2713" s="8" t="s">
        <v>8031</v>
      </c>
      <c r="E2713" s="8" t="s">
        <v>11626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11681</v>
      </c>
      <c r="D2714" s="8" t="s">
        <v>2177</v>
      </c>
      <c r="E2714" s="8" t="s">
        <v>11627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11681</v>
      </c>
      <c r="D2715" s="8" t="s">
        <v>2175</v>
      </c>
      <c r="E2715" s="8" t="s">
        <v>11628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11681</v>
      </c>
      <c r="D2716" s="8" t="s">
        <v>2178</v>
      </c>
      <c r="E2716" s="8" t="s">
        <v>11629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11681</v>
      </c>
      <c r="D2717" s="8" t="s">
        <v>8048</v>
      </c>
      <c r="E2717" s="8" t="s">
        <v>11630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11681</v>
      </c>
      <c r="D2718" s="8" t="s">
        <v>8032</v>
      </c>
      <c r="E2718" s="8" t="s">
        <v>11631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11681</v>
      </c>
      <c r="D2719" s="8" t="s">
        <v>2015</v>
      </c>
      <c r="E2719" s="8" t="s">
        <v>11632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11681</v>
      </c>
      <c r="D2720" s="8" t="s">
        <v>2013</v>
      </c>
      <c r="E2720" s="8" t="s">
        <v>11633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11681</v>
      </c>
      <c r="D2721" s="8" t="s">
        <v>2016</v>
      </c>
      <c r="E2721" s="8" t="s">
        <v>11634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11681</v>
      </c>
      <c r="D2722" s="8" t="s">
        <v>2182</v>
      </c>
      <c r="E2722" s="8" t="s">
        <v>11635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11681</v>
      </c>
      <c r="D2723" s="8" t="s">
        <v>2180</v>
      </c>
      <c r="E2723" s="8" t="s">
        <v>11636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11681</v>
      </c>
      <c r="D2724" s="8" t="s">
        <v>2183</v>
      </c>
      <c r="E2724" s="8" t="s">
        <v>11637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11681</v>
      </c>
      <c r="D2725" s="8" t="s">
        <v>8033</v>
      </c>
      <c r="E2725" s="8" t="s">
        <v>11638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11681</v>
      </c>
      <c r="D2726" s="8" t="s">
        <v>8035</v>
      </c>
      <c r="E2726" s="8" t="s">
        <v>11639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11681</v>
      </c>
      <c r="D2727" s="8" t="s">
        <v>2040</v>
      </c>
      <c r="E2727" s="8" t="s">
        <v>11640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11681</v>
      </c>
      <c r="D2728" s="8" t="s">
        <v>2038</v>
      </c>
      <c r="E2728" s="8" t="s">
        <v>11641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11681</v>
      </c>
      <c r="D2729" s="8" t="s">
        <v>2041</v>
      </c>
      <c r="E2729" s="8" t="s">
        <v>11642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11681</v>
      </c>
      <c r="D2730" s="8" t="s">
        <v>2187</v>
      </c>
      <c r="E2730" s="8" t="s">
        <v>11643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11681</v>
      </c>
      <c r="D2731" s="8" t="s">
        <v>2185</v>
      </c>
      <c r="E2731" s="8" t="s">
        <v>11644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11681</v>
      </c>
      <c r="D2732" s="8" t="s">
        <v>2188</v>
      </c>
      <c r="E2732" s="8" t="s">
        <v>11645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11681</v>
      </c>
      <c r="D2733" s="8" t="s">
        <v>2287</v>
      </c>
      <c r="E2733" s="8" t="s">
        <v>11646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11681</v>
      </c>
      <c r="D2734" s="8" t="s">
        <v>2285</v>
      </c>
      <c r="E2734" s="8" t="s">
        <v>11647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11681</v>
      </c>
      <c r="D2735" s="8" t="s">
        <v>2301</v>
      </c>
      <c r="E2735" s="8" t="s">
        <v>11648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11681</v>
      </c>
      <c r="D2736" s="8" t="s">
        <v>8036</v>
      </c>
      <c r="E2736" s="8" t="s">
        <v>11649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11681</v>
      </c>
      <c r="D2737" s="8" t="s">
        <v>2172</v>
      </c>
      <c r="E2737" s="8" t="s">
        <v>11650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11681</v>
      </c>
      <c r="D2738" s="8" t="s">
        <v>2170</v>
      </c>
      <c r="E2738" s="8" t="s">
        <v>11651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11681</v>
      </c>
      <c r="D2739" s="8" t="s">
        <v>2173</v>
      </c>
      <c r="E2739" s="8" t="s">
        <v>11652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11681</v>
      </c>
      <c r="D2740" s="8" t="s">
        <v>2255</v>
      </c>
      <c r="E2740" s="8" t="s">
        <v>11653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11681</v>
      </c>
      <c r="D2741" s="8" t="s">
        <v>2253</v>
      </c>
      <c r="E2741" s="8" t="s">
        <v>11654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11681</v>
      </c>
      <c r="D2742" s="8" t="s">
        <v>2269</v>
      </c>
      <c r="E2742" s="8" t="s">
        <v>11655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11681</v>
      </c>
      <c r="D2743" s="8" t="s">
        <v>2273</v>
      </c>
      <c r="E2743" s="8" t="s">
        <v>11656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11681</v>
      </c>
      <c r="D2744" s="8" t="s">
        <v>2271</v>
      </c>
      <c r="E2744" s="8" t="s">
        <v>11657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11681</v>
      </c>
      <c r="D2745" s="8" t="s">
        <v>2283</v>
      </c>
      <c r="E2745" s="8" t="s">
        <v>11658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11681</v>
      </c>
      <c r="D2746" s="8" t="s">
        <v>8037</v>
      </c>
      <c r="E2746" s="8" t="s">
        <v>11659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11681</v>
      </c>
      <c r="D2747" s="8" t="s">
        <v>8854</v>
      </c>
      <c r="E2747" s="8" t="s">
        <v>11660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11681</v>
      </c>
      <c r="D2748" s="8" t="s">
        <v>4685</v>
      </c>
      <c r="E2748" s="8" t="s">
        <v>11661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11681</v>
      </c>
      <c r="D2749" s="8" t="s">
        <v>8903</v>
      </c>
      <c r="E2749" s="8" t="s">
        <v>11662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11681</v>
      </c>
      <c r="D2750" s="8" t="s">
        <v>8916</v>
      </c>
      <c r="E2750" s="8" t="s">
        <v>11663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11681</v>
      </c>
      <c r="D2751" s="8" t="s">
        <v>8906</v>
      </c>
      <c r="E2751" s="8" t="s">
        <v>11664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11681</v>
      </c>
      <c r="D2752" s="8" t="s">
        <v>8907</v>
      </c>
      <c r="E2752" s="8" t="s">
        <v>11665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11681</v>
      </c>
      <c r="D2753" s="8" t="s">
        <v>8908</v>
      </c>
      <c r="E2753" s="8" t="s">
        <v>11666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11681</v>
      </c>
      <c r="D2754" s="8" t="s">
        <v>2625</v>
      </c>
      <c r="E2754" s="8" t="s">
        <v>11667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11681</v>
      </c>
      <c r="D2755" s="8" t="s">
        <v>2674</v>
      </c>
      <c r="E2755" s="8" t="s">
        <v>11668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11681</v>
      </c>
      <c r="D2756" s="8" t="s">
        <v>8017</v>
      </c>
      <c r="E2756" s="8" t="s">
        <v>11669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11681</v>
      </c>
      <c r="D2757" s="8" t="s">
        <v>4872</v>
      </c>
      <c r="E2757" s="8" t="s">
        <v>11670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11681</v>
      </c>
      <c r="D2758" s="8" t="s">
        <v>8018</v>
      </c>
      <c r="E2758" s="8" t="s">
        <v>11671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11681</v>
      </c>
      <c r="D2759" s="8" t="s">
        <v>8019</v>
      </c>
      <c r="E2759" s="8" t="s">
        <v>11672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11681</v>
      </c>
      <c r="D2760" s="8" t="s">
        <v>3239</v>
      </c>
      <c r="E2760" s="8" t="s">
        <v>11673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11681</v>
      </c>
      <c r="D2761" s="8" t="s">
        <v>3241</v>
      </c>
      <c r="E2761" s="8" t="s">
        <v>11674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11681</v>
      </c>
      <c r="D2762" s="8" t="s">
        <v>3243</v>
      </c>
      <c r="E2762" s="8" t="s">
        <v>11675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11681</v>
      </c>
      <c r="D2763" s="8" t="s">
        <v>8020</v>
      </c>
      <c r="E2763" s="8" t="s">
        <v>11676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11681</v>
      </c>
      <c r="D2764" s="8" t="s">
        <v>3237</v>
      </c>
      <c r="E2764" s="8" t="s">
        <v>11677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11681</v>
      </c>
      <c r="D2765" s="8" t="s">
        <v>7810</v>
      </c>
      <c r="E2765" s="8" t="s">
        <v>11678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11681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11681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11681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11681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11681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11681</v>
      </c>
      <c r="D2771" s="8" t="s">
        <v>11679</v>
      </c>
      <c r="E2771" s="8" t="s">
        <v>12281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 t="e">
        <f>VLOOKUP(Table2[[#This Row],[Node]],#REF!,2,0)=Table2[[#This Row],[Parent]]</f>
        <v>#REF!</v>
      </c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11681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11681</v>
      </c>
      <c r="D2773" s="8" t="s">
        <v>11680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11681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11681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11681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11681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11681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11681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11682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12133</v>
      </c>
    </row>
    <row r="2781" spans="1:13" hidden="1">
      <c r="A2781" s="40">
        <f t="shared" si="47"/>
        <v>2780</v>
      </c>
      <c r="B2781" s="34" t="s">
        <v>8</v>
      </c>
      <c r="C2781" s="34" t="s">
        <v>11682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12133</v>
      </c>
    </row>
    <row r="2782" spans="1:13" hidden="1">
      <c r="A2782" s="40">
        <f t="shared" si="47"/>
        <v>2781</v>
      </c>
      <c r="B2782" s="34" t="s">
        <v>8</v>
      </c>
      <c r="C2782" s="34" t="s">
        <v>11682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12133</v>
      </c>
    </row>
    <row r="2783" spans="1:13" hidden="1">
      <c r="A2783" s="40">
        <f t="shared" si="47"/>
        <v>2782</v>
      </c>
      <c r="B2783" s="34" t="s">
        <v>8</v>
      </c>
      <c r="C2783" s="34" t="s">
        <v>11682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12133</v>
      </c>
    </row>
    <row r="2784" spans="1:13" hidden="1">
      <c r="A2784" s="40">
        <f t="shared" si="47"/>
        <v>2783</v>
      </c>
      <c r="B2784" s="34" t="s">
        <v>8</v>
      </c>
      <c r="C2784" s="34" t="s">
        <v>11682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12133</v>
      </c>
    </row>
    <row r="2785" spans="1:13" hidden="1">
      <c r="A2785" s="40">
        <f t="shared" si="47"/>
        <v>2784</v>
      </c>
      <c r="B2785" s="34" t="s">
        <v>8</v>
      </c>
      <c r="C2785" s="34" t="s">
        <v>11682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12133</v>
      </c>
    </row>
    <row r="2786" spans="1:13" hidden="1">
      <c r="A2786" s="40">
        <f t="shared" si="47"/>
        <v>2785</v>
      </c>
      <c r="B2786" s="34" t="s">
        <v>8</v>
      </c>
      <c r="C2786" s="34" t="s">
        <v>11682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12133</v>
      </c>
    </row>
    <row r="2787" spans="1:13" hidden="1">
      <c r="A2787" s="40">
        <f t="shared" si="47"/>
        <v>2786</v>
      </c>
      <c r="B2787" s="34" t="s">
        <v>8</v>
      </c>
      <c r="C2787" s="8" t="s">
        <v>12118</v>
      </c>
      <c r="D2787" s="8" t="s">
        <v>385</v>
      </c>
      <c r="E2787" s="8" t="s">
        <v>12119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12120</v>
      </c>
      <c r="D2788" s="36" t="s">
        <v>385</v>
      </c>
      <c r="E2788" s="8" t="s">
        <v>12121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12132</v>
      </c>
      <c r="D2789" s="34" t="s">
        <v>12137</v>
      </c>
      <c r="E2789" s="8" t="s">
        <v>12122</v>
      </c>
      <c r="F2789" s="8" t="s">
        <v>12123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12133</v>
      </c>
    </row>
    <row r="2790" spans="1:13" hidden="1">
      <c r="A2790" s="40">
        <f t="shared" si="47"/>
        <v>2789</v>
      </c>
      <c r="B2790" s="34" t="s">
        <v>8</v>
      </c>
      <c r="C2790" s="34" t="s">
        <v>12132</v>
      </c>
      <c r="D2790" s="8" t="s">
        <v>12124</v>
      </c>
      <c r="E2790" s="8" t="s">
        <v>12122</v>
      </c>
      <c r="F2790" s="34" t="s">
        <v>12137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12133</v>
      </c>
    </row>
    <row r="2791" spans="1:13" hidden="1">
      <c r="A2791" s="40">
        <f t="shared" si="47"/>
        <v>2790</v>
      </c>
      <c r="B2791" s="34" t="s">
        <v>8</v>
      </c>
      <c r="C2791" s="34" t="s">
        <v>12132</v>
      </c>
      <c r="D2791" s="34" t="s">
        <v>12138</v>
      </c>
      <c r="E2791" s="8" t="s">
        <v>12125</v>
      </c>
      <c r="F2791" s="8" t="s">
        <v>12123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12133</v>
      </c>
    </row>
    <row r="2792" spans="1:13" hidden="1">
      <c r="A2792" s="40">
        <f t="shared" si="47"/>
        <v>2791</v>
      </c>
      <c r="B2792" s="34" t="s">
        <v>8</v>
      </c>
      <c r="C2792" s="34" t="s">
        <v>12132</v>
      </c>
      <c r="D2792" s="8" t="s">
        <v>12126</v>
      </c>
      <c r="E2792" s="8" t="s">
        <v>12125</v>
      </c>
      <c r="F2792" s="34" t="s">
        <v>12138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12133</v>
      </c>
    </row>
    <row r="2793" spans="1:13" hidden="1">
      <c r="A2793" s="40">
        <f t="shared" si="47"/>
        <v>2792</v>
      </c>
      <c r="B2793" s="34" t="s">
        <v>8</v>
      </c>
      <c r="C2793" s="34" t="s">
        <v>12132</v>
      </c>
      <c r="D2793" s="8" t="s">
        <v>12127</v>
      </c>
      <c r="E2793" s="8" t="s">
        <v>12282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12133</v>
      </c>
    </row>
    <row r="2794" spans="1:13" hidden="1">
      <c r="A2794" s="40">
        <f t="shared" si="47"/>
        <v>2793</v>
      </c>
      <c r="B2794" s="34" t="s">
        <v>8</v>
      </c>
      <c r="C2794" s="34" t="s">
        <v>12132</v>
      </c>
      <c r="D2794" s="8" t="s">
        <v>12128</v>
      </c>
      <c r="E2794" s="8" t="s">
        <v>12129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12133</v>
      </c>
    </row>
    <row r="2795" spans="1:13" hidden="1">
      <c r="A2795" s="40">
        <f t="shared" si="47"/>
        <v>2794</v>
      </c>
      <c r="B2795" s="34" t="s">
        <v>8</v>
      </c>
      <c r="C2795" s="34" t="s">
        <v>12132</v>
      </c>
      <c r="D2795" s="8" t="s">
        <v>12130</v>
      </c>
      <c r="E2795" s="8" t="s">
        <v>12131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12133</v>
      </c>
    </row>
    <row r="2796" spans="1:13" hidden="1">
      <c r="A2796" s="40">
        <f t="shared" si="47"/>
        <v>2795</v>
      </c>
      <c r="B2796" s="34" t="s">
        <v>8</v>
      </c>
      <c r="C2796" s="8" t="s">
        <v>12117</v>
      </c>
      <c r="D2796" s="8" t="s">
        <v>12184</v>
      </c>
      <c r="E2796" s="8" t="s">
        <v>11683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12117</v>
      </c>
      <c r="D2797" s="8" t="s">
        <v>12185</v>
      </c>
      <c r="E2797" s="8" t="s">
        <v>11684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12117</v>
      </c>
      <c r="D2798" s="8" t="s">
        <v>12186</v>
      </c>
      <c r="E2798" s="8" t="s">
        <v>11685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12117</v>
      </c>
      <c r="D2799" s="8" t="s">
        <v>12187</v>
      </c>
      <c r="E2799" s="8" t="s">
        <v>11686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12117</v>
      </c>
      <c r="D2800" s="8" t="s">
        <v>12188</v>
      </c>
      <c r="E2800" s="8" t="s">
        <v>11687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12117</v>
      </c>
      <c r="D2801" s="8" t="s">
        <v>12189</v>
      </c>
      <c r="E2801" s="8" t="s">
        <v>11688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12117</v>
      </c>
      <c r="D2802" s="8" t="s">
        <v>12190</v>
      </c>
      <c r="E2802" s="8" t="s">
        <v>11689</v>
      </c>
      <c r="F2802" s="8" t="s">
        <v>11690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12117</v>
      </c>
      <c r="D2803" s="8" t="s">
        <v>12191</v>
      </c>
      <c r="E2803" s="8" t="s">
        <v>11691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12117</v>
      </c>
      <c r="D2804" s="8" t="s">
        <v>12192</v>
      </c>
      <c r="E2804" s="8" t="s">
        <v>11692</v>
      </c>
      <c r="F2804" s="8" t="s">
        <v>12191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12117</v>
      </c>
      <c r="D2805" s="8" t="s">
        <v>12193</v>
      </c>
      <c r="E2805" s="8" t="s">
        <v>11693</v>
      </c>
      <c r="F2805" s="8" t="s">
        <v>12191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12117</v>
      </c>
      <c r="D2806" s="8" t="s">
        <v>12194</v>
      </c>
      <c r="E2806" s="8" t="s">
        <v>11694</v>
      </c>
      <c r="F2806" s="34" t="s">
        <v>12191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12117</v>
      </c>
      <c r="D2807" s="8" t="s">
        <v>12195</v>
      </c>
      <c r="E2807" s="8" t="s">
        <v>11695</v>
      </c>
      <c r="F2807" s="34" t="s">
        <v>12191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12117</v>
      </c>
      <c r="D2808" s="8" t="s">
        <v>12196</v>
      </c>
      <c r="E2808" s="8" t="s">
        <v>11696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12117</v>
      </c>
      <c r="D2809" s="8" t="s">
        <v>12197</v>
      </c>
      <c r="E2809" s="8" t="s">
        <v>11697</v>
      </c>
      <c r="F2809" s="34" t="s">
        <v>12196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12117</v>
      </c>
      <c r="D2810" s="8" t="s">
        <v>12198</v>
      </c>
      <c r="E2810" s="8" t="s">
        <v>11698</v>
      </c>
      <c r="F2810" s="34" t="s">
        <v>12196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12117</v>
      </c>
      <c r="D2811" s="8" t="s">
        <v>12199</v>
      </c>
      <c r="E2811" s="8" t="s">
        <v>11699</v>
      </c>
      <c r="F2811" s="34" t="s">
        <v>12196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12117</v>
      </c>
      <c r="D2812" s="8" t="s">
        <v>12200</v>
      </c>
      <c r="E2812" s="8" t="s">
        <v>11700</v>
      </c>
      <c r="F2812" s="34" t="s">
        <v>12196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12117</v>
      </c>
      <c r="D2813" s="8" t="s">
        <v>12201</v>
      </c>
      <c r="E2813" s="8" t="s">
        <v>11701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12117</v>
      </c>
      <c r="D2814" s="8" t="s">
        <v>12202</v>
      </c>
      <c r="E2814" s="8" t="s">
        <v>11702</v>
      </c>
      <c r="F2814" s="34" t="s">
        <v>12201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12117</v>
      </c>
      <c r="D2815" s="8" t="s">
        <v>12203</v>
      </c>
      <c r="E2815" s="8" t="s">
        <v>11703</v>
      </c>
      <c r="F2815" s="34" t="s">
        <v>12201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12117</v>
      </c>
      <c r="D2816" s="8" t="s">
        <v>12204</v>
      </c>
      <c r="E2816" s="8" t="s">
        <v>11704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12117</v>
      </c>
      <c r="D2817" s="8" t="s">
        <v>12205</v>
      </c>
      <c r="E2817" s="8" t="s">
        <v>11705</v>
      </c>
      <c r="F2817" s="34" t="s">
        <v>12204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12117</v>
      </c>
      <c r="D2818" s="8" t="s">
        <v>12206</v>
      </c>
      <c r="E2818" s="8" t="s">
        <v>11706</v>
      </c>
      <c r="F2818" s="34" t="s">
        <v>12204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12117</v>
      </c>
      <c r="D2819" s="8" t="s">
        <v>12207</v>
      </c>
      <c r="E2819" s="8" t="s">
        <v>11707</v>
      </c>
      <c r="F2819" s="34" t="s">
        <v>12204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12117</v>
      </c>
      <c r="D2820" s="8" t="s">
        <v>12208</v>
      </c>
      <c r="E2820" s="8" t="s">
        <v>11708</v>
      </c>
      <c r="F2820" s="34" t="s">
        <v>12204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12117</v>
      </c>
      <c r="D2821" s="8" t="s">
        <v>12209</v>
      </c>
      <c r="E2821" s="8" t="s">
        <v>11709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12117</v>
      </c>
      <c r="D2822" s="8" t="s">
        <v>12210</v>
      </c>
      <c r="E2822" s="8" t="s">
        <v>11710</v>
      </c>
      <c r="F2822" s="34" t="s">
        <v>12209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12117</v>
      </c>
      <c r="D2823" s="8" t="s">
        <v>12211</v>
      </c>
      <c r="E2823" s="8" t="s">
        <v>11711</v>
      </c>
      <c r="F2823" s="34" t="s">
        <v>12210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12117</v>
      </c>
      <c r="D2824" s="8" t="s">
        <v>12212</v>
      </c>
      <c r="E2824" s="8" t="s">
        <v>11712</v>
      </c>
      <c r="F2824" s="34" t="s">
        <v>12211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12117</v>
      </c>
      <c r="D2825" s="8" t="s">
        <v>12213</v>
      </c>
      <c r="E2825" s="8" t="s">
        <v>11713</v>
      </c>
      <c r="F2825" s="34" t="s">
        <v>12211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12117</v>
      </c>
      <c r="D2826" s="8" t="s">
        <v>12214</v>
      </c>
      <c r="E2826" s="8" t="s">
        <v>11714</v>
      </c>
      <c r="F2826" s="34" t="s">
        <v>12211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12117</v>
      </c>
      <c r="D2827" s="8" t="s">
        <v>12215</v>
      </c>
      <c r="E2827" s="8" t="s">
        <v>11715</v>
      </c>
      <c r="F2827" s="34" t="s">
        <v>12211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12117</v>
      </c>
      <c r="D2828" s="8" t="s">
        <v>12216</v>
      </c>
      <c r="E2828" s="8" t="s">
        <v>11716</v>
      </c>
      <c r="F2828" s="34" t="s">
        <v>12210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12117</v>
      </c>
      <c r="D2829" s="8" t="s">
        <v>12217</v>
      </c>
      <c r="E2829" s="8" t="s">
        <v>11717</v>
      </c>
      <c r="F2829" s="34" t="s">
        <v>12216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12117</v>
      </c>
      <c r="D2830" s="8" t="s">
        <v>12218</v>
      </c>
      <c r="E2830" s="8" t="s">
        <v>11718</v>
      </c>
      <c r="F2830" s="34" t="s">
        <v>12216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12117</v>
      </c>
      <c r="D2831" s="8" t="s">
        <v>12219</v>
      </c>
      <c r="E2831" s="8" t="s">
        <v>11719</v>
      </c>
      <c r="F2831" s="34" t="s">
        <v>12216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12117</v>
      </c>
      <c r="D2832" s="8" t="s">
        <v>12220</v>
      </c>
      <c r="E2832" s="8" t="s">
        <v>11720</v>
      </c>
      <c r="F2832" s="34" t="s">
        <v>12216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12117</v>
      </c>
      <c r="D2833" s="8" t="s">
        <v>12221</v>
      </c>
      <c r="E2833" s="8" t="s">
        <v>11721</v>
      </c>
      <c r="F2833" s="34" t="s">
        <v>12210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12117</v>
      </c>
      <c r="D2834" s="8" t="s">
        <v>12222</v>
      </c>
      <c r="E2834" s="8" t="s">
        <v>11722</v>
      </c>
      <c r="F2834" s="34" t="s">
        <v>12221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12117</v>
      </c>
      <c r="D2835" s="8" t="s">
        <v>12223</v>
      </c>
      <c r="E2835" s="8" t="s">
        <v>11723</v>
      </c>
      <c r="F2835" s="34" t="s">
        <v>12221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12117</v>
      </c>
      <c r="D2836" s="8" t="s">
        <v>12224</v>
      </c>
      <c r="E2836" s="8" t="s">
        <v>11724</v>
      </c>
      <c r="F2836" s="34" t="s">
        <v>12210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12117</v>
      </c>
      <c r="D2837" s="8" t="s">
        <v>12225</v>
      </c>
      <c r="E2837" s="8" t="s">
        <v>11725</v>
      </c>
      <c r="F2837" s="34" t="s">
        <v>12224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12117</v>
      </c>
      <c r="D2838" s="8" t="s">
        <v>12226</v>
      </c>
      <c r="E2838" s="8" t="s">
        <v>11726</v>
      </c>
      <c r="F2838" s="34" t="s">
        <v>12224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12117</v>
      </c>
      <c r="D2839" s="8" t="s">
        <v>12227</v>
      </c>
      <c r="E2839" s="8" t="s">
        <v>11727</v>
      </c>
      <c r="F2839" s="34" t="s">
        <v>12224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12117</v>
      </c>
      <c r="D2840" s="8" t="s">
        <v>12228</v>
      </c>
      <c r="E2840" s="8" t="s">
        <v>11728</v>
      </c>
      <c r="F2840" s="34" t="s">
        <v>12224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12117</v>
      </c>
      <c r="D2841" s="8" t="s">
        <v>12229</v>
      </c>
      <c r="E2841" s="8" t="s">
        <v>11729</v>
      </c>
      <c r="F2841" s="34" t="s">
        <v>12224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12117</v>
      </c>
      <c r="D2842" s="8" t="s">
        <v>12230</v>
      </c>
      <c r="E2842" s="8" t="s">
        <v>11730</v>
      </c>
      <c r="F2842" s="34" t="s">
        <v>12209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12117</v>
      </c>
      <c r="D2843" s="8" t="s">
        <v>12231</v>
      </c>
      <c r="E2843" s="8" t="s">
        <v>11731</v>
      </c>
      <c r="F2843" s="34" t="s">
        <v>12209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12117</v>
      </c>
      <c r="D2844" s="8" t="s">
        <v>12232</v>
      </c>
      <c r="E2844" s="8" t="s">
        <v>11732</v>
      </c>
      <c r="F2844" s="34" t="s">
        <v>12209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12117</v>
      </c>
      <c r="D2845" s="8" t="s">
        <v>12233</v>
      </c>
      <c r="E2845" s="8" t="s">
        <v>11733</v>
      </c>
      <c r="F2845" s="34" t="s">
        <v>12209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12117</v>
      </c>
      <c r="D2846" s="8" t="s">
        <v>12234</v>
      </c>
      <c r="E2846" s="8" t="s">
        <v>11734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12117</v>
      </c>
      <c r="D2847" s="8" t="s">
        <v>12235</v>
      </c>
      <c r="E2847" s="8" t="s">
        <v>11735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12117</v>
      </c>
      <c r="D2848" s="8" t="s">
        <v>12236</v>
      </c>
      <c r="E2848" s="8" t="s">
        <v>11736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12117</v>
      </c>
      <c r="D2849" s="8" t="s">
        <v>12237</v>
      </c>
      <c r="E2849" s="8" t="s">
        <v>11737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12117</v>
      </c>
      <c r="D2850" s="8" t="s">
        <v>12238</v>
      </c>
      <c r="E2850" s="8" t="s">
        <v>11738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12117</v>
      </c>
      <c r="D2851" s="8" t="s">
        <v>12239</v>
      </c>
      <c r="E2851" s="8" t="s">
        <v>11739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12117</v>
      </c>
      <c r="D2852" s="8" t="s">
        <v>12240</v>
      </c>
      <c r="E2852" s="8" t="s">
        <v>11740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12117</v>
      </c>
      <c r="D2853" s="8" t="s">
        <v>12241</v>
      </c>
      <c r="E2853" s="8" t="s">
        <v>11741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12117</v>
      </c>
      <c r="D2854" s="8" t="s">
        <v>12242</v>
      </c>
      <c r="E2854" s="8" t="s">
        <v>11742</v>
      </c>
      <c r="F2854" s="8" t="s">
        <v>11743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12117</v>
      </c>
      <c r="D2855" s="8" t="s">
        <v>12243</v>
      </c>
      <c r="E2855" s="8" t="s">
        <v>11744</v>
      </c>
      <c r="F2855" s="8" t="s">
        <v>11745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12117</v>
      </c>
      <c r="D2856" s="8" t="s">
        <v>12244</v>
      </c>
      <c r="E2856" s="8" t="s">
        <v>11746</v>
      </c>
      <c r="F2856" s="8" t="s">
        <v>11745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12117</v>
      </c>
      <c r="D2857" s="8" t="s">
        <v>12245</v>
      </c>
      <c r="E2857" s="8" t="s">
        <v>11747</v>
      </c>
      <c r="F2857" s="8" t="s">
        <v>11745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12117</v>
      </c>
      <c r="D2858" s="8" t="s">
        <v>12246</v>
      </c>
      <c r="E2858" s="8" t="s">
        <v>11748</v>
      </c>
      <c r="F2858" s="8" t="s">
        <v>11745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12117</v>
      </c>
      <c r="D2859" s="8" t="s">
        <v>12247</v>
      </c>
      <c r="E2859" s="8" t="s">
        <v>11749</v>
      </c>
      <c r="F2859" s="8" t="s">
        <v>11745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12117</v>
      </c>
      <c r="D2860" s="8" t="s">
        <v>12248</v>
      </c>
      <c r="E2860" s="8" t="s">
        <v>11750</v>
      </c>
      <c r="F2860" s="8" t="s">
        <v>11745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12117</v>
      </c>
      <c r="D2861" s="8" t="s">
        <v>12249</v>
      </c>
      <c r="E2861" s="8" t="s">
        <v>11751</v>
      </c>
      <c r="F2861" s="8" t="s">
        <v>11745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12117</v>
      </c>
      <c r="D2862" s="8" t="s">
        <v>12250</v>
      </c>
      <c r="E2862" s="8" t="s">
        <v>11752</v>
      </c>
      <c r="F2862" s="8" t="s">
        <v>11745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12117</v>
      </c>
      <c r="D2863" s="8" t="s">
        <v>12251</v>
      </c>
      <c r="E2863" s="8" t="s">
        <v>11753</v>
      </c>
      <c r="F2863" s="8" t="s">
        <v>11754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12117</v>
      </c>
      <c r="D2864" s="8" t="s">
        <v>12252</v>
      </c>
      <c r="E2864" s="8" t="s">
        <v>11755</v>
      </c>
      <c r="F2864" s="8" t="s">
        <v>11754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12117</v>
      </c>
      <c r="D2865" s="8" t="s">
        <v>12253</v>
      </c>
      <c r="E2865" s="8" t="s">
        <v>11756</v>
      </c>
      <c r="F2865" s="8" t="s">
        <v>11754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12117</v>
      </c>
      <c r="D2866" s="8" t="s">
        <v>12254</v>
      </c>
      <c r="E2866" s="8" t="s">
        <v>11757</v>
      </c>
      <c r="F2866" s="8" t="s">
        <v>11754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12117</v>
      </c>
      <c r="D2867" s="8" t="s">
        <v>12255</v>
      </c>
      <c r="E2867" s="8" t="s">
        <v>11758</v>
      </c>
      <c r="F2867" s="34" t="s">
        <v>12254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12117</v>
      </c>
      <c r="D2868" s="8" t="s">
        <v>12256</v>
      </c>
      <c r="E2868" s="8" t="s">
        <v>11759</v>
      </c>
      <c r="F2868" s="34" t="s">
        <v>12254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12117</v>
      </c>
      <c r="D2869" s="8" t="s">
        <v>12257</v>
      </c>
      <c r="E2869" s="8" t="s">
        <v>11760</v>
      </c>
      <c r="F2869" s="34" t="s">
        <v>12254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12117</v>
      </c>
      <c r="D2870" s="8" t="s">
        <v>12258</v>
      </c>
      <c r="E2870" s="8" t="s">
        <v>11761</v>
      </c>
      <c r="F2870" s="34" t="s">
        <v>12254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12117</v>
      </c>
      <c r="D2871" s="8" t="s">
        <v>12259</v>
      </c>
      <c r="E2871" s="8" t="s">
        <v>11762</v>
      </c>
      <c r="F2871" s="34" t="s">
        <v>12254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12117</v>
      </c>
      <c r="D2872" s="8" t="s">
        <v>12260</v>
      </c>
      <c r="E2872" s="8" t="s">
        <v>11763</v>
      </c>
      <c r="F2872" s="34" t="s">
        <v>12254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12117</v>
      </c>
      <c r="D2873" s="8" t="s">
        <v>12261</v>
      </c>
      <c r="E2873" s="8" t="s">
        <v>11764</v>
      </c>
      <c r="F2873" s="34" t="s">
        <v>12254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12117</v>
      </c>
      <c r="D2874" s="8" t="s">
        <v>12262</v>
      </c>
      <c r="E2874" s="8" t="s">
        <v>11765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12117</v>
      </c>
      <c r="D2875" s="8" t="s">
        <v>5786</v>
      </c>
      <c r="E2875" s="8" t="s">
        <v>11766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12117</v>
      </c>
      <c r="D2876" s="8" t="s">
        <v>3639</v>
      </c>
      <c r="E2876" s="8" t="s">
        <v>11767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12117</v>
      </c>
      <c r="D2877" s="8" t="s">
        <v>8969</v>
      </c>
      <c r="E2877" s="8" t="s">
        <v>11768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12117</v>
      </c>
      <c r="D2878" s="8" t="s">
        <v>2004</v>
      </c>
      <c r="E2878" s="8" t="s">
        <v>11769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12117</v>
      </c>
      <c r="D2879" s="8" t="s">
        <v>11770</v>
      </c>
      <c r="E2879" s="8" t="s">
        <v>11771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12117</v>
      </c>
      <c r="D2880" s="8" t="s">
        <v>3497</v>
      </c>
      <c r="E2880" s="8" t="s">
        <v>11772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12117</v>
      </c>
      <c r="D2881" s="8" t="s">
        <v>3612</v>
      </c>
      <c r="E2881" s="8" t="s">
        <v>12283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12117</v>
      </c>
      <c r="D2882" s="8" t="s">
        <v>4833</v>
      </c>
      <c r="E2882" s="8" t="s">
        <v>11773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12117</v>
      </c>
      <c r="D2883" s="8" t="s">
        <v>4841</v>
      </c>
      <c r="E2883" s="8" t="s">
        <v>12284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12117</v>
      </c>
      <c r="D2884" s="8" t="s">
        <v>4848</v>
      </c>
      <c r="E2884" s="8" t="s">
        <v>11774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12117</v>
      </c>
      <c r="D2885" s="8" t="s">
        <v>3491</v>
      </c>
      <c r="E2885" s="8" t="s">
        <v>11775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12117</v>
      </c>
      <c r="D2886" s="8" t="s">
        <v>3611</v>
      </c>
      <c r="E2886" s="8" t="s">
        <v>11776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12117</v>
      </c>
      <c r="D2887" s="8" t="s">
        <v>4873</v>
      </c>
      <c r="E2887" s="8" t="s">
        <v>11777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12117</v>
      </c>
      <c r="D2888" s="8" t="s">
        <v>4877</v>
      </c>
      <c r="E2888" s="8" t="s">
        <v>11778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12117</v>
      </c>
      <c r="D2889" s="8" t="s">
        <v>7742</v>
      </c>
      <c r="E2889" s="8" t="s">
        <v>11779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12117</v>
      </c>
      <c r="D2890" s="8" t="s">
        <v>11780</v>
      </c>
      <c r="E2890" s="8" t="s">
        <v>11781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12117</v>
      </c>
      <c r="D2891" s="8" t="s">
        <v>11782</v>
      </c>
      <c r="E2891" s="8" t="s">
        <v>12285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12117</v>
      </c>
      <c r="D2892" s="8" t="s">
        <v>11783</v>
      </c>
      <c r="E2892" s="8" t="s">
        <v>11784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12117</v>
      </c>
      <c r="D2893" s="8" t="s">
        <v>11785</v>
      </c>
      <c r="E2893" s="8" t="s">
        <v>11786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12117</v>
      </c>
      <c r="D2894" s="8" t="s">
        <v>11787</v>
      </c>
      <c r="E2894" s="8" t="s">
        <v>11788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12117</v>
      </c>
      <c r="D2895" s="8" t="s">
        <v>11789</v>
      </c>
      <c r="E2895" s="8" t="s">
        <v>11790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12117</v>
      </c>
      <c r="D2896" s="8" t="s">
        <v>11791</v>
      </c>
      <c r="E2896" s="8" t="s">
        <v>11792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12117</v>
      </c>
      <c r="D2897" s="8" t="s">
        <v>11793</v>
      </c>
      <c r="E2897" s="8" t="s">
        <v>11794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12117</v>
      </c>
      <c r="D2898" s="8" t="s">
        <v>11795</v>
      </c>
      <c r="E2898" s="8" t="s">
        <v>11796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12117</v>
      </c>
      <c r="D2899" s="8" t="s">
        <v>11797</v>
      </c>
      <c r="E2899" s="8" t="s">
        <v>11798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12117</v>
      </c>
      <c r="D2900" s="8" t="s">
        <v>11799</v>
      </c>
      <c r="E2900" s="8" t="s">
        <v>11800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12117</v>
      </c>
      <c r="D2901" s="8" t="s">
        <v>11801</v>
      </c>
      <c r="E2901" s="8" t="s">
        <v>11802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12117</v>
      </c>
      <c r="D2902" s="8" t="s">
        <v>3446</v>
      </c>
      <c r="E2902" s="8" t="s">
        <v>11803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12117</v>
      </c>
      <c r="D2903" s="8" t="s">
        <v>3453</v>
      </c>
      <c r="E2903" s="8" t="s">
        <v>11804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12117</v>
      </c>
      <c r="D2904" s="8" t="s">
        <v>3454</v>
      </c>
      <c r="E2904" s="8" t="s">
        <v>11805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12117</v>
      </c>
      <c r="D2905" s="8" t="s">
        <v>11806</v>
      </c>
      <c r="E2905" s="8" t="s">
        <v>11807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12117</v>
      </c>
      <c r="D2906" s="8" t="s">
        <v>3372</v>
      </c>
      <c r="E2906" s="8" t="s">
        <v>11808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12117</v>
      </c>
      <c r="D2907" s="8" t="s">
        <v>3381</v>
      </c>
      <c r="E2907" s="8" t="s">
        <v>11809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12117</v>
      </c>
      <c r="D2908" s="8" t="s">
        <v>3387</v>
      </c>
      <c r="E2908" s="8" t="s">
        <v>11810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12117</v>
      </c>
      <c r="D2909" s="8" t="s">
        <v>3389</v>
      </c>
      <c r="E2909" s="8" t="s">
        <v>11811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12117</v>
      </c>
      <c r="D2910" s="8" t="s">
        <v>3402</v>
      </c>
      <c r="E2910" s="8" t="s">
        <v>11812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12117</v>
      </c>
      <c r="D2911" s="8" t="s">
        <v>3407</v>
      </c>
      <c r="E2911" s="8" t="s">
        <v>11812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12117</v>
      </c>
      <c r="D2912" s="8" t="s">
        <v>11813</v>
      </c>
      <c r="E2912" s="8" t="s">
        <v>11814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12117</v>
      </c>
      <c r="D2913" s="8" t="s">
        <v>11815</v>
      </c>
      <c r="E2913" s="8" t="s">
        <v>11816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12117</v>
      </c>
      <c r="D2914" s="8" t="s">
        <v>8656</v>
      </c>
      <c r="E2914" s="8" t="s">
        <v>11817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12117</v>
      </c>
      <c r="D2915" s="8" t="s">
        <v>8663</v>
      </c>
      <c r="E2915" s="8" t="s">
        <v>11818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12117</v>
      </c>
      <c r="D2916" s="8" t="s">
        <v>8664</v>
      </c>
      <c r="E2916" s="8" t="s">
        <v>11819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12117</v>
      </c>
      <c r="D2917" s="8" t="s">
        <v>8668</v>
      </c>
      <c r="E2917" s="8" t="s">
        <v>11820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12117</v>
      </c>
      <c r="D2918" s="8" t="s">
        <v>8669</v>
      </c>
      <c r="E2918" s="8" t="s">
        <v>11821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12117</v>
      </c>
      <c r="D2919" s="8" t="s">
        <v>8670</v>
      </c>
      <c r="E2919" s="8" t="s">
        <v>11822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12117</v>
      </c>
      <c r="D2920" s="8" t="s">
        <v>8671</v>
      </c>
      <c r="E2920" s="8" t="s">
        <v>11823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12117</v>
      </c>
      <c r="D2921" s="8" t="s">
        <v>5591</v>
      </c>
      <c r="E2921" s="8" t="s">
        <v>11824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12117</v>
      </c>
      <c r="D2922" s="8" t="s">
        <v>5585</v>
      </c>
      <c r="E2922" s="8" t="s">
        <v>11825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12117</v>
      </c>
      <c r="D2923" s="8" t="s">
        <v>11826</v>
      </c>
      <c r="E2923" s="8" t="s">
        <v>11827</v>
      </c>
      <c r="F2923" s="34" t="s">
        <v>12251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12117</v>
      </c>
      <c r="D2924" s="8" t="s">
        <v>11828</v>
      </c>
      <c r="E2924" s="8" t="s">
        <v>11829</v>
      </c>
      <c r="F2924" s="8" t="s">
        <v>11840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12117</v>
      </c>
      <c r="D2925" s="8" t="s">
        <v>9739</v>
      </c>
      <c r="E2925" s="8" t="s">
        <v>11830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12117</v>
      </c>
      <c r="D2926" s="8" t="s">
        <v>2005</v>
      </c>
      <c r="E2926" s="8" t="s">
        <v>11831</v>
      </c>
      <c r="F2926" s="34" t="s">
        <v>12204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12117</v>
      </c>
      <c r="D2927" s="8" t="s">
        <v>11832</v>
      </c>
      <c r="E2927" s="8" t="s">
        <v>11833</v>
      </c>
      <c r="F2927" s="8" t="s">
        <v>11841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12117</v>
      </c>
      <c r="D2928" s="8" t="s">
        <v>11834</v>
      </c>
      <c r="E2928" s="8" t="s">
        <v>11835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12117</v>
      </c>
      <c r="D2929" s="8" t="s">
        <v>11836</v>
      </c>
      <c r="E2929" s="8" t="s">
        <v>11837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12117</v>
      </c>
      <c r="D2930" s="8" t="s">
        <v>11838</v>
      </c>
      <c r="E2930" s="8" t="s">
        <v>11839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12117</v>
      </c>
      <c r="D2931" s="8" t="s">
        <v>8419</v>
      </c>
      <c r="F2931" s="34" t="s">
        <v>12188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12117</v>
      </c>
      <c r="D2932" s="8" t="s">
        <v>8420</v>
      </c>
      <c r="F2932" s="34" t="s">
        <v>12188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12117</v>
      </c>
      <c r="D2933" s="8" t="s">
        <v>8388</v>
      </c>
      <c r="F2933" s="34" t="s">
        <v>12188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12117</v>
      </c>
      <c r="D2934" s="8" t="s">
        <v>8576</v>
      </c>
      <c r="F2934" s="34" t="s">
        <v>12188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12117</v>
      </c>
      <c r="D2935" s="8" t="s">
        <v>8577</v>
      </c>
      <c r="F2935" s="34" t="s">
        <v>12188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12117</v>
      </c>
      <c r="D2936" s="8" t="s">
        <v>8578</v>
      </c>
      <c r="F2936" s="34" t="s">
        <v>12188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12117</v>
      </c>
      <c r="D2937" s="8" t="s">
        <v>8579</v>
      </c>
      <c r="F2937" s="34" t="s">
        <v>12188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12117</v>
      </c>
      <c r="D2938" s="8" t="s">
        <v>8435</v>
      </c>
      <c r="F2938" s="8" t="s">
        <v>11870</v>
      </c>
      <c r="G2938" s="34" t="s">
        <v>13</v>
      </c>
      <c r="H2938" s="34" t="str">
        <f>IFERROR(VLOOKUP(Table2[[#This Row], [Ticket]],Okey!A:B,2,0),"")</f>
        <v>ok</v>
      </c>
      <c r="I2938" s="34" t="s">
        <v>12298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12117</v>
      </c>
      <c r="D2939" s="8" t="s">
        <v>607</v>
      </c>
      <c r="F2939" s="34" t="s">
        <v>12206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12117</v>
      </c>
      <c r="D2940" s="8" t="s">
        <v>4818</v>
      </c>
      <c r="F2940" s="34" t="s">
        <v>12201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12117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12117</v>
      </c>
      <c r="D2942" s="8" t="s">
        <v>4057</v>
      </c>
      <c r="F2942" s="34" t="s">
        <v>12240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12117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12117</v>
      </c>
      <c r="D2944" s="8" t="s">
        <v>11842</v>
      </c>
      <c r="F2944" s="8" t="s">
        <v>11871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12117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12117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12117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12117</v>
      </c>
      <c r="D2948" s="8" t="s">
        <v>11843</v>
      </c>
      <c r="F2948" s="34" t="s">
        <v>12251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12117</v>
      </c>
      <c r="D2949" s="8" t="s">
        <v>11844</v>
      </c>
      <c r="F2949" s="34" t="s">
        <v>12252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12117</v>
      </c>
      <c r="D2950" s="8" t="s">
        <v>11845</v>
      </c>
      <c r="F2950" s="34" t="s">
        <v>12253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12117</v>
      </c>
      <c r="D2951" s="8" t="s">
        <v>11846</v>
      </c>
      <c r="F2951" s="34" t="s">
        <v>12252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12117</v>
      </c>
      <c r="D2952" s="8" t="s">
        <v>11847</v>
      </c>
      <c r="F2952" s="34" t="s">
        <v>12251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12117</v>
      </c>
      <c r="D2953" s="8" t="s">
        <v>11848</v>
      </c>
      <c r="F2953" s="34" t="s">
        <v>12251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12117</v>
      </c>
      <c r="D2954" s="8" t="s">
        <v>11849</v>
      </c>
      <c r="F2954" s="34" t="s">
        <v>12251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12117</v>
      </c>
      <c r="D2955" s="8" t="s">
        <v>11850</v>
      </c>
      <c r="F2955" s="34" t="s">
        <v>12251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12117</v>
      </c>
      <c r="D2956" s="8" t="s">
        <v>11851</v>
      </c>
      <c r="F2956" s="34" t="s">
        <v>12252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12117</v>
      </c>
      <c r="D2957" s="8" t="s">
        <v>11852</v>
      </c>
      <c r="F2957" s="34" t="s">
        <v>12251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12117</v>
      </c>
      <c r="D2958" s="8" t="s">
        <v>11853</v>
      </c>
      <c r="F2958" s="34" t="s">
        <v>12253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12117</v>
      </c>
      <c r="D2959" s="8" t="s">
        <v>11854</v>
      </c>
      <c r="F2959" s="34" t="s">
        <v>12251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12117</v>
      </c>
      <c r="D2960" s="8" t="s">
        <v>11855</v>
      </c>
      <c r="F2960" s="34" t="s">
        <v>12251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12117</v>
      </c>
      <c r="D2961" s="8" t="s">
        <v>11856</v>
      </c>
      <c r="F2961" s="34" t="s">
        <v>12251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12117</v>
      </c>
      <c r="D2962" s="8" t="s">
        <v>11857</v>
      </c>
      <c r="F2962" s="34" t="s">
        <v>12253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12117</v>
      </c>
      <c r="D2963" s="8" t="s">
        <v>11858</v>
      </c>
      <c r="F2963" s="34" t="s">
        <v>12252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12117</v>
      </c>
      <c r="D2964" s="8" t="s">
        <v>11859</v>
      </c>
      <c r="F2964" s="34" t="s">
        <v>12251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12117</v>
      </c>
      <c r="D2965" s="8" t="s">
        <v>11860</v>
      </c>
      <c r="F2965" s="34" t="s">
        <v>12253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12117</v>
      </c>
      <c r="D2966" s="8" t="s">
        <v>11861</v>
      </c>
      <c r="F2966" s="34" t="s">
        <v>12251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12117</v>
      </c>
      <c r="D2967" s="8" t="s">
        <v>11862</v>
      </c>
      <c r="F2967" s="34" t="s">
        <v>12251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12117</v>
      </c>
      <c r="D2968" s="8" t="s">
        <v>11863</v>
      </c>
      <c r="F2968" s="34" t="s">
        <v>12251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12117</v>
      </c>
      <c r="D2969" s="8" t="s">
        <v>11864</v>
      </c>
      <c r="F2969" s="34" t="s">
        <v>12251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12117</v>
      </c>
      <c r="D2970" s="8" t="s">
        <v>11865</v>
      </c>
      <c r="F2970" s="34" t="s">
        <v>12251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12117</v>
      </c>
      <c r="D2971" s="8" t="s">
        <v>11866</v>
      </c>
      <c r="F2971" s="34" t="s">
        <v>12251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12117</v>
      </c>
      <c r="D2972" s="8" t="s">
        <v>11867</v>
      </c>
      <c r="F2972" s="34" t="s">
        <v>12251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12117</v>
      </c>
      <c r="D2973" s="8" t="s">
        <v>11868</v>
      </c>
      <c r="F2973" s="34" t="s">
        <v>12251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12117</v>
      </c>
      <c r="D2974" s="8" t="s">
        <v>11869</v>
      </c>
      <c r="F2974" s="34" t="s">
        <v>12251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12117</v>
      </c>
      <c r="D2975" s="8" t="s">
        <v>8628</v>
      </c>
      <c r="F2975" s="8" t="s">
        <v>12116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12117</v>
      </c>
      <c r="D2976" s="8" t="s">
        <v>5528</v>
      </c>
      <c r="F2976" s="8" t="s">
        <v>12116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12117</v>
      </c>
      <c r="D2977" s="8" t="s">
        <v>8628</v>
      </c>
      <c r="F2977" s="8" t="s">
        <v>12116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12117</v>
      </c>
      <c r="D2978" s="8" t="s">
        <v>5528</v>
      </c>
      <c r="F2978" s="8" t="s">
        <v>12116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12117</v>
      </c>
      <c r="D2979" s="8" t="s">
        <v>11872</v>
      </c>
      <c r="F2979" s="8" t="s">
        <v>12116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12117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12117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12117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12117</v>
      </c>
      <c r="D2983" s="8" t="s">
        <v>11873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12117</v>
      </c>
      <c r="D2984" s="8" t="s">
        <v>11874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12117</v>
      </c>
      <c r="D2985" s="8" t="s">
        <v>11875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12117</v>
      </c>
      <c r="D2986" s="8" t="s">
        <v>11876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12117</v>
      </c>
      <c r="D2987" s="8" t="s">
        <v>11877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12117</v>
      </c>
      <c r="D2988" s="8" t="s">
        <v>11878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12117</v>
      </c>
      <c r="D2989" s="8" t="s">
        <v>11879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12117</v>
      </c>
      <c r="D2990" s="8" t="s">
        <v>11880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12117</v>
      </c>
      <c r="D2991" s="8" t="s">
        <v>11881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12117</v>
      </c>
      <c r="D2992" s="8" t="s">
        <v>11882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12117</v>
      </c>
      <c r="D2993" s="8" t="s">
        <v>11883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12117</v>
      </c>
      <c r="D2994" s="8" t="s">
        <v>11884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12117</v>
      </c>
      <c r="D2995" s="8" t="s">
        <v>11885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12117</v>
      </c>
      <c r="D2996" s="8" t="s">
        <v>11886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12117</v>
      </c>
      <c r="D2997" s="8" t="s">
        <v>11887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12117</v>
      </c>
      <c r="D2998" s="8" t="s">
        <v>11888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12117</v>
      </c>
      <c r="D2999" s="8" t="s">
        <v>11889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12117</v>
      </c>
      <c r="D3000" s="8" t="s">
        <v>11890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12117</v>
      </c>
      <c r="D3001" s="8" t="s">
        <v>11891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12117</v>
      </c>
      <c r="D3002" s="8" t="s">
        <v>11892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12117</v>
      </c>
      <c r="D3003" s="8" t="s">
        <v>11893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12117</v>
      </c>
      <c r="D3004" s="8" t="s">
        <v>11894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12117</v>
      </c>
      <c r="D3005" s="8" t="s">
        <v>11895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12117</v>
      </c>
      <c r="D3006" s="8" t="s">
        <v>11896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12117</v>
      </c>
      <c r="D3007" s="8" t="s">
        <v>11897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12117</v>
      </c>
      <c r="D3008" s="8" t="s">
        <v>11898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12117</v>
      </c>
      <c r="D3009" s="8" t="s">
        <v>11899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12117</v>
      </c>
      <c r="D3010" s="8" t="s">
        <v>11900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12117</v>
      </c>
      <c r="D3011" s="8" t="s">
        <v>11901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12117</v>
      </c>
      <c r="D3012" s="8" t="s">
        <v>11902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12117</v>
      </c>
      <c r="D3013" s="8" t="s">
        <v>11903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12117</v>
      </c>
      <c r="D3014" s="8" t="s">
        <v>11904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12117</v>
      </c>
      <c r="D3015" s="8" t="s">
        <v>11905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12117</v>
      </c>
      <c r="D3016" s="8" t="s">
        <v>11906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12117</v>
      </c>
      <c r="D3017" s="8" t="s">
        <v>11907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12117</v>
      </c>
      <c r="D3018" s="8" t="s">
        <v>11908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12117</v>
      </c>
      <c r="D3019" s="8" t="s">
        <v>11909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12117</v>
      </c>
      <c r="D3020" s="8" t="s">
        <v>11910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12117</v>
      </c>
      <c r="D3021" s="8" t="s">
        <v>11911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12117</v>
      </c>
      <c r="D3022" s="8" t="s">
        <v>11912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12117</v>
      </c>
      <c r="D3023" s="8" t="s">
        <v>11913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12117</v>
      </c>
      <c r="D3024" s="8" t="s">
        <v>11914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12117</v>
      </c>
      <c r="D3025" s="8" t="s">
        <v>11915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12117</v>
      </c>
      <c r="D3026" s="8" t="s">
        <v>11916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12117</v>
      </c>
      <c r="D3027" s="8" t="s">
        <v>11917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12117</v>
      </c>
      <c r="D3028" s="8" t="s">
        <v>11918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12117</v>
      </c>
      <c r="D3029" s="8" t="s">
        <v>11919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12117</v>
      </c>
      <c r="D3030" s="8" t="s">
        <v>11920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12117</v>
      </c>
      <c r="D3031" s="8" t="s">
        <v>11921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12117</v>
      </c>
      <c r="D3032" s="8" t="s">
        <v>11922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12117</v>
      </c>
      <c r="D3033" s="8" t="s">
        <v>11923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12117</v>
      </c>
      <c r="D3034" s="8" t="s">
        <v>11924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12117</v>
      </c>
      <c r="D3035" s="8" t="s">
        <v>11925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12117</v>
      </c>
      <c r="D3036" s="8" t="s">
        <v>11926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12117</v>
      </c>
      <c r="D3037" s="8" t="s">
        <v>11927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12117</v>
      </c>
      <c r="D3038" s="8" t="s">
        <v>11928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12117</v>
      </c>
      <c r="D3039" s="8" t="s">
        <v>11929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12117</v>
      </c>
      <c r="D3040" s="8" t="s">
        <v>11930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12117</v>
      </c>
      <c r="D3041" s="8" t="s">
        <v>11931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12117</v>
      </c>
      <c r="D3042" s="8" t="s">
        <v>11932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12117</v>
      </c>
      <c r="D3043" s="8" t="s">
        <v>11933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12117</v>
      </c>
      <c r="D3044" s="8" t="s">
        <v>11934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12117</v>
      </c>
      <c r="D3045" s="8" t="s">
        <v>11935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12117</v>
      </c>
      <c r="D3046" s="8" t="s">
        <v>11936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12117</v>
      </c>
      <c r="D3047" s="8" t="s">
        <v>11937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12117</v>
      </c>
      <c r="D3048" s="8" t="s">
        <v>11938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12117</v>
      </c>
      <c r="D3049" s="8" t="s">
        <v>11939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12117</v>
      </c>
      <c r="D3050" s="8" t="s">
        <v>11940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12117</v>
      </c>
      <c r="D3051" s="8" t="s">
        <v>11941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12117</v>
      </c>
      <c r="D3052" s="8" t="s">
        <v>11942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12117</v>
      </c>
      <c r="D3053" s="8" t="s">
        <v>11943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12117</v>
      </c>
      <c r="D3054" s="8" t="s">
        <v>11944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12117</v>
      </c>
      <c r="D3055" s="8" t="s">
        <v>11945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12117</v>
      </c>
      <c r="D3056" s="8" t="s">
        <v>11946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12117</v>
      </c>
      <c r="D3057" s="8" t="s">
        <v>11947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12117</v>
      </c>
      <c r="D3058" s="8" t="s">
        <v>11948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12117</v>
      </c>
      <c r="D3059" s="8" t="s">
        <v>11949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12117</v>
      </c>
      <c r="D3060" s="8" t="s">
        <v>11950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12117</v>
      </c>
      <c r="D3061" s="8" t="s">
        <v>11951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12117</v>
      </c>
      <c r="D3062" s="8" t="s">
        <v>11952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12117</v>
      </c>
      <c r="D3063" s="8" t="s">
        <v>11953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12117</v>
      </c>
      <c r="D3064" s="8" t="s">
        <v>11954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12117</v>
      </c>
      <c r="D3065" s="8" t="s">
        <v>11955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12117</v>
      </c>
      <c r="D3066" s="8" t="s">
        <v>11956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12117</v>
      </c>
      <c r="D3067" s="8" t="s">
        <v>11957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12117</v>
      </c>
      <c r="D3068" s="8" t="s">
        <v>11958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12117</v>
      </c>
      <c r="D3069" s="8" t="s">
        <v>11959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12117</v>
      </c>
      <c r="D3070" s="8" t="s">
        <v>11960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12117</v>
      </c>
      <c r="D3071" s="8" t="s">
        <v>11961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12117</v>
      </c>
      <c r="D3072" s="8" t="s">
        <v>11962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12117</v>
      </c>
      <c r="D3073" s="8" t="s">
        <v>11963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12117</v>
      </c>
      <c r="D3074" s="8" t="s">
        <v>11964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12117</v>
      </c>
      <c r="D3075" s="8" t="s">
        <v>11965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12117</v>
      </c>
      <c r="D3076" s="8" t="s">
        <v>11966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12117</v>
      </c>
      <c r="D3077" s="8" t="s">
        <v>11967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12117</v>
      </c>
      <c r="D3078" s="8" t="s">
        <v>11968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12117</v>
      </c>
      <c r="D3079" s="8" t="s">
        <v>11969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12117</v>
      </c>
      <c r="D3080" s="8" t="s">
        <v>11970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12117</v>
      </c>
      <c r="D3081" s="8" t="s">
        <v>11971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12117</v>
      </c>
      <c r="D3082" s="8" t="s">
        <v>11972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12117</v>
      </c>
      <c r="D3083" s="8" t="s">
        <v>11973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12117</v>
      </c>
      <c r="D3084" s="8" t="s">
        <v>11974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12117</v>
      </c>
      <c r="D3085" s="8" t="s">
        <v>11975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12117</v>
      </c>
      <c r="D3086" s="8" t="s">
        <v>11976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12117</v>
      </c>
      <c r="D3087" s="8" t="s">
        <v>11977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12117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12117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12117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12117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12117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12117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12117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12117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12117</v>
      </c>
      <c r="D3096" s="8" t="s">
        <v>11978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12117</v>
      </c>
      <c r="D3097" s="8" t="s">
        <v>11979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12117</v>
      </c>
      <c r="D3098" s="8" t="s">
        <v>11980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12117</v>
      </c>
      <c r="D3099" s="8" t="s">
        <v>11981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12117</v>
      </c>
      <c r="D3100" s="8" t="s">
        <v>11982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12117</v>
      </c>
      <c r="D3101" s="8" t="s">
        <v>11983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12117</v>
      </c>
      <c r="D3102" s="8" t="s">
        <v>11984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12117</v>
      </c>
      <c r="D3103" s="8" t="s">
        <v>11985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12117</v>
      </c>
      <c r="D3104" s="8" t="s">
        <v>11986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12117</v>
      </c>
      <c r="D3105" s="8" t="s">
        <v>11987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12117</v>
      </c>
      <c r="D3106" s="8" t="s">
        <v>11988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12117</v>
      </c>
      <c r="D3107" s="8" t="s">
        <v>11989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12117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12117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12117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12117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12117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12117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12117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12117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12117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12117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12117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12117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12117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12117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12117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12117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12117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12117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12117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12117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12117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12117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12117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12117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12117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12117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12117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12117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12117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12117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12117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12117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12117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12117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12117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12117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12117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12117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12117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12117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12117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12117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12117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12117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12117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12117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12117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12117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12117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12117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12117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12117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12117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12117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12117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12117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12117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12117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12117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12117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12117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12117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12117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12117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12117</v>
      </c>
      <c r="D3172" s="8" t="s">
        <v>11990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12117</v>
      </c>
      <c r="D3173" s="8" t="s">
        <v>11991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12117</v>
      </c>
      <c r="D3174" s="8" t="s">
        <v>11992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12117</v>
      </c>
      <c r="D3175" s="8" t="s">
        <v>11993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12117</v>
      </c>
      <c r="D3176" s="8" t="s">
        <v>11994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12117</v>
      </c>
      <c r="D3177" s="8" t="s">
        <v>11995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12117</v>
      </c>
      <c r="D3178" s="8" t="s">
        <v>11996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12117</v>
      </c>
      <c r="D3179" s="8" t="s">
        <v>11997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12117</v>
      </c>
      <c r="D3180" s="8" t="s">
        <v>11998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12117</v>
      </c>
      <c r="D3181" s="8" t="s">
        <v>11999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12117</v>
      </c>
      <c r="D3182" s="8" t="s">
        <v>12000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12117</v>
      </c>
      <c r="D3183" s="8" t="s">
        <v>12001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12117</v>
      </c>
      <c r="D3184" s="8" t="s">
        <v>12002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12117</v>
      </c>
      <c r="D3185" s="8" t="s">
        <v>12003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12117</v>
      </c>
      <c r="D3186" s="8" t="s">
        <v>12004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12117</v>
      </c>
      <c r="D3187" s="8" t="s">
        <v>12005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12117</v>
      </c>
      <c r="D3188" s="8" t="s">
        <v>12006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12117</v>
      </c>
      <c r="D3189" s="8" t="s">
        <v>12007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12117</v>
      </c>
      <c r="D3190" s="8" t="s">
        <v>12008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12117</v>
      </c>
      <c r="D3191" s="8" t="s">
        <v>12009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12117</v>
      </c>
      <c r="D3192" s="8" t="s">
        <v>12010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12117</v>
      </c>
      <c r="D3193" s="8" t="s">
        <v>12011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12117</v>
      </c>
      <c r="D3194" s="8" t="s">
        <v>12012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12117</v>
      </c>
      <c r="D3195" s="8" t="s">
        <v>12013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12117</v>
      </c>
      <c r="D3196" s="8" t="s">
        <v>12014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12117</v>
      </c>
      <c r="D3197" s="8" t="s">
        <v>12015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12117</v>
      </c>
      <c r="D3198" s="8" t="s">
        <v>12016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12117</v>
      </c>
      <c r="D3199" s="8" t="s">
        <v>12017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12117</v>
      </c>
      <c r="D3200" s="8" t="s">
        <v>12018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12117</v>
      </c>
      <c r="D3201" s="8" t="s">
        <v>12019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12117</v>
      </c>
      <c r="D3202" s="8" t="s">
        <v>12020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12117</v>
      </c>
      <c r="D3203" s="8" t="s">
        <v>12021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12117</v>
      </c>
      <c r="D3204" s="8" t="s">
        <v>12022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12117</v>
      </c>
      <c r="D3205" s="8" t="s">
        <v>12023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12117</v>
      </c>
      <c r="D3206" s="8" t="s">
        <v>12024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12117</v>
      </c>
      <c r="D3207" s="8" t="s">
        <v>12025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12117</v>
      </c>
      <c r="D3208" s="8" t="s">
        <v>12026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12117</v>
      </c>
      <c r="D3209" s="8" t="s">
        <v>12027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12117</v>
      </c>
      <c r="D3210" s="8" t="s">
        <v>12028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12117</v>
      </c>
      <c r="D3211" s="8" t="s">
        <v>12029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12117</v>
      </c>
      <c r="D3212" s="8" t="s">
        <v>12030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12117</v>
      </c>
      <c r="D3213" s="8" t="s">
        <v>12031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12117</v>
      </c>
      <c r="D3214" s="8" t="s">
        <v>12032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12117</v>
      </c>
      <c r="D3215" s="8" t="s">
        <v>12033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12117</v>
      </c>
      <c r="D3216" s="8" t="s">
        <v>12034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12117</v>
      </c>
      <c r="D3217" s="8" t="s">
        <v>12035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12117</v>
      </c>
      <c r="D3218" s="8" t="s">
        <v>12036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12117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12117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12117</v>
      </c>
      <c r="D3221" s="8" t="s">
        <v>12037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12117</v>
      </c>
      <c r="D3222" s="8" t="s">
        <v>12038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12117</v>
      </c>
      <c r="D3223" s="8" t="s">
        <v>12039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12117</v>
      </c>
      <c r="D3224" s="8" t="s">
        <v>12040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12117</v>
      </c>
      <c r="D3225" s="8" t="s">
        <v>12041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12117</v>
      </c>
      <c r="D3226" s="8" t="s">
        <v>12042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12117</v>
      </c>
      <c r="D3227" s="8" t="s">
        <v>12043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12117</v>
      </c>
      <c r="D3228" s="8" t="s">
        <v>12044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12117</v>
      </c>
      <c r="D3229" s="8" t="s">
        <v>12045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12117</v>
      </c>
      <c r="D3230" s="8" t="s">
        <v>12046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12117</v>
      </c>
      <c r="D3231" s="8" t="s">
        <v>12047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12117</v>
      </c>
      <c r="D3232" s="8" t="s">
        <v>12048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12117</v>
      </c>
      <c r="D3233" s="8" t="s">
        <v>12049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12117</v>
      </c>
      <c r="D3234" s="8" t="s">
        <v>12050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12117</v>
      </c>
      <c r="D3235" s="8" t="s">
        <v>12051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12117</v>
      </c>
      <c r="D3236" s="8" t="s">
        <v>12052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12117</v>
      </c>
      <c r="D3237" s="8" t="s">
        <v>12053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12117</v>
      </c>
      <c r="D3238" s="8" t="s">
        <v>12054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12117</v>
      </c>
      <c r="D3239" s="8" t="s">
        <v>12055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12117</v>
      </c>
      <c r="D3240" s="8" t="s">
        <v>12056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12117</v>
      </c>
      <c r="D3241" s="8" t="s">
        <v>12057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12117</v>
      </c>
      <c r="D3242" s="8" t="s">
        <v>12058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12117</v>
      </c>
      <c r="D3243" s="8" t="s">
        <v>12059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12117</v>
      </c>
      <c r="D3244" s="8" t="s">
        <v>12060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12117</v>
      </c>
      <c r="D3245" s="8" t="s">
        <v>12061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12117</v>
      </c>
      <c r="D3246" s="8" t="s">
        <v>12062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12117</v>
      </c>
      <c r="D3247" s="8" t="s">
        <v>12063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12117</v>
      </c>
      <c r="D3248" s="8" t="s">
        <v>12064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12117</v>
      </c>
      <c r="D3249" s="8" t="s">
        <v>12065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12117</v>
      </c>
      <c r="D3250" s="8" t="s">
        <v>12066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12117</v>
      </c>
      <c r="D3251" s="8" t="s">
        <v>12067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12117</v>
      </c>
      <c r="D3252" s="8" t="s">
        <v>12068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12117</v>
      </c>
      <c r="D3253" s="8" t="s">
        <v>12069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12117</v>
      </c>
      <c r="D3254" s="8" t="s">
        <v>12070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12117</v>
      </c>
      <c r="D3255" s="8" t="s">
        <v>12071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12117</v>
      </c>
      <c r="D3256" s="8" t="s">
        <v>12072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12117</v>
      </c>
      <c r="D3257" s="8" t="s">
        <v>12073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12117</v>
      </c>
      <c r="D3258" s="8" t="s">
        <v>12074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12117</v>
      </c>
      <c r="D3259" s="8" t="s">
        <v>12075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12117</v>
      </c>
      <c r="D3260" s="8" t="s">
        <v>12076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12117</v>
      </c>
      <c r="D3261" s="8" t="s">
        <v>12077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12117</v>
      </c>
      <c r="D3262" s="8" t="s">
        <v>12078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12117</v>
      </c>
      <c r="D3263" s="8" t="s">
        <v>12079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12117</v>
      </c>
      <c r="D3264" s="8" t="s">
        <v>12080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12117</v>
      </c>
      <c r="D3265" s="8" t="s">
        <v>12081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12117</v>
      </c>
      <c r="D3266" s="8" t="s">
        <v>12082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12117</v>
      </c>
      <c r="D3267" s="8" t="s">
        <v>12083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12117</v>
      </c>
      <c r="D3268" s="8" t="s">
        <v>12084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12117</v>
      </c>
      <c r="D3269" s="8" t="s">
        <v>12085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12117</v>
      </c>
      <c r="D3270" s="8" t="s">
        <v>12086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12117</v>
      </c>
      <c r="D3271" s="8" t="s">
        <v>12087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12117</v>
      </c>
      <c r="D3272" s="8" t="s">
        <v>12088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12117</v>
      </c>
      <c r="D3273" s="8" t="s">
        <v>12089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12117</v>
      </c>
      <c r="D3274" s="8" t="s">
        <v>12090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12117</v>
      </c>
      <c r="D3275" s="8" t="s">
        <v>12091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12117</v>
      </c>
      <c r="D3276" s="8" t="s">
        <v>12092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12117</v>
      </c>
      <c r="D3277" s="8" t="s">
        <v>12093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12117</v>
      </c>
      <c r="D3278" s="8" t="s">
        <v>12094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12117</v>
      </c>
      <c r="D3279" s="8" t="s">
        <v>12095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12117</v>
      </c>
      <c r="D3280" s="8" t="s">
        <v>12096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12117</v>
      </c>
      <c r="D3281" s="8" t="s">
        <v>12097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12117</v>
      </c>
      <c r="D3282" s="8" t="s">
        <v>12098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12117</v>
      </c>
      <c r="D3283" s="8" t="s">
        <v>12099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12117</v>
      </c>
      <c r="D3284" s="8" t="s">
        <v>12100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12117</v>
      </c>
      <c r="D3285" s="8" t="s">
        <v>12101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12117</v>
      </c>
      <c r="D3286" s="8" t="s">
        <v>12102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12117</v>
      </c>
      <c r="D3287" s="8" t="s">
        <v>12103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12117</v>
      </c>
      <c r="D3288" s="8" t="s">
        <v>12104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12117</v>
      </c>
      <c r="D3289" s="8" t="s">
        <v>12105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12117</v>
      </c>
      <c r="D3290" s="8" t="s">
        <v>12106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12117</v>
      </c>
      <c r="D3291" s="8" t="s">
        <v>12107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12117</v>
      </c>
      <c r="D3292" s="8" t="s">
        <v>12108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12117</v>
      </c>
      <c r="D3293" s="8" t="s">
        <v>12109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12117</v>
      </c>
      <c r="D3294" s="8" t="s">
        <v>12110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12117</v>
      </c>
      <c r="D3295" s="8" t="s">
        <v>12111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12117</v>
      </c>
      <c r="D3296" s="8" t="s">
        <v>12112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12117</v>
      </c>
      <c r="D3297" s="8" t="s">
        <v>12113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12117</v>
      </c>
      <c r="D3298" s="8" t="s">
        <v>12114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12117</v>
      </c>
      <c r="D3299" s="8" t="s">
        <v>12115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12267</v>
      </c>
      <c r="D3300" s="36" t="s">
        <v>379</v>
      </c>
      <c r="E3300" s="103" t="s">
        <v>12119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 t="e">
        <f>VLOOKUP(Table2[[#This Row],[Node]],#REF!,2,0)=Table2[[#This Row],[Parent]]</f>
        <v>#REF!</v>
      </c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12268</v>
      </c>
      <c r="D3301" s="8" t="s">
        <v>12264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12269</v>
      </c>
      <c r="D3302" s="34" t="s">
        <v>12276</v>
      </c>
      <c r="E3302" s="8" t="s">
        <v>12270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12269</v>
      </c>
      <c r="D3303" s="34" t="s">
        <v>12277</v>
      </c>
      <c r="E3303" s="8" t="s">
        <v>12271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12269</v>
      </c>
      <c r="D3304" s="34" t="s">
        <v>12278</v>
      </c>
      <c r="E3304" s="8" t="s">
        <v>12272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12269</v>
      </c>
      <c r="D3305" s="34" t="s">
        <v>12279</v>
      </c>
      <c r="E3305" s="8" t="s">
        <v>12273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12269</v>
      </c>
      <c r="D3306" s="34" t="s">
        <v>12280</v>
      </c>
      <c r="E3306" s="8" t="s">
        <v>12274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12275</v>
      </c>
      <c r="D3307" s="8" t="s">
        <v>12265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 t="e">
        <f>VLOOKUP(Table2[[#This Row],[Node]],#REF!,2,0)=Table2[[#This Row],[Parent]]</f>
        <v>#REF!</v>
      </c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12275</v>
      </c>
      <c r="D3308" s="8" t="s">
        <v>12266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 t="e">
        <f>VLOOKUP(Table2[[#This Row],[Node]],#REF!,2,0)=Table2[[#This Row],[Parent]]</f>
        <v>#REF!</v>
      </c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12275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 t="e">
        <f>VLOOKUP(Table2[[#This Row],[Node]],#REF!,2,0)=Table2[[#This Row],[Parent]]</f>
        <v>#REF!</v>
      </c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12120</v>
      </c>
      <c r="D3310" s="8" t="s">
        <v>385</v>
      </c>
      <c r="E3310" s="34" t="s">
        <v>12121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12287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12287</v>
      </c>
      <c r="D3312" s="8" t="s">
        <v>12286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12292</v>
      </c>
      <c r="D3313" s="34" t="s">
        <v>12295</v>
      </c>
      <c r="E3313" s="8" t="s">
        <v>12288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12133</v>
      </c>
    </row>
    <row r="3314" spans="1:13" hidden="1">
      <c r="A3314" s="40">
        <f t="shared" si="55"/>
        <v>3313</v>
      </c>
      <c r="B3314" s="34" t="s">
        <v>8</v>
      </c>
      <c r="C3314" s="8" t="s">
        <v>12292</v>
      </c>
      <c r="D3314" s="34" t="s">
        <v>12296</v>
      </c>
      <c r="E3314" s="8" t="s">
        <v>12289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12133</v>
      </c>
    </row>
    <row r="3315" spans="1:13" hidden="1">
      <c r="A3315" s="40">
        <f t="shared" si="55"/>
        <v>3314</v>
      </c>
      <c r="B3315" s="34" t="s">
        <v>8</v>
      </c>
      <c r="C3315" s="8" t="s">
        <v>12291</v>
      </c>
      <c r="D3315" s="34" t="s">
        <v>12294</v>
      </c>
      <c r="E3315" s="8" t="s">
        <v>12290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12293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12293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12299</v>
      </c>
      <c r="D3318" s="8" t="s">
        <v>12173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12299</v>
      </c>
      <c r="D3319" s="8" t="s">
        <v>12174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12301</v>
      </c>
      <c r="D3320" s="34" t="s">
        <v>12303</v>
      </c>
      <c r="E3320" s="36" t="s">
        <v>12302</v>
      </c>
      <c r="F3320" s="8" t="s">
        <v>12300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12304</v>
      </c>
      <c r="D3321" s="36" t="s">
        <v>12182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12305</v>
      </c>
      <c r="D3322" s="8" t="s">
        <v>12306</v>
      </c>
      <c r="E3322" s="106" t="s">
        <v>12307</v>
      </c>
      <c r="F3322" s="34" t="s">
        <v>12320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12305</v>
      </c>
      <c r="D3323" s="34" t="s">
        <v>12320</v>
      </c>
      <c r="E3323" s="8" t="s">
        <v>12308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12305</v>
      </c>
      <c r="D3324" s="8" t="s">
        <v>12309</v>
      </c>
      <c r="F3324" s="34" t="s">
        <v>12320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12310</v>
      </c>
      <c r="D3325" s="8" t="s">
        <v>12311</v>
      </c>
      <c r="F3325" s="8" t="s">
        <v>12312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89" si="56">1+A3325</f>
        <v>3325</v>
      </c>
      <c r="B3326" s="34" t="s">
        <v>8</v>
      </c>
      <c r="C3326" s="8" t="s">
        <v>12313</v>
      </c>
      <c r="D3326" s="34" t="s">
        <v>12321</v>
      </c>
      <c r="E3326" s="8" t="s">
        <v>12314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12313</v>
      </c>
      <c r="D3327" s="34" t="s">
        <v>12322</v>
      </c>
      <c r="E3327" s="8" t="s">
        <v>12315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12313</v>
      </c>
      <c r="D3328" s="34" t="s">
        <v>12323</v>
      </c>
      <c r="E3328" s="8" t="s">
        <v>12316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12313</v>
      </c>
      <c r="D3329" s="34" t="s">
        <v>12324</v>
      </c>
      <c r="E3329" s="8" t="s">
        <v>12317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12313</v>
      </c>
      <c r="D3330" s="8" t="s">
        <v>6289</v>
      </c>
      <c r="E3330" s="8" t="s">
        <v>12318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12313</v>
      </c>
      <c r="D3331" s="8" t="s">
        <v>6300</v>
      </c>
      <c r="E3331" s="8" t="s">
        <v>12319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12325</v>
      </c>
      <c r="D3332" s="34" t="s">
        <v>12332</v>
      </c>
      <c r="E3332" s="107" t="s">
        <v>12327</v>
      </c>
      <c r="F3332" s="8" t="s">
        <v>12326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12325</v>
      </c>
      <c r="D3333" s="34" t="s">
        <v>12333</v>
      </c>
      <c r="E3333" s="107" t="s">
        <v>12328</v>
      </c>
      <c r="F3333" s="8" t="s">
        <v>12326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12325</v>
      </c>
      <c r="D3334" s="34" t="s">
        <v>12334</v>
      </c>
      <c r="E3334" s="107" t="s">
        <v>12329</v>
      </c>
      <c r="F3334" s="8" t="s">
        <v>12326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12337</v>
      </c>
      <c r="D3335" s="34" t="s">
        <v>12335</v>
      </c>
      <c r="E3335" s="8" t="s">
        <v>12330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12338</v>
      </c>
    </row>
    <row r="3336" spans="1:13" hidden="1">
      <c r="A3336" s="40">
        <f t="shared" si="56"/>
        <v>3335</v>
      </c>
      <c r="B3336" s="34" t="s">
        <v>8</v>
      </c>
      <c r="C3336" s="34" t="s">
        <v>12337</v>
      </c>
      <c r="D3336" s="34" t="s">
        <v>12336</v>
      </c>
      <c r="E3336" s="8" t="s">
        <v>12331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12338</v>
      </c>
    </row>
    <row r="3337" spans="1:13" hidden="1">
      <c r="A3337" s="40">
        <f t="shared" si="56"/>
        <v>3336</v>
      </c>
      <c r="B3337" s="34" t="s">
        <v>8</v>
      </c>
      <c r="C3337" s="34" t="s">
        <v>12325</v>
      </c>
      <c r="D3337" s="8" t="s">
        <v>12339</v>
      </c>
      <c r="E3337" s="8" t="s">
        <v>12340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12325</v>
      </c>
      <c r="D3338" s="8" t="s">
        <v>12326</v>
      </c>
      <c r="E3338" s="8" t="s">
        <v>12341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12325</v>
      </c>
      <c r="D3339" s="8" t="s">
        <v>12342</v>
      </c>
      <c r="E3339" s="8" t="s">
        <v>12343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12325</v>
      </c>
      <c r="D3340" s="8" t="s">
        <v>12344</v>
      </c>
      <c r="E3340" s="8" t="s">
        <v>12345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12347</v>
      </c>
      <c r="D3341" s="8" t="s">
        <v>11466</v>
      </c>
      <c r="E3341" s="8" t="s">
        <v>12346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12349</v>
      </c>
      <c r="D3342" s="8" t="s">
        <v>869</v>
      </c>
      <c r="E3342" s="8" t="s">
        <v>12348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12350</v>
      </c>
      <c r="D3343" s="34" t="s">
        <v>12352</v>
      </c>
      <c r="E3343" s="8" t="s">
        <v>12351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12350</v>
      </c>
      <c r="D3344" s="8" t="s">
        <v>6271</v>
      </c>
      <c r="F3344" s="34" t="s">
        <v>12352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6"/>
        <v>3344</v>
      </c>
      <c r="B3345" s="34" t="s">
        <v>8</v>
      </c>
      <c r="C3345" s="8" t="s">
        <v>12387</v>
      </c>
      <c r="D3345" s="8" t="s">
        <v>724</v>
      </c>
      <c r="E3345" s="8" t="s">
        <v>12365</v>
      </c>
      <c r="G3345" s="34" t="s">
        <v>15</v>
      </c>
      <c r="H3345" s="34" t="str">
        <f>IFERROR(VLOOKUP(Table2[[#This Row], [Ticket]],Okey!A:B,2,0),"")</f>
        <v/>
      </c>
      <c r="I3345" s="34"/>
      <c r="J3345" s="34" t="e">
        <f>VLOOKUP(Table2[[#This Row],[Author]],People!A:B,2,0)</f>
        <v>#N/A</v>
      </c>
      <c r="K3345" s="8" t="s">
        <v>12787</v>
      </c>
      <c r="L3345" s="34"/>
      <c r="M3345" s="34" t="s">
        <v>12338</v>
      </c>
    </row>
    <row r="3346" spans="1:13" hidden="1">
      <c r="A3346" s="40">
        <f t="shared" si="56"/>
        <v>3345</v>
      </c>
      <c r="B3346" s="34" t="s">
        <v>8</v>
      </c>
      <c r="C3346" s="34" t="s">
        <v>12387</v>
      </c>
      <c r="D3346" s="8" t="s">
        <v>726</v>
      </c>
      <c r="E3346" s="8" t="s">
        <v>12366</v>
      </c>
      <c r="G3346" s="34" t="s">
        <v>15</v>
      </c>
      <c r="H3346" s="34" t="str">
        <f>IFERROR(VLOOKUP(Table2[[#This Row], [Ticket]],Okey!A:B,2,0),"")</f>
        <v/>
      </c>
      <c r="I3346" s="34"/>
      <c r="J3346" s="34" t="e">
        <f>VLOOKUP(Table2[[#This Row],[Author]],People!A:B,2,0)</f>
        <v>#N/A</v>
      </c>
      <c r="K3346" s="34" t="s">
        <v>12787</v>
      </c>
      <c r="L3346" s="34"/>
      <c r="M3346" s="34" t="s">
        <v>12338</v>
      </c>
    </row>
    <row r="3347" spans="1:13" hidden="1">
      <c r="A3347" s="40">
        <f t="shared" si="56"/>
        <v>3346</v>
      </c>
      <c r="B3347" s="34" t="s">
        <v>8</v>
      </c>
      <c r="C3347" s="34" t="s">
        <v>12387</v>
      </c>
      <c r="D3347" s="8" t="s">
        <v>728</v>
      </c>
      <c r="E3347" s="8" t="s">
        <v>12367</v>
      </c>
      <c r="G3347" s="34" t="s">
        <v>15</v>
      </c>
      <c r="H3347" s="34" t="str">
        <f>IFERROR(VLOOKUP(Table2[[#This Row], [Ticket]],Okey!A:B,2,0),"")</f>
        <v/>
      </c>
      <c r="I3347" s="34"/>
      <c r="J3347" s="34" t="e">
        <f>VLOOKUP(Table2[[#This Row],[Author]],People!A:B,2,0)</f>
        <v>#N/A</v>
      </c>
      <c r="K3347" s="34" t="s">
        <v>12787</v>
      </c>
      <c r="L3347" s="34"/>
      <c r="M3347" s="34" t="s">
        <v>12338</v>
      </c>
    </row>
    <row r="3348" spans="1:13" hidden="1">
      <c r="A3348" s="40">
        <f t="shared" si="56"/>
        <v>3347</v>
      </c>
      <c r="B3348" s="34" t="s">
        <v>8</v>
      </c>
      <c r="C3348" s="34" t="s">
        <v>12387</v>
      </c>
      <c r="D3348" s="8" t="s">
        <v>730</v>
      </c>
      <c r="E3348" s="8" t="s">
        <v>12368</v>
      </c>
      <c r="G3348" s="34" t="s">
        <v>15</v>
      </c>
      <c r="H3348" s="34" t="str">
        <f>IFERROR(VLOOKUP(Table2[[#This Row], [Ticket]],Okey!A:B,2,0),"")</f>
        <v/>
      </c>
      <c r="I3348" s="34"/>
      <c r="J3348" s="34" t="e">
        <f>VLOOKUP(Table2[[#This Row],[Author]],People!A:B,2,0)</f>
        <v>#N/A</v>
      </c>
      <c r="K3348" s="34" t="s">
        <v>12787</v>
      </c>
      <c r="L3348" s="34"/>
      <c r="M3348" s="34" t="s">
        <v>12338</v>
      </c>
    </row>
    <row r="3349" spans="1:13" hidden="1">
      <c r="A3349" s="40">
        <f t="shared" si="56"/>
        <v>3348</v>
      </c>
      <c r="B3349" s="34" t="s">
        <v>8</v>
      </c>
      <c r="C3349" s="34" t="s">
        <v>12387</v>
      </c>
      <c r="D3349" s="8" t="s">
        <v>756</v>
      </c>
      <c r="E3349" s="8" t="s">
        <v>12369</v>
      </c>
      <c r="G3349" s="34" t="s">
        <v>15</v>
      </c>
      <c r="H3349" s="34" t="str">
        <f>IFERROR(VLOOKUP(Table2[[#This Row], [Ticket]],Okey!A:B,2,0),"")</f>
        <v/>
      </c>
      <c r="I3349" s="34"/>
      <c r="J3349" s="34" t="e">
        <f>VLOOKUP(Table2[[#This Row],[Author]],People!A:B,2,0)</f>
        <v>#N/A</v>
      </c>
      <c r="K3349" s="34" t="s">
        <v>12787</v>
      </c>
      <c r="L3349" s="34"/>
      <c r="M3349" s="34" t="s">
        <v>12338</v>
      </c>
    </row>
    <row r="3350" spans="1:13" hidden="1">
      <c r="A3350" s="40">
        <f t="shared" si="56"/>
        <v>3349</v>
      </c>
      <c r="B3350" s="34" t="s">
        <v>8</v>
      </c>
      <c r="C3350" s="34" t="s">
        <v>12387</v>
      </c>
      <c r="D3350" s="8" t="s">
        <v>762</v>
      </c>
      <c r="E3350" s="8" t="s">
        <v>12370</v>
      </c>
      <c r="G3350" s="34" t="s">
        <v>15</v>
      </c>
      <c r="H3350" s="34" t="str">
        <f>IFERROR(VLOOKUP(Table2[[#This Row], [Ticket]],Okey!A:B,2,0),"")</f>
        <v/>
      </c>
      <c r="I3350" s="34"/>
      <c r="J3350" s="34" t="e">
        <f>VLOOKUP(Table2[[#This Row],[Author]],People!A:B,2,0)</f>
        <v>#N/A</v>
      </c>
      <c r="K3350" s="34" t="s">
        <v>12787</v>
      </c>
      <c r="L3350" s="34"/>
      <c r="M3350" s="34" t="s">
        <v>12338</v>
      </c>
    </row>
    <row r="3351" spans="1:13" hidden="1">
      <c r="A3351" s="40">
        <f t="shared" si="56"/>
        <v>3350</v>
      </c>
      <c r="B3351" s="34" t="s">
        <v>8</v>
      </c>
      <c r="C3351" s="34" t="s">
        <v>12387</v>
      </c>
      <c r="D3351" s="8" t="s">
        <v>770</v>
      </c>
      <c r="E3351" s="8" t="s">
        <v>12371</v>
      </c>
      <c r="G3351" s="34" t="s">
        <v>15</v>
      </c>
      <c r="H3351" s="34" t="str">
        <f>IFERROR(VLOOKUP(Table2[[#This Row], [Ticket]],Okey!A:B,2,0),"")</f>
        <v/>
      </c>
      <c r="I3351" s="34"/>
      <c r="J3351" s="34" t="e">
        <f>VLOOKUP(Table2[[#This Row],[Author]],People!A:B,2,0)</f>
        <v>#N/A</v>
      </c>
      <c r="K3351" s="34" t="s">
        <v>12787</v>
      </c>
      <c r="L3351" s="34"/>
      <c r="M3351" s="34" t="s">
        <v>12338</v>
      </c>
    </row>
    <row r="3352" spans="1:13" hidden="1">
      <c r="A3352" s="40">
        <f t="shared" si="56"/>
        <v>3351</v>
      </c>
      <c r="B3352" s="34" t="s">
        <v>8</v>
      </c>
      <c r="C3352" s="34" t="s">
        <v>12387</v>
      </c>
      <c r="D3352" s="8" t="s">
        <v>776</v>
      </c>
      <c r="E3352" s="8" t="s">
        <v>12372</v>
      </c>
      <c r="G3352" s="34" t="s">
        <v>15</v>
      </c>
      <c r="H3352" s="34" t="str">
        <f>IFERROR(VLOOKUP(Table2[[#This Row], [Ticket]],Okey!A:B,2,0),"")</f>
        <v/>
      </c>
      <c r="I3352" s="34"/>
      <c r="J3352" s="34" t="e">
        <f>VLOOKUP(Table2[[#This Row],[Author]],People!A:B,2,0)</f>
        <v>#N/A</v>
      </c>
      <c r="K3352" s="34" t="s">
        <v>12787</v>
      </c>
      <c r="L3352" s="34"/>
      <c r="M3352" s="34" t="s">
        <v>12338</v>
      </c>
    </row>
    <row r="3353" spans="1:13" hidden="1">
      <c r="A3353" s="40">
        <f t="shared" si="56"/>
        <v>3352</v>
      </c>
      <c r="B3353" s="34" t="s">
        <v>8</v>
      </c>
      <c r="C3353" s="34" t="s">
        <v>12387</v>
      </c>
      <c r="D3353" s="8" t="s">
        <v>784</v>
      </c>
      <c r="E3353" s="8" t="s">
        <v>12373</v>
      </c>
      <c r="G3353" s="34" t="s">
        <v>15</v>
      </c>
      <c r="H3353" s="34" t="str">
        <f>IFERROR(VLOOKUP(Table2[[#This Row], [Ticket]],Okey!A:B,2,0),"")</f>
        <v/>
      </c>
      <c r="I3353" s="34"/>
      <c r="J3353" s="34" t="e">
        <f>VLOOKUP(Table2[[#This Row],[Author]],People!A:B,2,0)</f>
        <v>#N/A</v>
      </c>
      <c r="K3353" s="34" t="s">
        <v>12787</v>
      </c>
      <c r="L3353" s="34"/>
      <c r="M3353" s="34" t="s">
        <v>12338</v>
      </c>
    </row>
    <row r="3354" spans="1:13" hidden="1">
      <c r="A3354" s="40">
        <f t="shared" si="56"/>
        <v>3353</v>
      </c>
      <c r="B3354" s="34" t="s">
        <v>8</v>
      </c>
      <c r="C3354" s="34" t="s">
        <v>12387</v>
      </c>
      <c r="D3354" s="8" t="s">
        <v>796</v>
      </c>
      <c r="E3354" s="8" t="s">
        <v>12374</v>
      </c>
      <c r="G3354" s="34" t="s">
        <v>15</v>
      </c>
      <c r="H3354" s="34" t="str">
        <f>IFERROR(VLOOKUP(Table2[[#This Row], [Ticket]],Okey!A:B,2,0),"")</f>
        <v/>
      </c>
      <c r="I3354" s="34"/>
      <c r="J3354" s="34" t="e">
        <f>VLOOKUP(Table2[[#This Row],[Author]],People!A:B,2,0)</f>
        <v>#N/A</v>
      </c>
      <c r="K3354" s="34" t="s">
        <v>12787</v>
      </c>
      <c r="L3354" s="34"/>
      <c r="M3354" s="34" t="s">
        <v>12338</v>
      </c>
    </row>
    <row r="3355" spans="1:13" hidden="1">
      <c r="A3355" s="40">
        <f t="shared" si="56"/>
        <v>3354</v>
      </c>
      <c r="B3355" s="34" t="s">
        <v>8</v>
      </c>
      <c r="C3355" s="34" t="s">
        <v>12387</v>
      </c>
      <c r="D3355" s="8" t="s">
        <v>798</v>
      </c>
      <c r="E3355" s="8" t="s">
        <v>12375</v>
      </c>
      <c r="G3355" s="34" t="s">
        <v>15</v>
      </c>
      <c r="H3355" s="34" t="str">
        <f>IFERROR(VLOOKUP(Table2[[#This Row], [Ticket]],Okey!A:B,2,0),"")</f>
        <v/>
      </c>
      <c r="I3355" s="34"/>
      <c r="J3355" s="34" t="e">
        <f>VLOOKUP(Table2[[#This Row],[Author]],People!A:B,2,0)</f>
        <v>#N/A</v>
      </c>
      <c r="K3355" s="34" t="s">
        <v>12787</v>
      </c>
      <c r="L3355" s="34"/>
      <c r="M3355" s="34" t="s">
        <v>12338</v>
      </c>
    </row>
    <row r="3356" spans="1:13" hidden="1">
      <c r="A3356" s="40">
        <f t="shared" si="56"/>
        <v>3355</v>
      </c>
      <c r="B3356" s="34" t="s">
        <v>8</v>
      </c>
      <c r="C3356" s="34" t="s">
        <v>12387</v>
      </c>
      <c r="D3356" s="8" t="s">
        <v>802</v>
      </c>
      <c r="E3356" s="8" t="s">
        <v>12376</v>
      </c>
      <c r="G3356" s="34" t="s">
        <v>15</v>
      </c>
      <c r="H3356" s="34" t="str">
        <f>IFERROR(VLOOKUP(Table2[[#This Row], [Ticket]],Okey!A:B,2,0),"")</f>
        <v/>
      </c>
      <c r="I3356" s="34"/>
      <c r="J3356" s="34" t="e">
        <f>VLOOKUP(Table2[[#This Row],[Author]],People!A:B,2,0)</f>
        <v>#N/A</v>
      </c>
      <c r="K3356" s="34" t="s">
        <v>12787</v>
      </c>
      <c r="L3356" s="34"/>
      <c r="M3356" s="34" t="s">
        <v>12338</v>
      </c>
    </row>
    <row r="3357" spans="1:13" hidden="1">
      <c r="A3357" s="40">
        <f t="shared" si="56"/>
        <v>3356</v>
      </c>
      <c r="B3357" s="34" t="s">
        <v>8</v>
      </c>
      <c r="C3357" s="34" t="s">
        <v>12387</v>
      </c>
      <c r="D3357" s="8" t="s">
        <v>806</v>
      </c>
      <c r="E3357" s="8" t="s">
        <v>12377</v>
      </c>
      <c r="G3357" s="34" t="s">
        <v>15</v>
      </c>
      <c r="H3357" s="34" t="str">
        <f>IFERROR(VLOOKUP(Table2[[#This Row], [Ticket]],Okey!A:B,2,0),"")</f>
        <v/>
      </c>
      <c r="I3357" s="34"/>
      <c r="J3357" s="34" t="e">
        <f>VLOOKUP(Table2[[#This Row],[Author]],People!A:B,2,0)</f>
        <v>#N/A</v>
      </c>
      <c r="K3357" s="34" t="s">
        <v>12787</v>
      </c>
      <c r="L3357" s="34"/>
      <c r="M3357" s="34" t="s">
        <v>12338</v>
      </c>
    </row>
    <row r="3358" spans="1:13" hidden="1">
      <c r="A3358" s="40">
        <f t="shared" si="56"/>
        <v>3357</v>
      </c>
      <c r="B3358" s="34" t="s">
        <v>8</v>
      </c>
      <c r="C3358" s="34" t="s">
        <v>12387</v>
      </c>
      <c r="D3358" s="8" t="s">
        <v>12356</v>
      </c>
      <c r="E3358" s="8" t="s">
        <v>12378</v>
      </c>
      <c r="G3358" s="34" t="s">
        <v>15</v>
      </c>
      <c r="H3358" s="34" t="str">
        <f>IFERROR(VLOOKUP(Table2[[#This Row], [Ticket]],Okey!A:B,2,0),"")</f>
        <v/>
      </c>
      <c r="I3358" s="34"/>
      <c r="J3358" s="34" t="e">
        <f>VLOOKUP(Table2[[#This Row],[Author]],People!A:B,2,0)</f>
        <v>#N/A</v>
      </c>
      <c r="K3358" s="34" t="s">
        <v>12787</v>
      </c>
      <c r="L3358" s="34"/>
      <c r="M3358" s="34" t="s">
        <v>12338</v>
      </c>
    </row>
    <row r="3359" spans="1:13" hidden="1">
      <c r="A3359" s="40">
        <f t="shared" si="56"/>
        <v>3358</v>
      </c>
      <c r="B3359" s="34" t="s">
        <v>8</v>
      </c>
      <c r="C3359" s="34" t="s">
        <v>12387</v>
      </c>
      <c r="D3359" s="8" t="s">
        <v>12357</v>
      </c>
      <c r="E3359" s="8" t="s">
        <v>12379</v>
      </c>
      <c r="G3359" s="34" t="s">
        <v>15</v>
      </c>
      <c r="H3359" s="34" t="str">
        <f>IFERROR(VLOOKUP(Table2[[#This Row], [Ticket]],Okey!A:B,2,0),"")</f>
        <v/>
      </c>
      <c r="I3359" s="34"/>
      <c r="J3359" s="34" t="e">
        <f>VLOOKUP(Table2[[#This Row],[Author]],People!A:B,2,0)</f>
        <v>#N/A</v>
      </c>
      <c r="K3359" s="34" t="s">
        <v>12787</v>
      </c>
      <c r="L3359" s="34"/>
      <c r="M3359" s="34" t="s">
        <v>12338</v>
      </c>
    </row>
    <row r="3360" spans="1:13" hidden="1">
      <c r="A3360" s="40">
        <f t="shared" si="56"/>
        <v>3359</v>
      </c>
      <c r="B3360" s="34" t="s">
        <v>8</v>
      </c>
      <c r="C3360" s="34" t="s">
        <v>12387</v>
      </c>
      <c r="D3360" s="8" t="s">
        <v>12358</v>
      </c>
      <c r="E3360" s="8" t="s">
        <v>12380</v>
      </c>
      <c r="G3360" s="34" t="s">
        <v>15</v>
      </c>
      <c r="H3360" s="34" t="str">
        <f>IFERROR(VLOOKUP(Table2[[#This Row], [Ticket]],Okey!A:B,2,0),"")</f>
        <v/>
      </c>
      <c r="I3360" s="34"/>
      <c r="J3360" s="34" t="e">
        <f>VLOOKUP(Table2[[#This Row],[Author]],People!A:B,2,0)</f>
        <v>#N/A</v>
      </c>
      <c r="K3360" s="34" t="s">
        <v>12787</v>
      </c>
      <c r="L3360" s="34"/>
      <c r="M3360" s="34" t="s">
        <v>12338</v>
      </c>
    </row>
    <row r="3361" spans="1:13" hidden="1">
      <c r="A3361" s="40">
        <f t="shared" si="56"/>
        <v>3360</v>
      </c>
      <c r="B3361" s="34" t="s">
        <v>8</v>
      </c>
      <c r="C3361" s="34" t="s">
        <v>12387</v>
      </c>
      <c r="D3361" s="8" t="s">
        <v>12359</v>
      </c>
      <c r="E3361" s="8" t="s">
        <v>12381</v>
      </c>
      <c r="G3361" s="34" t="s">
        <v>15</v>
      </c>
      <c r="H3361" s="34" t="str">
        <f>IFERROR(VLOOKUP(Table2[[#This Row], [Ticket]],Okey!A:B,2,0),"")</f>
        <v/>
      </c>
      <c r="I3361" s="34"/>
      <c r="J3361" s="34" t="e">
        <f>VLOOKUP(Table2[[#This Row],[Author]],People!A:B,2,0)</f>
        <v>#N/A</v>
      </c>
      <c r="K3361" s="34" t="s">
        <v>12787</v>
      </c>
      <c r="L3361" s="34"/>
      <c r="M3361" s="34" t="s">
        <v>12338</v>
      </c>
    </row>
    <row r="3362" spans="1:13" hidden="1">
      <c r="A3362" s="40">
        <f t="shared" si="56"/>
        <v>3361</v>
      </c>
      <c r="B3362" s="34" t="s">
        <v>8</v>
      </c>
      <c r="C3362" s="34" t="s">
        <v>12387</v>
      </c>
      <c r="D3362" s="8" t="s">
        <v>12360</v>
      </c>
      <c r="E3362" s="8" t="s">
        <v>12382</v>
      </c>
      <c r="G3362" s="34" t="s">
        <v>15</v>
      </c>
      <c r="H3362" s="34" t="str">
        <f>IFERROR(VLOOKUP(Table2[[#This Row], [Ticket]],Okey!A:B,2,0),"")</f>
        <v/>
      </c>
      <c r="I3362" s="34"/>
      <c r="J3362" s="34" t="e">
        <f>VLOOKUP(Table2[[#This Row],[Author]],People!A:B,2,0)</f>
        <v>#N/A</v>
      </c>
      <c r="K3362" s="34" t="s">
        <v>12787</v>
      </c>
      <c r="L3362" s="34"/>
      <c r="M3362" s="34" t="s">
        <v>12338</v>
      </c>
    </row>
    <row r="3363" spans="1:13" hidden="1">
      <c r="A3363" s="40">
        <f t="shared" si="56"/>
        <v>3362</v>
      </c>
      <c r="B3363" s="34" t="s">
        <v>8</v>
      </c>
      <c r="C3363" s="34" t="s">
        <v>12387</v>
      </c>
      <c r="D3363" s="8" t="s">
        <v>12361</v>
      </c>
      <c r="E3363" s="8" t="s">
        <v>12383</v>
      </c>
      <c r="G3363" s="34" t="s">
        <v>15</v>
      </c>
      <c r="H3363" s="34" t="str">
        <f>IFERROR(VLOOKUP(Table2[[#This Row], [Ticket]],Okey!A:B,2,0),"")</f>
        <v/>
      </c>
      <c r="I3363" s="34"/>
      <c r="J3363" s="34" t="e">
        <f>VLOOKUP(Table2[[#This Row],[Author]],People!A:B,2,0)</f>
        <v>#N/A</v>
      </c>
      <c r="K3363" s="34" t="s">
        <v>12787</v>
      </c>
      <c r="L3363" s="34"/>
      <c r="M3363" s="34" t="s">
        <v>12338</v>
      </c>
    </row>
    <row r="3364" spans="1:13" hidden="1">
      <c r="A3364" s="40">
        <f t="shared" si="56"/>
        <v>3363</v>
      </c>
      <c r="B3364" s="34" t="s">
        <v>8</v>
      </c>
      <c r="C3364" s="34" t="s">
        <v>12387</v>
      </c>
      <c r="D3364" s="8" t="s">
        <v>12362</v>
      </c>
      <c r="E3364" s="8" t="s">
        <v>12384</v>
      </c>
      <c r="G3364" s="34" t="s">
        <v>15</v>
      </c>
      <c r="H3364" s="34" t="str">
        <f>IFERROR(VLOOKUP(Table2[[#This Row], [Ticket]],Okey!A:B,2,0),"")</f>
        <v/>
      </c>
      <c r="I3364" s="34"/>
      <c r="J3364" s="34" t="e">
        <f>VLOOKUP(Table2[[#This Row],[Author]],People!A:B,2,0)</f>
        <v>#N/A</v>
      </c>
      <c r="K3364" s="34" t="s">
        <v>12787</v>
      </c>
      <c r="L3364" s="34"/>
      <c r="M3364" s="34" t="s">
        <v>12338</v>
      </c>
    </row>
    <row r="3365" spans="1:13" hidden="1">
      <c r="A3365" s="40">
        <f t="shared" si="56"/>
        <v>3364</v>
      </c>
      <c r="B3365" s="34" t="s">
        <v>8</v>
      </c>
      <c r="C3365" s="34" t="s">
        <v>12387</v>
      </c>
      <c r="D3365" s="8" t="s">
        <v>12363</v>
      </c>
      <c r="E3365" s="8" t="s">
        <v>12385</v>
      </c>
      <c r="G3365" s="34" t="s">
        <v>15</v>
      </c>
      <c r="H3365" s="34" t="str">
        <f>IFERROR(VLOOKUP(Table2[[#This Row], [Ticket]],Okey!A:B,2,0),"")</f>
        <v/>
      </c>
      <c r="I3365" s="34"/>
      <c r="J3365" s="34" t="e">
        <f>VLOOKUP(Table2[[#This Row],[Author]],People!A:B,2,0)</f>
        <v>#N/A</v>
      </c>
      <c r="K3365" s="34" t="s">
        <v>12787</v>
      </c>
      <c r="L3365" s="34"/>
      <c r="M3365" s="34" t="s">
        <v>12338</v>
      </c>
    </row>
    <row r="3366" spans="1:13" hidden="1">
      <c r="A3366" s="40">
        <f t="shared" si="56"/>
        <v>3365</v>
      </c>
      <c r="B3366" s="34" t="s">
        <v>8</v>
      </c>
      <c r="C3366" s="34" t="s">
        <v>12387</v>
      </c>
      <c r="D3366" s="8" t="s">
        <v>12364</v>
      </c>
      <c r="E3366" s="8" t="s">
        <v>12386</v>
      </c>
      <c r="G3366" s="34" t="s">
        <v>15</v>
      </c>
      <c r="H3366" s="34" t="str">
        <f>IFERROR(VLOOKUP(Table2[[#This Row], [Ticket]],Okey!A:B,2,0),"")</f>
        <v/>
      </c>
      <c r="I3366" s="34"/>
      <c r="J3366" s="34" t="e">
        <f>VLOOKUP(Table2[[#This Row],[Author]],People!A:B,2,0)</f>
        <v>#N/A</v>
      </c>
      <c r="K3366" s="34" t="s">
        <v>12787</v>
      </c>
      <c r="L3366" s="34"/>
      <c r="M3366" s="34" t="s">
        <v>12338</v>
      </c>
    </row>
    <row r="3367" spans="1:13" hidden="1">
      <c r="A3367" s="40">
        <f t="shared" si="56"/>
        <v>3366</v>
      </c>
      <c r="B3367" s="34" t="s">
        <v>8</v>
      </c>
      <c r="C3367" s="8" t="s">
        <v>12388</v>
      </c>
      <c r="D3367" s="36" t="s">
        <v>6271</v>
      </c>
      <c r="E3367" s="108" t="s">
        <v>12351</v>
      </c>
      <c r="F3367" s="109" t="s">
        <v>3827</v>
      </c>
      <c r="G3367" s="8" t="s">
        <v>16</v>
      </c>
      <c r="H3367" s="34" t="str">
        <f>IFERROR(VLOOKUP(Table2[[#This Row], [Ticket]],Okey!A:B,2,0),"")</f>
        <v/>
      </c>
      <c r="I3367" s="34"/>
      <c r="J3367" s="34" t="str">
        <f>VLOOKUP(Table2[[#This Row],[Author]],People!A:B,2,0)</f>
        <v>LS</v>
      </c>
      <c r="K3367" s="34" t="s">
        <v>12787</v>
      </c>
      <c r="L3367" s="34"/>
      <c r="M3367" s="34" t="s">
        <v>6348</v>
      </c>
    </row>
    <row r="3368" spans="1:13" hidden="1">
      <c r="A3368" s="40">
        <f t="shared" si="56"/>
        <v>3367</v>
      </c>
      <c r="B3368" s="34" t="s">
        <v>8</v>
      </c>
      <c r="C3368" s="34" t="s">
        <v>12388</v>
      </c>
      <c r="D3368" s="8" t="s">
        <v>12137</v>
      </c>
      <c r="F3368" s="8" t="s">
        <v>8133</v>
      </c>
      <c r="G3368" s="8" t="s">
        <v>13</v>
      </c>
      <c r="H3368" s="34" t="str">
        <f>IFERROR(VLOOKUP(Table2[[#This Row], [Ticket]],Okey!A:B,2,0),"")</f>
        <v/>
      </c>
      <c r="I3368" s="34"/>
      <c r="J3368" s="34" t="str">
        <f>VLOOKUP(Table2[[#This Row],[Author]],People!A:B,2,0)</f>
        <v>LS</v>
      </c>
      <c r="K3368" s="34" t="s">
        <v>12787</v>
      </c>
      <c r="L3368" s="34"/>
      <c r="M3368" s="34" t="s">
        <v>6348</v>
      </c>
    </row>
    <row r="3369" spans="1:13" hidden="1">
      <c r="A3369" s="40">
        <f t="shared" si="56"/>
        <v>3368</v>
      </c>
      <c r="B3369" s="34" t="s">
        <v>8</v>
      </c>
      <c r="C3369" s="34" t="s">
        <v>12388</v>
      </c>
      <c r="D3369" s="8" t="s">
        <v>12138</v>
      </c>
      <c r="F3369" s="8" t="s">
        <v>8133</v>
      </c>
      <c r="G3369" s="34" t="s">
        <v>13</v>
      </c>
      <c r="H3369" s="34" t="str">
        <f>IFERROR(VLOOKUP(Table2[[#This Row], [Ticket]],Okey!A:B,2,0),"")</f>
        <v/>
      </c>
      <c r="I3369" s="34"/>
      <c r="J3369" s="34" t="str">
        <f>VLOOKUP(Table2[[#This Row],[Author]],People!A:B,2,0)</f>
        <v>LS</v>
      </c>
      <c r="K3369" s="34" t="s">
        <v>12787</v>
      </c>
      <c r="L3369" s="34"/>
      <c r="M3369" s="34" t="s">
        <v>6348</v>
      </c>
    </row>
    <row r="3370" spans="1:13" hidden="1">
      <c r="A3370" s="40">
        <f t="shared" si="56"/>
        <v>3369</v>
      </c>
      <c r="B3370" s="34" t="s">
        <v>8</v>
      </c>
      <c r="C3370" s="34" t="s">
        <v>12388</v>
      </c>
      <c r="D3370" s="8" t="s">
        <v>12352</v>
      </c>
      <c r="F3370" s="8" t="s">
        <v>275</v>
      </c>
      <c r="G3370" s="8" t="s">
        <v>8537</v>
      </c>
      <c r="H3370" s="34" t="str">
        <f>IFERROR(VLOOKUP(Table2[[#This Row], [Ticket]],Okey!A:B,2,0),"")</f>
        <v/>
      </c>
      <c r="I3370" s="34"/>
      <c r="J3370" s="34" t="str">
        <f>VLOOKUP(Table2[[#This Row],[Author]],People!A:B,2,0)</f>
        <v>LS</v>
      </c>
      <c r="K3370" s="34" t="s">
        <v>12787</v>
      </c>
      <c r="L3370" s="34"/>
      <c r="M3370" s="34" t="s">
        <v>6348</v>
      </c>
    </row>
    <row r="3371" spans="1:13" hidden="1">
      <c r="A3371" s="40">
        <f t="shared" si="56"/>
        <v>3370</v>
      </c>
      <c r="B3371" s="34" t="s">
        <v>8</v>
      </c>
      <c r="C3371" s="8" t="s">
        <v>12389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12298</v>
      </c>
      <c r="J3371" s="34" t="str">
        <f>VLOOKUP(Table2[[#This Row],[Author]],People!A:B,2,0)</f>
        <v>LS</v>
      </c>
      <c r="K3371" s="8" t="s">
        <v>12788</v>
      </c>
      <c r="L3371" s="34"/>
      <c r="M3371" s="34" t="s">
        <v>12404</v>
      </c>
    </row>
    <row r="3372" spans="1:13" hidden="1">
      <c r="A3372" s="40">
        <f t="shared" si="56"/>
        <v>3371</v>
      </c>
      <c r="B3372" s="34" t="s">
        <v>8</v>
      </c>
      <c r="C3372" s="34" t="s">
        <v>12389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12298</v>
      </c>
      <c r="J3372" s="34" t="str">
        <f>VLOOKUP(Table2[[#This Row],[Author]],People!A:B,2,0)</f>
        <v>LS</v>
      </c>
      <c r="K3372" s="34" t="s">
        <v>12788</v>
      </c>
      <c r="L3372" s="34"/>
      <c r="M3372" s="34" t="s">
        <v>12404</v>
      </c>
    </row>
    <row r="3373" spans="1:13" hidden="1">
      <c r="A3373" s="40">
        <f t="shared" si="56"/>
        <v>3372</v>
      </c>
      <c r="B3373" s="34" t="s">
        <v>8</v>
      </c>
      <c r="C3373" s="34" t="s">
        <v>12389</v>
      </c>
      <c r="D3373" s="8" t="s">
        <v>12390</v>
      </c>
      <c r="G3373" s="34" t="s">
        <v>8537</v>
      </c>
      <c r="H3373" s="34" t="str">
        <f>IFERROR(VLOOKUP(Table2[[#This Row], [Ticket]],Okey!A:B,2,0),"")</f>
        <v>ok</v>
      </c>
      <c r="I3373" s="34" t="s">
        <v>12298</v>
      </c>
      <c r="J3373" s="34" t="str">
        <f>VLOOKUP(Table2[[#This Row],[Author]],People!A:B,2,0)</f>
        <v>LS</v>
      </c>
      <c r="K3373" s="34" t="s">
        <v>12788</v>
      </c>
      <c r="L3373" s="34"/>
      <c r="M3373" s="34" t="s">
        <v>12404</v>
      </c>
    </row>
    <row r="3374" spans="1:13" hidden="1">
      <c r="A3374" s="40">
        <f t="shared" si="56"/>
        <v>3373</v>
      </c>
      <c r="B3374" s="34" t="s">
        <v>8</v>
      </c>
      <c r="C3374" s="34" t="s">
        <v>12389</v>
      </c>
      <c r="D3374" s="8" t="s">
        <v>12391</v>
      </c>
      <c r="G3374" s="34" t="s">
        <v>8537</v>
      </c>
      <c r="H3374" s="34" t="str">
        <f>IFERROR(VLOOKUP(Table2[[#This Row], [Ticket]],Okey!A:B,2,0),"")</f>
        <v>ok</v>
      </c>
      <c r="I3374" s="34" t="s">
        <v>12298</v>
      </c>
      <c r="J3374" s="34" t="str">
        <f>VLOOKUP(Table2[[#This Row],[Author]],People!A:B,2,0)</f>
        <v>LS</v>
      </c>
      <c r="K3374" s="34" t="s">
        <v>12788</v>
      </c>
      <c r="L3374" s="34"/>
      <c r="M3374" s="34" t="s">
        <v>12404</v>
      </c>
    </row>
    <row r="3375" spans="1:13" hidden="1">
      <c r="A3375" s="40">
        <f t="shared" si="56"/>
        <v>3374</v>
      </c>
      <c r="B3375" s="34" t="s">
        <v>8</v>
      </c>
      <c r="C3375" s="34" t="s">
        <v>12389</v>
      </c>
      <c r="D3375" s="8" t="s">
        <v>12392</v>
      </c>
      <c r="G3375" s="34" t="s">
        <v>8537</v>
      </c>
      <c r="H3375" s="34" t="str">
        <f>IFERROR(VLOOKUP(Table2[[#This Row], [Ticket]],Okey!A:B,2,0),"")</f>
        <v>ok</v>
      </c>
      <c r="I3375" s="34" t="s">
        <v>12298</v>
      </c>
      <c r="J3375" s="34" t="str">
        <f>VLOOKUP(Table2[[#This Row],[Author]],People!A:B,2,0)</f>
        <v>LS</v>
      </c>
      <c r="K3375" s="34" t="s">
        <v>12788</v>
      </c>
      <c r="L3375" s="34"/>
      <c r="M3375" s="34" t="s">
        <v>12404</v>
      </c>
    </row>
    <row r="3376" spans="1:13" hidden="1">
      <c r="A3376" s="40">
        <f t="shared" si="56"/>
        <v>3375</v>
      </c>
      <c r="B3376" s="34" t="s">
        <v>8</v>
      </c>
      <c r="C3376" s="34" t="s">
        <v>12389</v>
      </c>
      <c r="D3376" s="8" t="s">
        <v>12393</v>
      </c>
      <c r="G3376" s="34" t="s">
        <v>8537</v>
      </c>
      <c r="H3376" s="34" t="str">
        <f>IFERROR(VLOOKUP(Table2[[#This Row], [Ticket]],Okey!A:B,2,0),"")</f>
        <v>ok</v>
      </c>
      <c r="I3376" s="34" t="s">
        <v>12298</v>
      </c>
      <c r="J3376" s="34" t="str">
        <f>VLOOKUP(Table2[[#This Row],[Author]],People!A:B,2,0)</f>
        <v>LS</v>
      </c>
      <c r="K3376" s="34" t="s">
        <v>12788</v>
      </c>
      <c r="L3376" s="34"/>
      <c r="M3376" s="34" t="s">
        <v>12404</v>
      </c>
    </row>
    <row r="3377" spans="1:13" hidden="1">
      <c r="A3377" s="40">
        <f t="shared" si="56"/>
        <v>3376</v>
      </c>
      <c r="B3377" s="34" t="s">
        <v>8</v>
      </c>
      <c r="C3377" s="34" t="s">
        <v>12389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12298</v>
      </c>
      <c r="J3377" s="34" t="str">
        <f>VLOOKUP(Table2[[#This Row],[Author]],People!A:B,2,0)</f>
        <v>LS</v>
      </c>
      <c r="K3377" s="34" t="s">
        <v>12788</v>
      </c>
      <c r="L3377" s="34"/>
      <c r="M3377" s="34" t="s">
        <v>12404</v>
      </c>
    </row>
    <row r="3378" spans="1:13" hidden="1">
      <c r="A3378" s="40">
        <f t="shared" si="56"/>
        <v>3377</v>
      </c>
      <c r="B3378" s="34" t="s">
        <v>8</v>
      </c>
      <c r="C3378" s="34" t="s">
        <v>12389</v>
      </c>
      <c r="D3378" s="8" t="s">
        <v>12394</v>
      </c>
      <c r="G3378" s="34" t="s">
        <v>8537</v>
      </c>
      <c r="H3378" s="34" t="str">
        <f>IFERROR(VLOOKUP(Table2[[#This Row], [Ticket]],Okey!A:B,2,0),"")</f>
        <v>ok</v>
      </c>
      <c r="I3378" s="34" t="s">
        <v>12298</v>
      </c>
      <c r="J3378" s="34" t="str">
        <f>VLOOKUP(Table2[[#This Row],[Author]],People!A:B,2,0)</f>
        <v>LS</v>
      </c>
      <c r="K3378" s="34" t="s">
        <v>12788</v>
      </c>
      <c r="L3378" s="34"/>
      <c r="M3378" s="34" t="s">
        <v>12404</v>
      </c>
    </row>
    <row r="3379" spans="1:13" hidden="1">
      <c r="A3379" s="40">
        <f t="shared" si="56"/>
        <v>3378</v>
      </c>
      <c r="B3379" s="34" t="s">
        <v>8</v>
      </c>
      <c r="C3379" s="34" t="s">
        <v>12389</v>
      </c>
      <c r="D3379" s="8" t="s">
        <v>12395</v>
      </c>
      <c r="G3379" s="34" t="s">
        <v>8537</v>
      </c>
      <c r="H3379" s="34" t="str">
        <f>IFERROR(VLOOKUP(Table2[[#This Row], [Ticket]],Okey!A:B,2,0),"")</f>
        <v>ok</v>
      </c>
      <c r="I3379" s="34" t="s">
        <v>12298</v>
      </c>
      <c r="J3379" s="34" t="str">
        <f>VLOOKUP(Table2[[#This Row],[Author]],People!A:B,2,0)</f>
        <v>LS</v>
      </c>
      <c r="K3379" s="34" t="s">
        <v>12788</v>
      </c>
      <c r="L3379" s="34"/>
      <c r="M3379" s="34" t="s">
        <v>12404</v>
      </c>
    </row>
    <row r="3380" spans="1:13" hidden="1">
      <c r="A3380" s="40">
        <f t="shared" si="56"/>
        <v>3379</v>
      </c>
      <c r="B3380" s="34" t="s">
        <v>8</v>
      </c>
      <c r="C3380" s="34" t="s">
        <v>12389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12298</v>
      </c>
      <c r="J3380" s="34" t="str">
        <f>VLOOKUP(Table2[[#This Row],[Author]],People!A:B,2,0)</f>
        <v>LS</v>
      </c>
      <c r="K3380" s="34" t="s">
        <v>12788</v>
      </c>
      <c r="L3380" s="34"/>
      <c r="M3380" s="34" t="s">
        <v>12404</v>
      </c>
    </row>
    <row r="3381" spans="1:13" hidden="1">
      <c r="A3381" s="40">
        <f t="shared" si="56"/>
        <v>3380</v>
      </c>
      <c r="B3381" s="34" t="s">
        <v>8</v>
      </c>
      <c r="C3381" s="34" t="s">
        <v>12389</v>
      </c>
      <c r="D3381" s="8" t="s">
        <v>12396</v>
      </c>
      <c r="G3381" s="34" t="s">
        <v>8537</v>
      </c>
      <c r="H3381" s="34" t="str">
        <f>IFERROR(VLOOKUP(Table2[[#This Row], [Ticket]],Okey!A:B,2,0),"")</f>
        <v>ok</v>
      </c>
      <c r="I3381" s="34" t="s">
        <v>12298</v>
      </c>
      <c r="J3381" s="34" t="str">
        <f>VLOOKUP(Table2[[#This Row],[Author]],People!A:B,2,0)</f>
        <v>LS</v>
      </c>
      <c r="K3381" s="34" t="s">
        <v>12788</v>
      </c>
      <c r="L3381" s="34"/>
      <c r="M3381" s="34" t="s">
        <v>12404</v>
      </c>
    </row>
    <row r="3382" spans="1:13" hidden="1">
      <c r="A3382" s="40">
        <f t="shared" si="56"/>
        <v>3381</v>
      </c>
      <c r="B3382" s="34" t="s">
        <v>8</v>
      </c>
      <c r="C3382" s="34" t="s">
        <v>12389</v>
      </c>
      <c r="D3382" s="8" t="s">
        <v>8303</v>
      </c>
      <c r="E3382" s="8" t="s">
        <v>12398</v>
      </c>
      <c r="G3382" s="8" t="s">
        <v>15</v>
      </c>
      <c r="H3382" s="34" t="str">
        <f>IFERROR(VLOOKUP(Table2[[#This Row], [Ticket]],Okey!A:B,2,0),"")</f>
        <v>ok</v>
      </c>
      <c r="I3382" s="34" t="s">
        <v>12298</v>
      </c>
      <c r="J3382" s="34" t="str">
        <f>VLOOKUP(Table2[[#This Row],[Author]],People!A:B,2,0)</f>
        <v>LS</v>
      </c>
      <c r="K3382" s="34" t="s">
        <v>12788</v>
      </c>
      <c r="L3382" s="34"/>
      <c r="M3382" s="34" t="s">
        <v>12404</v>
      </c>
    </row>
    <row r="3383" spans="1:13" hidden="1">
      <c r="A3383" s="40">
        <f t="shared" si="56"/>
        <v>3382</v>
      </c>
      <c r="B3383" s="34" t="s">
        <v>8</v>
      </c>
      <c r="C3383" s="34" t="s">
        <v>12389</v>
      </c>
      <c r="D3383" s="8" t="s">
        <v>8426</v>
      </c>
      <c r="E3383" s="8" t="s">
        <v>12399</v>
      </c>
      <c r="G3383" s="34" t="s">
        <v>15</v>
      </c>
      <c r="H3383" s="34" t="str">
        <f>IFERROR(VLOOKUP(Table2[[#This Row], [Ticket]],Okey!A:B,2,0),"")</f>
        <v>ok</v>
      </c>
      <c r="I3383" s="34" t="s">
        <v>12298</v>
      </c>
      <c r="J3383" s="34" t="str">
        <f>VLOOKUP(Table2[[#This Row],[Author]],People!A:B,2,0)</f>
        <v>LS</v>
      </c>
      <c r="K3383" s="34" t="s">
        <v>12788</v>
      </c>
      <c r="L3383" s="34"/>
      <c r="M3383" s="34" t="s">
        <v>12404</v>
      </c>
    </row>
    <row r="3384" spans="1:13" hidden="1">
      <c r="A3384" s="40">
        <f t="shared" si="56"/>
        <v>3383</v>
      </c>
      <c r="B3384" s="34" t="s">
        <v>8</v>
      </c>
      <c r="C3384" s="34" t="s">
        <v>12389</v>
      </c>
      <c r="D3384" s="8" t="s">
        <v>8595</v>
      </c>
      <c r="E3384" s="8" t="s">
        <v>12400</v>
      </c>
      <c r="G3384" s="34" t="s">
        <v>15</v>
      </c>
      <c r="H3384" s="34" t="str">
        <f>IFERROR(VLOOKUP(Table2[[#This Row], [Ticket]],Okey!A:B,2,0),"")</f>
        <v>ok</v>
      </c>
      <c r="I3384" s="34" t="s">
        <v>12298</v>
      </c>
      <c r="J3384" s="34" t="str">
        <f>VLOOKUP(Table2[[#This Row],[Author]],People!A:B,2,0)</f>
        <v>LS</v>
      </c>
      <c r="K3384" s="34" t="s">
        <v>12788</v>
      </c>
      <c r="L3384" s="34"/>
      <c r="M3384" s="34" t="s">
        <v>12404</v>
      </c>
    </row>
    <row r="3385" spans="1:13" hidden="1">
      <c r="A3385" s="40">
        <f t="shared" si="56"/>
        <v>3384</v>
      </c>
      <c r="B3385" s="34" t="s">
        <v>8</v>
      </c>
      <c r="C3385" s="34" t="s">
        <v>12389</v>
      </c>
      <c r="D3385" s="8" t="s">
        <v>8596</v>
      </c>
      <c r="E3385" s="8" t="s">
        <v>12401</v>
      </c>
      <c r="G3385" s="34" t="s">
        <v>15</v>
      </c>
      <c r="H3385" s="34" t="str">
        <f>IFERROR(VLOOKUP(Table2[[#This Row], [Ticket]],Okey!A:B,2,0),"")</f>
        <v>ok</v>
      </c>
      <c r="I3385" s="34" t="s">
        <v>12298</v>
      </c>
      <c r="J3385" s="34" t="str">
        <f>VLOOKUP(Table2[[#This Row],[Author]],People!A:B,2,0)</f>
        <v>LS</v>
      </c>
      <c r="K3385" s="34" t="s">
        <v>12788</v>
      </c>
      <c r="L3385" s="34"/>
      <c r="M3385" s="34" t="s">
        <v>12404</v>
      </c>
    </row>
    <row r="3386" spans="1:13" hidden="1">
      <c r="A3386" s="40">
        <f t="shared" si="56"/>
        <v>3385</v>
      </c>
      <c r="B3386" s="34" t="s">
        <v>8</v>
      </c>
      <c r="C3386" s="34" t="s">
        <v>12389</v>
      </c>
      <c r="D3386" s="8" t="s">
        <v>8599</v>
      </c>
      <c r="E3386" s="8" t="s">
        <v>12402</v>
      </c>
      <c r="G3386" s="34" t="s">
        <v>15</v>
      </c>
      <c r="H3386" s="34" t="str">
        <f>IFERROR(VLOOKUP(Table2[[#This Row], [Ticket]],Okey!A:B,2,0),"")</f>
        <v>ok</v>
      </c>
      <c r="I3386" s="34" t="s">
        <v>12298</v>
      </c>
      <c r="J3386" s="34" t="str">
        <f>VLOOKUP(Table2[[#This Row],[Author]],People!A:B,2,0)</f>
        <v>LS</v>
      </c>
      <c r="K3386" s="34" t="s">
        <v>12788</v>
      </c>
      <c r="L3386" s="34"/>
      <c r="M3386" s="34" t="s">
        <v>12404</v>
      </c>
    </row>
    <row r="3387" spans="1:13" hidden="1">
      <c r="A3387" s="40">
        <f t="shared" si="56"/>
        <v>3386</v>
      </c>
      <c r="B3387" s="34" t="s">
        <v>8</v>
      </c>
      <c r="C3387" s="34" t="s">
        <v>12389</v>
      </c>
      <c r="D3387" s="8" t="s">
        <v>12397</v>
      </c>
      <c r="E3387" s="8" t="s">
        <v>12403</v>
      </c>
      <c r="G3387" s="34" t="s">
        <v>15</v>
      </c>
      <c r="H3387" s="34" t="str">
        <f>IFERROR(VLOOKUP(Table2[[#This Row], [Ticket]],Okey!A:B,2,0),"")</f>
        <v>ok</v>
      </c>
      <c r="I3387" s="34" t="s">
        <v>12298</v>
      </c>
      <c r="J3387" s="34" t="str">
        <f>VLOOKUP(Table2[[#This Row],[Author]],People!A:B,2,0)</f>
        <v>LS</v>
      </c>
      <c r="K3387" s="34" t="s">
        <v>12788</v>
      </c>
      <c r="L3387" s="34"/>
      <c r="M3387" s="34" t="s">
        <v>12404</v>
      </c>
    </row>
    <row r="3388" spans="1:13" hidden="1">
      <c r="A3388" s="40">
        <f t="shared" si="56"/>
        <v>3387</v>
      </c>
      <c r="B3388" s="34" t="s">
        <v>8</v>
      </c>
      <c r="C3388" s="8" t="s">
        <v>12405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12298</v>
      </c>
      <c r="J3388" s="34" t="str">
        <f>VLOOKUP(Table2[[#This Row],[Author]],People!A:B,2,0)</f>
        <v>LS</v>
      </c>
      <c r="K3388" s="34" t="s">
        <v>12788</v>
      </c>
      <c r="L3388" s="34"/>
      <c r="M3388" s="34" t="s">
        <v>12404</v>
      </c>
    </row>
    <row r="3389" spans="1:13" hidden="1">
      <c r="A3389" s="40">
        <f t="shared" si="56"/>
        <v>3388</v>
      </c>
      <c r="B3389" s="34" t="s">
        <v>8</v>
      </c>
      <c r="C3389" s="34" t="s">
        <v>12405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12298</v>
      </c>
      <c r="J3389" s="34" t="str">
        <f>VLOOKUP(Table2[[#This Row],[Author]],People!A:B,2,0)</f>
        <v>LS</v>
      </c>
      <c r="K3389" s="34" t="s">
        <v>12788</v>
      </c>
      <c r="L3389" s="34"/>
      <c r="M3389" s="34" t="s">
        <v>12404</v>
      </c>
    </row>
    <row r="3390" spans="1:13" hidden="1">
      <c r="A3390" s="40">
        <f t="shared" ref="A3390:A3453" si="57">1+A3389</f>
        <v>3389</v>
      </c>
      <c r="B3390" s="34" t="s">
        <v>8</v>
      </c>
      <c r="C3390" s="34" t="s">
        <v>12405</v>
      </c>
      <c r="D3390" s="8" t="s">
        <v>12390</v>
      </c>
      <c r="G3390" s="34" t="s">
        <v>8537</v>
      </c>
      <c r="H3390" s="34" t="str">
        <f>IFERROR(VLOOKUP(Table2[[#This Row], [Ticket]],Okey!A:B,2,0),"")</f>
        <v>ok</v>
      </c>
      <c r="I3390" s="34" t="s">
        <v>12298</v>
      </c>
      <c r="J3390" s="34" t="str">
        <f>VLOOKUP(Table2[[#This Row],[Author]],People!A:B,2,0)</f>
        <v>LS</v>
      </c>
      <c r="K3390" s="34" t="s">
        <v>12788</v>
      </c>
      <c r="L3390" s="34"/>
      <c r="M3390" s="34" t="s">
        <v>12404</v>
      </c>
    </row>
    <row r="3391" spans="1:13" hidden="1">
      <c r="A3391" s="40">
        <f t="shared" si="57"/>
        <v>3390</v>
      </c>
      <c r="B3391" s="34" t="s">
        <v>8</v>
      </c>
      <c r="C3391" s="34" t="s">
        <v>12405</v>
      </c>
      <c r="D3391" s="8" t="s">
        <v>12391</v>
      </c>
      <c r="G3391" s="34" t="s">
        <v>8537</v>
      </c>
      <c r="H3391" s="34" t="str">
        <f>IFERROR(VLOOKUP(Table2[[#This Row], [Ticket]],Okey!A:B,2,0),"")</f>
        <v>ok</v>
      </c>
      <c r="I3391" s="34" t="s">
        <v>12298</v>
      </c>
      <c r="J3391" s="34" t="str">
        <f>VLOOKUP(Table2[[#This Row],[Author]],People!A:B,2,0)</f>
        <v>LS</v>
      </c>
      <c r="K3391" s="34" t="s">
        <v>12788</v>
      </c>
      <c r="L3391" s="34"/>
      <c r="M3391" s="34" t="s">
        <v>12404</v>
      </c>
    </row>
    <row r="3392" spans="1:13" hidden="1">
      <c r="A3392" s="40">
        <f t="shared" si="57"/>
        <v>3391</v>
      </c>
      <c r="B3392" s="34" t="s">
        <v>8</v>
      </c>
      <c r="C3392" s="34" t="s">
        <v>12405</v>
      </c>
      <c r="D3392" s="8" t="s">
        <v>12392</v>
      </c>
      <c r="G3392" s="34" t="s">
        <v>8537</v>
      </c>
      <c r="H3392" s="34" t="str">
        <f>IFERROR(VLOOKUP(Table2[[#This Row], [Ticket]],Okey!A:B,2,0),"")</f>
        <v>ok</v>
      </c>
      <c r="I3392" s="34" t="s">
        <v>12298</v>
      </c>
      <c r="J3392" s="34" t="str">
        <f>VLOOKUP(Table2[[#This Row],[Author]],People!A:B,2,0)</f>
        <v>LS</v>
      </c>
      <c r="K3392" s="34" t="s">
        <v>12788</v>
      </c>
      <c r="L3392" s="34"/>
      <c r="M3392" s="34" t="s">
        <v>12404</v>
      </c>
    </row>
    <row r="3393" spans="1:13" hidden="1">
      <c r="A3393" s="40">
        <f t="shared" si="57"/>
        <v>3392</v>
      </c>
      <c r="B3393" s="34" t="s">
        <v>8</v>
      </c>
      <c r="C3393" s="34" t="s">
        <v>12405</v>
      </c>
      <c r="D3393" s="8" t="s">
        <v>12393</v>
      </c>
      <c r="G3393" s="34" t="s">
        <v>8537</v>
      </c>
      <c r="H3393" s="34" t="str">
        <f>IFERROR(VLOOKUP(Table2[[#This Row], [Ticket]],Okey!A:B,2,0),"")</f>
        <v>ok</v>
      </c>
      <c r="I3393" s="34" t="s">
        <v>12298</v>
      </c>
      <c r="J3393" s="34" t="str">
        <f>VLOOKUP(Table2[[#This Row],[Author]],People!A:B,2,0)</f>
        <v>LS</v>
      </c>
      <c r="K3393" s="34" t="s">
        <v>12788</v>
      </c>
      <c r="L3393" s="34"/>
      <c r="M3393" s="34" t="s">
        <v>12404</v>
      </c>
    </row>
    <row r="3394" spans="1:13" hidden="1">
      <c r="A3394" s="40">
        <f t="shared" si="57"/>
        <v>3393</v>
      </c>
      <c r="B3394" s="34" t="s">
        <v>8</v>
      </c>
      <c r="C3394" s="34" t="s">
        <v>12405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12298</v>
      </c>
      <c r="J3394" s="34" t="str">
        <f>VLOOKUP(Table2[[#This Row],[Author]],People!A:B,2,0)</f>
        <v>LS</v>
      </c>
      <c r="K3394" s="34" t="s">
        <v>12788</v>
      </c>
      <c r="L3394" s="34"/>
      <c r="M3394" s="34" t="s">
        <v>12404</v>
      </c>
    </row>
    <row r="3395" spans="1:13" hidden="1">
      <c r="A3395" s="40">
        <f t="shared" si="57"/>
        <v>3394</v>
      </c>
      <c r="B3395" s="34" t="s">
        <v>8</v>
      </c>
      <c r="C3395" s="34" t="s">
        <v>12405</v>
      </c>
      <c r="D3395" s="8" t="s">
        <v>12394</v>
      </c>
      <c r="G3395" s="34" t="s">
        <v>8537</v>
      </c>
      <c r="H3395" s="34" t="str">
        <f>IFERROR(VLOOKUP(Table2[[#This Row], [Ticket]],Okey!A:B,2,0),"")</f>
        <v>ok</v>
      </c>
      <c r="I3395" s="34" t="s">
        <v>12298</v>
      </c>
      <c r="J3395" s="34" t="str">
        <f>VLOOKUP(Table2[[#This Row],[Author]],People!A:B,2,0)</f>
        <v>LS</v>
      </c>
      <c r="K3395" s="34" t="s">
        <v>12788</v>
      </c>
      <c r="L3395" s="34"/>
      <c r="M3395" s="34" t="s">
        <v>12404</v>
      </c>
    </row>
    <row r="3396" spans="1:13" hidden="1">
      <c r="A3396" s="40">
        <f t="shared" si="57"/>
        <v>3395</v>
      </c>
      <c r="B3396" s="34" t="s">
        <v>8</v>
      </c>
      <c r="C3396" s="34" t="s">
        <v>12405</v>
      </c>
      <c r="D3396" s="8" t="s">
        <v>12395</v>
      </c>
      <c r="G3396" s="34" t="s">
        <v>8537</v>
      </c>
      <c r="H3396" s="34" t="str">
        <f>IFERROR(VLOOKUP(Table2[[#This Row], [Ticket]],Okey!A:B,2,0),"")</f>
        <v>ok</v>
      </c>
      <c r="I3396" s="34" t="s">
        <v>12298</v>
      </c>
      <c r="J3396" s="34" t="str">
        <f>VLOOKUP(Table2[[#This Row],[Author]],People!A:B,2,0)</f>
        <v>LS</v>
      </c>
      <c r="K3396" s="34" t="s">
        <v>12788</v>
      </c>
      <c r="L3396" s="34"/>
      <c r="M3396" s="34" t="s">
        <v>12404</v>
      </c>
    </row>
    <row r="3397" spans="1:13" hidden="1">
      <c r="A3397" s="40">
        <f t="shared" si="57"/>
        <v>3396</v>
      </c>
      <c r="B3397" s="34" t="s">
        <v>8</v>
      </c>
      <c r="C3397" s="34" t="s">
        <v>12405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12298</v>
      </c>
      <c r="J3397" s="34" t="str">
        <f>VLOOKUP(Table2[[#This Row],[Author]],People!A:B,2,0)</f>
        <v>LS</v>
      </c>
      <c r="K3397" s="34" t="s">
        <v>12788</v>
      </c>
      <c r="L3397" s="34"/>
      <c r="M3397" s="34" t="s">
        <v>12404</v>
      </c>
    </row>
    <row r="3398" spans="1:13" hidden="1">
      <c r="A3398" s="40">
        <f t="shared" si="57"/>
        <v>3397</v>
      </c>
      <c r="B3398" s="34" t="s">
        <v>8</v>
      </c>
      <c r="C3398" s="34" t="s">
        <v>12405</v>
      </c>
      <c r="D3398" s="8" t="s">
        <v>12396</v>
      </c>
      <c r="G3398" s="34" t="s">
        <v>8537</v>
      </c>
      <c r="H3398" s="34" t="str">
        <f>IFERROR(VLOOKUP(Table2[[#This Row], [Ticket]],Okey!A:B,2,0),"")</f>
        <v>ok</v>
      </c>
      <c r="I3398" s="34" t="s">
        <v>12298</v>
      </c>
      <c r="J3398" s="34" t="str">
        <f>VLOOKUP(Table2[[#This Row],[Author]],People!A:B,2,0)</f>
        <v>LS</v>
      </c>
      <c r="K3398" s="34" t="s">
        <v>12788</v>
      </c>
      <c r="L3398" s="34"/>
      <c r="M3398" s="34" t="s">
        <v>12404</v>
      </c>
    </row>
    <row r="3399" spans="1:13" hidden="1">
      <c r="A3399" s="40">
        <f t="shared" si="57"/>
        <v>3398</v>
      </c>
      <c r="B3399" s="34" t="s">
        <v>8</v>
      </c>
      <c r="C3399" s="34" t="s">
        <v>12405</v>
      </c>
      <c r="D3399" s="8" t="s">
        <v>8303</v>
      </c>
      <c r="E3399" s="8" t="s">
        <v>12398</v>
      </c>
      <c r="G3399" s="8" t="s">
        <v>15</v>
      </c>
      <c r="H3399" s="34" t="str">
        <f>IFERROR(VLOOKUP(Table2[[#This Row], [Ticket]],Okey!A:B,2,0),"")</f>
        <v>ok</v>
      </c>
      <c r="I3399" s="34" t="s">
        <v>12298</v>
      </c>
      <c r="J3399" s="34" t="str">
        <f>VLOOKUP(Table2[[#This Row],[Author]],People!A:B,2,0)</f>
        <v>LS</v>
      </c>
      <c r="K3399" s="34" t="s">
        <v>12788</v>
      </c>
      <c r="L3399" s="34"/>
      <c r="M3399" s="34" t="s">
        <v>12404</v>
      </c>
    </row>
    <row r="3400" spans="1:13" hidden="1">
      <c r="A3400" s="40">
        <f t="shared" si="57"/>
        <v>3399</v>
      </c>
      <c r="B3400" s="34" t="s">
        <v>8</v>
      </c>
      <c r="C3400" s="34" t="s">
        <v>12405</v>
      </c>
      <c r="D3400" s="8" t="s">
        <v>8426</v>
      </c>
      <c r="E3400" s="8" t="s">
        <v>12399</v>
      </c>
      <c r="G3400" s="34" t="s">
        <v>15</v>
      </c>
      <c r="H3400" s="34" t="str">
        <f>IFERROR(VLOOKUP(Table2[[#This Row], [Ticket]],Okey!A:B,2,0),"")</f>
        <v>ok</v>
      </c>
      <c r="I3400" s="34" t="s">
        <v>12298</v>
      </c>
      <c r="J3400" s="34" t="str">
        <f>VLOOKUP(Table2[[#This Row],[Author]],People!A:B,2,0)</f>
        <v>LS</v>
      </c>
      <c r="K3400" s="34" t="s">
        <v>12788</v>
      </c>
      <c r="L3400" s="34"/>
      <c r="M3400" s="34" t="s">
        <v>12404</v>
      </c>
    </row>
    <row r="3401" spans="1:13" hidden="1">
      <c r="A3401" s="40">
        <f t="shared" si="57"/>
        <v>3400</v>
      </c>
      <c r="B3401" s="34" t="s">
        <v>8</v>
      </c>
      <c r="C3401" s="34" t="s">
        <v>12405</v>
      </c>
      <c r="D3401" s="8" t="s">
        <v>8595</v>
      </c>
      <c r="E3401" s="8" t="s">
        <v>12400</v>
      </c>
      <c r="G3401" s="34" t="s">
        <v>15</v>
      </c>
      <c r="H3401" s="34" t="str">
        <f>IFERROR(VLOOKUP(Table2[[#This Row], [Ticket]],Okey!A:B,2,0),"")</f>
        <v>ok</v>
      </c>
      <c r="I3401" s="34" t="s">
        <v>12298</v>
      </c>
      <c r="J3401" s="34" t="str">
        <f>VLOOKUP(Table2[[#This Row],[Author]],People!A:B,2,0)</f>
        <v>LS</v>
      </c>
      <c r="K3401" s="34" t="s">
        <v>12788</v>
      </c>
      <c r="L3401" s="34"/>
      <c r="M3401" s="34" t="s">
        <v>12404</v>
      </c>
    </row>
    <row r="3402" spans="1:13" hidden="1">
      <c r="A3402" s="40">
        <f t="shared" si="57"/>
        <v>3401</v>
      </c>
      <c r="B3402" s="34" t="s">
        <v>8</v>
      </c>
      <c r="C3402" s="34" t="s">
        <v>12405</v>
      </c>
      <c r="D3402" s="8" t="s">
        <v>8596</v>
      </c>
      <c r="E3402" s="8" t="s">
        <v>12401</v>
      </c>
      <c r="G3402" s="34" t="s">
        <v>15</v>
      </c>
      <c r="H3402" s="34" t="str">
        <f>IFERROR(VLOOKUP(Table2[[#This Row], [Ticket]],Okey!A:B,2,0),"")</f>
        <v>ok</v>
      </c>
      <c r="I3402" s="34" t="s">
        <v>12298</v>
      </c>
      <c r="J3402" s="34" t="str">
        <f>VLOOKUP(Table2[[#This Row],[Author]],People!A:B,2,0)</f>
        <v>LS</v>
      </c>
      <c r="K3402" s="34" t="s">
        <v>12788</v>
      </c>
      <c r="L3402" s="34"/>
      <c r="M3402" s="34" t="s">
        <v>12404</v>
      </c>
    </row>
    <row r="3403" spans="1:13" hidden="1">
      <c r="A3403" s="40">
        <f t="shared" si="57"/>
        <v>3402</v>
      </c>
      <c r="B3403" s="34" t="s">
        <v>8</v>
      </c>
      <c r="C3403" s="34" t="s">
        <v>12405</v>
      </c>
      <c r="D3403" s="8" t="s">
        <v>8599</v>
      </c>
      <c r="E3403" s="8" t="s">
        <v>12402</v>
      </c>
      <c r="G3403" s="34" t="s">
        <v>15</v>
      </c>
      <c r="H3403" s="34" t="str">
        <f>IFERROR(VLOOKUP(Table2[[#This Row], [Ticket]],Okey!A:B,2,0),"")</f>
        <v>ok</v>
      </c>
      <c r="I3403" s="34" t="s">
        <v>12298</v>
      </c>
      <c r="J3403" s="34" t="str">
        <f>VLOOKUP(Table2[[#This Row],[Author]],People!A:B,2,0)</f>
        <v>LS</v>
      </c>
      <c r="K3403" s="34" t="s">
        <v>12788</v>
      </c>
      <c r="L3403" s="34"/>
      <c r="M3403" s="34" t="s">
        <v>12404</v>
      </c>
    </row>
    <row r="3404" spans="1:13" hidden="1">
      <c r="A3404" s="40">
        <f t="shared" si="57"/>
        <v>3403</v>
      </c>
      <c r="B3404" s="34" t="s">
        <v>8</v>
      </c>
      <c r="C3404" s="34" t="s">
        <v>12405</v>
      </c>
      <c r="D3404" s="8" t="s">
        <v>12397</v>
      </c>
      <c r="E3404" s="8" t="s">
        <v>12403</v>
      </c>
      <c r="G3404" s="34" t="s">
        <v>15</v>
      </c>
      <c r="H3404" s="34" t="str">
        <f>IFERROR(VLOOKUP(Table2[[#This Row], [Ticket]],Okey!A:B,2,0),"")</f>
        <v>ok</v>
      </c>
      <c r="I3404" s="34" t="s">
        <v>12298</v>
      </c>
      <c r="J3404" s="34" t="str">
        <f>VLOOKUP(Table2[[#This Row],[Author]],People!A:B,2,0)</f>
        <v>LS</v>
      </c>
      <c r="K3404" s="34" t="s">
        <v>12788</v>
      </c>
      <c r="L3404" s="34"/>
      <c r="M3404" s="34" t="s">
        <v>12404</v>
      </c>
    </row>
    <row r="3405" spans="1:13" hidden="1">
      <c r="A3405" s="40">
        <f t="shared" si="57"/>
        <v>3404</v>
      </c>
      <c r="B3405" s="34" t="s">
        <v>8</v>
      </c>
      <c r="C3405" s="8" t="s">
        <v>12406</v>
      </c>
      <c r="D3405" s="8" t="s">
        <v>12579</v>
      </c>
      <c r="E3405" s="8" t="s">
        <v>12407</v>
      </c>
      <c r="F3405" s="8" t="s">
        <v>1129</v>
      </c>
      <c r="G3405" s="8" t="s">
        <v>14</v>
      </c>
      <c r="H3405" s="34" t="str">
        <f>IFERROR(VLOOKUP(Table2[[#This Row], [Ticket]],Okey!A:B,2,0),"")</f>
        <v/>
      </c>
      <c r="I3405" s="34"/>
      <c r="J3405" s="34" t="str">
        <f>VLOOKUP(Table2[[#This Row],[Author]],People!A:B,2,0)</f>
        <v>HC</v>
      </c>
      <c r="K3405" s="8" t="s">
        <v>12787</v>
      </c>
      <c r="L3405" s="34"/>
      <c r="M3405" s="34" t="s">
        <v>9000</v>
      </c>
    </row>
    <row r="3406" spans="1:13" hidden="1">
      <c r="A3406" s="40">
        <f t="shared" si="57"/>
        <v>3405</v>
      </c>
      <c r="B3406" s="34" t="s">
        <v>8</v>
      </c>
      <c r="C3406" s="34" t="s">
        <v>12406</v>
      </c>
      <c r="D3406" s="8" t="s">
        <v>12580</v>
      </c>
      <c r="E3406" s="8" t="s">
        <v>12408</v>
      </c>
      <c r="F3406" s="8" t="s">
        <v>12579</v>
      </c>
      <c r="G3406" s="34" t="s">
        <v>14</v>
      </c>
      <c r="H3406" s="34" t="str">
        <f>IFERROR(VLOOKUP(Table2[[#This Row], [Ticket]],Okey!A:B,2,0),"")</f>
        <v/>
      </c>
      <c r="I3406" s="34"/>
      <c r="J3406" s="34" t="str">
        <f>VLOOKUP(Table2[[#This Row],[Author]],People!A:B,2,0)</f>
        <v>HC</v>
      </c>
      <c r="K3406" s="34" t="s">
        <v>12787</v>
      </c>
      <c r="L3406" s="34"/>
      <c r="M3406" s="34" t="s">
        <v>9000</v>
      </c>
    </row>
    <row r="3407" spans="1:13" hidden="1">
      <c r="A3407" s="40">
        <f t="shared" si="57"/>
        <v>3406</v>
      </c>
      <c r="B3407" s="34" t="s">
        <v>8</v>
      </c>
      <c r="C3407" s="34" t="s">
        <v>12406</v>
      </c>
      <c r="D3407" s="8" t="s">
        <v>12581</v>
      </c>
      <c r="E3407" s="8" t="s">
        <v>12409</v>
      </c>
      <c r="F3407" s="8" t="s">
        <v>12579</v>
      </c>
      <c r="G3407" s="34" t="s">
        <v>14</v>
      </c>
      <c r="H3407" s="34" t="str">
        <f>IFERROR(VLOOKUP(Table2[[#This Row], [Ticket]],Okey!A:B,2,0),"")</f>
        <v/>
      </c>
      <c r="I3407" s="34"/>
      <c r="J3407" s="34" t="str">
        <f>VLOOKUP(Table2[[#This Row],[Author]],People!A:B,2,0)</f>
        <v>HC</v>
      </c>
      <c r="K3407" s="34" t="s">
        <v>12787</v>
      </c>
      <c r="L3407" s="34"/>
      <c r="M3407" s="34" t="s">
        <v>9000</v>
      </c>
    </row>
    <row r="3408" spans="1:13" hidden="1">
      <c r="A3408" s="40">
        <f t="shared" si="57"/>
        <v>3407</v>
      </c>
      <c r="B3408" s="34" t="s">
        <v>8</v>
      </c>
      <c r="C3408" s="34" t="s">
        <v>12406</v>
      </c>
      <c r="D3408" s="8" t="s">
        <v>12582</v>
      </c>
      <c r="E3408" s="8" t="s">
        <v>12410</v>
      </c>
      <c r="F3408" s="8" t="s">
        <v>12579</v>
      </c>
      <c r="G3408" s="34" t="s">
        <v>14</v>
      </c>
      <c r="H3408" s="34" t="str">
        <f>IFERROR(VLOOKUP(Table2[[#This Row], [Ticket]],Okey!A:B,2,0),"")</f>
        <v/>
      </c>
      <c r="I3408" s="34"/>
      <c r="J3408" s="34" t="str">
        <f>VLOOKUP(Table2[[#This Row],[Author]],People!A:B,2,0)</f>
        <v>HC</v>
      </c>
      <c r="K3408" s="34" t="s">
        <v>12787</v>
      </c>
      <c r="L3408" s="34"/>
      <c r="M3408" s="34" t="s">
        <v>9000</v>
      </c>
    </row>
    <row r="3409" spans="1:13" hidden="1">
      <c r="A3409" s="40">
        <f t="shared" si="57"/>
        <v>3408</v>
      </c>
      <c r="B3409" s="34" t="s">
        <v>8</v>
      </c>
      <c r="C3409" s="34" t="s">
        <v>12406</v>
      </c>
      <c r="D3409" s="8" t="s">
        <v>12583</v>
      </c>
      <c r="E3409" s="8" t="s">
        <v>12411</v>
      </c>
      <c r="F3409" s="8" t="s">
        <v>12579</v>
      </c>
      <c r="G3409" s="34" t="s">
        <v>14</v>
      </c>
      <c r="H3409" s="34" t="str">
        <f>IFERROR(VLOOKUP(Table2[[#This Row], [Ticket]],Okey!A:B,2,0),"")</f>
        <v/>
      </c>
      <c r="I3409" s="34"/>
      <c r="J3409" s="34" t="str">
        <f>VLOOKUP(Table2[[#This Row],[Author]],People!A:B,2,0)</f>
        <v>HC</v>
      </c>
      <c r="K3409" s="34" t="s">
        <v>12787</v>
      </c>
      <c r="L3409" s="34"/>
      <c r="M3409" s="34" t="s">
        <v>9000</v>
      </c>
    </row>
    <row r="3410" spans="1:13" hidden="1">
      <c r="A3410" s="40">
        <f t="shared" si="57"/>
        <v>3409</v>
      </c>
      <c r="B3410" s="34" t="s">
        <v>8</v>
      </c>
      <c r="C3410" s="34" t="s">
        <v>12406</v>
      </c>
      <c r="D3410" s="8" t="s">
        <v>12584</v>
      </c>
      <c r="E3410" s="8" t="s">
        <v>12412</v>
      </c>
      <c r="F3410" s="8" t="s">
        <v>12579</v>
      </c>
      <c r="G3410" s="34" t="s">
        <v>14</v>
      </c>
      <c r="H3410" s="34" t="str">
        <f>IFERROR(VLOOKUP(Table2[[#This Row], [Ticket]],Okey!A:B,2,0),"")</f>
        <v/>
      </c>
      <c r="I3410" s="34"/>
      <c r="J3410" s="34" t="str">
        <f>VLOOKUP(Table2[[#This Row],[Author]],People!A:B,2,0)</f>
        <v>HC</v>
      </c>
      <c r="K3410" s="34" t="s">
        <v>12787</v>
      </c>
      <c r="L3410" s="34"/>
      <c r="M3410" s="34" t="s">
        <v>9000</v>
      </c>
    </row>
    <row r="3411" spans="1:13" hidden="1">
      <c r="A3411" s="40">
        <f t="shared" si="57"/>
        <v>3410</v>
      </c>
      <c r="B3411" s="34" t="s">
        <v>8</v>
      </c>
      <c r="C3411" s="34" t="s">
        <v>12406</v>
      </c>
      <c r="D3411" s="8" t="s">
        <v>12585</v>
      </c>
      <c r="E3411" s="8" t="s">
        <v>12413</v>
      </c>
      <c r="F3411" s="8" t="s">
        <v>12580</v>
      </c>
      <c r="G3411" s="34" t="s">
        <v>14</v>
      </c>
      <c r="H3411" s="34" t="str">
        <f>IFERROR(VLOOKUP(Table2[[#This Row], [Ticket]],Okey!A:B,2,0),"")</f>
        <v/>
      </c>
      <c r="I3411" s="34"/>
      <c r="J3411" s="34" t="str">
        <f>VLOOKUP(Table2[[#This Row],[Author]],People!A:B,2,0)</f>
        <v>HC</v>
      </c>
      <c r="K3411" s="34" t="s">
        <v>12787</v>
      </c>
      <c r="L3411" s="34"/>
      <c r="M3411" s="34" t="s">
        <v>9000</v>
      </c>
    </row>
    <row r="3412" spans="1:13" hidden="1">
      <c r="A3412" s="40">
        <f t="shared" si="57"/>
        <v>3411</v>
      </c>
      <c r="B3412" s="34" t="s">
        <v>8</v>
      </c>
      <c r="C3412" s="34" t="s">
        <v>12406</v>
      </c>
      <c r="D3412" s="8" t="s">
        <v>12586</v>
      </c>
      <c r="E3412" s="8" t="s">
        <v>12414</v>
      </c>
      <c r="F3412" s="8" t="s">
        <v>12581</v>
      </c>
      <c r="G3412" s="34" t="s">
        <v>14</v>
      </c>
      <c r="H3412" s="34" t="str">
        <f>IFERROR(VLOOKUP(Table2[[#This Row], [Ticket]],Okey!A:B,2,0),"")</f>
        <v/>
      </c>
      <c r="I3412" s="34"/>
      <c r="J3412" s="34" t="str">
        <f>VLOOKUP(Table2[[#This Row],[Author]],People!A:B,2,0)</f>
        <v>HC</v>
      </c>
      <c r="K3412" s="34" t="s">
        <v>12787</v>
      </c>
      <c r="L3412" s="34"/>
      <c r="M3412" s="34" t="s">
        <v>9000</v>
      </c>
    </row>
    <row r="3413" spans="1:13" hidden="1">
      <c r="A3413" s="40">
        <f t="shared" si="57"/>
        <v>3412</v>
      </c>
      <c r="B3413" s="34" t="s">
        <v>8</v>
      </c>
      <c r="C3413" s="34" t="s">
        <v>12406</v>
      </c>
      <c r="D3413" s="8" t="s">
        <v>12587</v>
      </c>
      <c r="E3413" s="8" t="s">
        <v>12415</v>
      </c>
      <c r="F3413" s="8" t="s">
        <v>12581</v>
      </c>
      <c r="G3413" s="34" t="s">
        <v>14</v>
      </c>
      <c r="H3413" s="34" t="str">
        <f>IFERROR(VLOOKUP(Table2[[#This Row], [Ticket]],Okey!A:B,2,0),"")</f>
        <v/>
      </c>
      <c r="I3413" s="34"/>
      <c r="J3413" s="34" t="str">
        <f>VLOOKUP(Table2[[#This Row],[Author]],People!A:B,2,0)</f>
        <v>HC</v>
      </c>
      <c r="K3413" s="34" t="s">
        <v>12787</v>
      </c>
      <c r="L3413" s="34"/>
      <c r="M3413" s="34" t="s">
        <v>9000</v>
      </c>
    </row>
    <row r="3414" spans="1:13" hidden="1">
      <c r="A3414" s="40">
        <f t="shared" si="57"/>
        <v>3413</v>
      </c>
      <c r="B3414" s="34" t="s">
        <v>8</v>
      </c>
      <c r="C3414" s="34" t="s">
        <v>12406</v>
      </c>
      <c r="D3414" s="8" t="s">
        <v>12588</v>
      </c>
      <c r="E3414" s="8" t="s">
        <v>12416</v>
      </c>
      <c r="F3414" s="8" t="s">
        <v>12581</v>
      </c>
      <c r="G3414" s="34" t="s">
        <v>14</v>
      </c>
      <c r="H3414" s="34" t="str">
        <f>IFERROR(VLOOKUP(Table2[[#This Row], [Ticket]],Okey!A:B,2,0),"")</f>
        <v/>
      </c>
      <c r="I3414" s="34"/>
      <c r="J3414" s="34" t="str">
        <f>VLOOKUP(Table2[[#This Row],[Author]],People!A:B,2,0)</f>
        <v>HC</v>
      </c>
      <c r="K3414" s="34" t="s">
        <v>12787</v>
      </c>
      <c r="L3414" s="34"/>
      <c r="M3414" s="34" t="s">
        <v>9000</v>
      </c>
    </row>
    <row r="3415" spans="1:13" hidden="1">
      <c r="A3415" s="40">
        <f t="shared" si="57"/>
        <v>3414</v>
      </c>
      <c r="B3415" s="34" t="s">
        <v>8</v>
      </c>
      <c r="C3415" s="34" t="s">
        <v>12406</v>
      </c>
      <c r="D3415" s="8" t="s">
        <v>12589</v>
      </c>
      <c r="E3415" s="8" t="s">
        <v>12417</v>
      </c>
      <c r="F3415" s="8" t="s">
        <v>12582</v>
      </c>
      <c r="G3415" s="34" t="s">
        <v>14</v>
      </c>
      <c r="H3415" s="34" t="str">
        <f>IFERROR(VLOOKUP(Table2[[#This Row], [Ticket]],Okey!A:B,2,0),"")</f>
        <v/>
      </c>
      <c r="I3415" s="34"/>
      <c r="J3415" s="34" t="str">
        <f>VLOOKUP(Table2[[#This Row],[Author]],People!A:B,2,0)</f>
        <v>HC</v>
      </c>
      <c r="K3415" s="34" t="s">
        <v>12787</v>
      </c>
      <c r="L3415" s="34"/>
      <c r="M3415" s="34" t="s">
        <v>9000</v>
      </c>
    </row>
    <row r="3416" spans="1:13" hidden="1">
      <c r="A3416" s="40">
        <f t="shared" si="57"/>
        <v>3415</v>
      </c>
      <c r="B3416" s="34" t="s">
        <v>8</v>
      </c>
      <c r="C3416" s="34" t="s">
        <v>12406</v>
      </c>
      <c r="D3416" s="8" t="s">
        <v>12590</v>
      </c>
      <c r="E3416" s="8" t="s">
        <v>12418</v>
      </c>
      <c r="F3416" s="8" t="s">
        <v>12582</v>
      </c>
      <c r="G3416" s="34" t="s">
        <v>14</v>
      </c>
      <c r="H3416" s="34" t="str">
        <f>IFERROR(VLOOKUP(Table2[[#This Row], [Ticket]],Okey!A:B,2,0),"")</f>
        <v/>
      </c>
      <c r="I3416" s="34"/>
      <c r="J3416" s="34" t="str">
        <f>VLOOKUP(Table2[[#This Row],[Author]],People!A:B,2,0)</f>
        <v>HC</v>
      </c>
      <c r="K3416" s="34" t="s">
        <v>12787</v>
      </c>
      <c r="L3416" s="34"/>
      <c r="M3416" s="34" t="s">
        <v>9000</v>
      </c>
    </row>
    <row r="3417" spans="1:13" hidden="1">
      <c r="A3417" s="40">
        <f t="shared" si="57"/>
        <v>3416</v>
      </c>
      <c r="B3417" s="34" t="s">
        <v>8</v>
      </c>
      <c r="C3417" s="34" t="s">
        <v>12406</v>
      </c>
      <c r="D3417" s="8" t="s">
        <v>12591</v>
      </c>
      <c r="E3417" s="8" t="s">
        <v>12419</v>
      </c>
      <c r="F3417" s="8" t="s">
        <v>12583</v>
      </c>
      <c r="G3417" s="34" t="s">
        <v>14</v>
      </c>
      <c r="H3417" s="34" t="str">
        <f>IFERROR(VLOOKUP(Table2[[#This Row], [Ticket]],Okey!A:B,2,0),"")</f>
        <v/>
      </c>
      <c r="I3417" s="34"/>
      <c r="J3417" s="34" t="str">
        <f>VLOOKUP(Table2[[#This Row],[Author]],People!A:B,2,0)</f>
        <v>HC</v>
      </c>
      <c r="K3417" s="34" t="s">
        <v>12787</v>
      </c>
      <c r="L3417" s="34"/>
      <c r="M3417" s="34" t="s">
        <v>9000</v>
      </c>
    </row>
    <row r="3418" spans="1:13" hidden="1">
      <c r="A3418" s="40">
        <f t="shared" si="57"/>
        <v>3417</v>
      </c>
      <c r="B3418" s="34" t="s">
        <v>8</v>
      </c>
      <c r="C3418" s="34" t="s">
        <v>12406</v>
      </c>
      <c r="D3418" s="8" t="s">
        <v>12592</v>
      </c>
      <c r="E3418" s="8" t="s">
        <v>12420</v>
      </c>
      <c r="F3418" s="8" t="s">
        <v>12583</v>
      </c>
      <c r="G3418" s="34" t="s">
        <v>14</v>
      </c>
      <c r="H3418" s="34" t="str">
        <f>IFERROR(VLOOKUP(Table2[[#This Row], [Ticket]],Okey!A:B,2,0),"")</f>
        <v/>
      </c>
      <c r="I3418" s="34"/>
      <c r="J3418" s="34" t="str">
        <f>VLOOKUP(Table2[[#This Row],[Author]],People!A:B,2,0)</f>
        <v>HC</v>
      </c>
      <c r="K3418" s="34" t="s">
        <v>12787</v>
      </c>
      <c r="L3418" s="34"/>
      <c r="M3418" s="34" t="s">
        <v>9000</v>
      </c>
    </row>
    <row r="3419" spans="1:13" hidden="1">
      <c r="A3419" s="40">
        <f t="shared" si="57"/>
        <v>3418</v>
      </c>
      <c r="B3419" s="34" t="s">
        <v>8</v>
      </c>
      <c r="C3419" s="34" t="s">
        <v>12406</v>
      </c>
      <c r="D3419" s="8" t="s">
        <v>12593</v>
      </c>
      <c r="E3419" s="8" t="s">
        <v>12421</v>
      </c>
      <c r="F3419" s="8" t="s">
        <v>12585</v>
      </c>
      <c r="G3419" s="34" t="s">
        <v>14</v>
      </c>
      <c r="H3419" s="34" t="str">
        <f>IFERROR(VLOOKUP(Table2[[#This Row], [Ticket]],Okey!A:B,2,0),"")</f>
        <v/>
      </c>
      <c r="I3419" s="34"/>
      <c r="J3419" s="34" t="str">
        <f>VLOOKUP(Table2[[#This Row],[Author]],People!A:B,2,0)</f>
        <v>HC</v>
      </c>
      <c r="K3419" s="34" t="s">
        <v>12787</v>
      </c>
      <c r="L3419" s="34"/>
      <c r="M3419" s="34" t="s">
        <v>9000</v>
      </c>
    </row>
    <row r="3420" spans="1:13" hidden="1">
      <c r="A3420" s="40">
        <f t="shared" si="57"/>
        <v>3419</v>
      </c>
      <c r="B3420" s="34" t="s">
        <v>8</v>
      </c>
      <c r="C3420" s="34" t="s">
        <v>12406</v>
      </c>
      <c r="D3420" s="8" t="s">
        <v>12594</v>
      </c>
      <c r="E3420" s="8" t="s">
        <v>12422</v>
      </c>
      <c r="F3420" s="8" t="s">
        <v>12593</v>
      </c>
      <c r="G3420" s="34" t="s">
        <v>14</v>
      </c>
      <c r="H3420" s="34" t="str">
        <f>IFERROR(VLOOKUP(Table2[[#This Row], [Ticket]],Okey!A:B,2,0),"")</f>
        <v/>
      </c>
      <c r="I3420" s="34"/>
      <c r="J3420" s="34" t="str">
        <f>VLOOKUP(Table2[[#This Row],[Author]],People!A:B,2,0)</f>
        <v>HC</v>
      </c>
      <c r="K3420" s="34" t="s">
        <v>12787</v>
      </c>
      <c r="L3420" s="34"/>
      <c r="M3420" s="34" t="s">
        <v>9000</v>
      </c>
    </row>
    <row r="3421" spans="1:13" hidden="1">
      <c r="A3421" s="40">
        <f t="shared" si="57"/>
        <v>3420</v>
      </c>
      <c r="B3421" s="34" t="s">
        <v>8</v>
      </c>
      <c r="C3421" s="34" t="s">
        <v>12406</v>
      </c>
      <c r="D3421" s="8" t="s">
        <v>12595</v>
      </c>
      <c r="E3421" s="8" t="s">
        <v>12423</v>
      </c>
      <c r="F3421" s="8" t="s">
        <v>12593</v>
      </c>
      <c r="G3421" s="34" t="s">
        <v>14</v>
      </c>
      <c r="H3421" s="34" t="str">
        <f>IFERROR(VLOOKUP(Table2[[#This Row], [Ticket]],Okey!A:B,2,0),"")</f>
        <v/>
      </c>
      <c r="I3421" s="34"/>
      <c r="J3421" s="34" t="str">
        <f>VLOOKUP(Table2[[#This Row],[Author]],People!A:B,2,0)</f>
        <v>HC</v>
      </c>
      <c r="K3421" s="34" t="s">
        <v>12787</v>
      </c>
      <c r="L3421" s="34"/>
      <c r="M3421" s="34" t="s">
        <v>9000</v>
      </c>
    </row>
    <row r="3422" spans="1:13" hidden="1">
      <c r="A3422" s="40">
        <f t="shared" si="57"/>
        <v>3421</v>
      </c>
      <c r="B3422" s="34" t="s">
        <v>8</v>
      </c>
      <c r="C3422" s="34" t="s">
        <v>12406</v>
      </c>
      <c r="D3422" s="8" t="s">
        <v>12596</v>
      </c>
      <c r="E3422" s="8" t="s">
        <v>12424</v>
      </c>
      <c r="F3422" s="8" t="s">
        <v>12593</v>
      </c>
      <c r="G3422" s="34" t="s">
        <v>14</v>
      </c>
      <c r="H3422" s="34" t="str">
        <f>IFERROR(VLOOKUP(Table2[[#This Row], [Ticket]],Okey!A:B,2,0),"")</f>
        <v/>
      </c>
      <c r="I3422" s="34"/>
      <c r="J3422" s="34" t="str">
        <f>VLOOKUP(Table2[[#This Row],[Author]],People!A:B,2,0)</f>
        <v>HC</v>
      </c>
      <c r="K3422" s="34" t="s">
        <v>12787</v>
      </c>
      <c r="L3422" s="34"/>
      <c r="M3422" s="34" t="s">
        <v>9000</v>
      </c>
    </row>
    <row r="3423" spans="1:13" hidden="1">
      <c r="A3423" s="40">
        <f t="shared" si="57"/>
        <v>3422</v>
      </c>
      <c r="B3423" s="34" t="s">
        <v>8</v>
      </c>
      <c r="C3423" s="34" t="s">
        <v>12406</v>
      </c>
      <c r="D3423" s="8" t="s">
        <v>12597</v>
      </c>
      <c r="E3423" s="8" t="s">
        <v>12425</v>
      </c>
      <c r="F3423" s="8" t="s">
        <v>12593</v>
      </c>
      <c r="G3423" s="34" t="s">
        <v>14</v>
      </c>
      <c r="H3423" s="34" t="str">
        <f>IFERROR(VLOOKUP(Table2[[#This Row], [Ticket]],Okey!A:B,2,0),"")</f>
        <v/>
      </c>
      <c r="I3423" s="34"/>
      <c r="J3423" s="34" t="str">
        <f>VLOOKUP(Table2[[#This Row],[Author]],People!A:B,2,0)</f>
        <v>HC</v>
      </c>
      <c r="K3423" s="34" t="s">
        <v>12787</v>
      </c>
      <c r="L3423" s="34"/>
      <c r="M3423" s="34" t="s">
        <v>9000</v>
      </c>
    </row>
    <row r="3424" spans="1:13" hidden="1">
      <c r="A3424" s="40">
        <f t="shared" si="57"/>
        <v>3423</v>
      </c>
      <c r="B3424" s="34" t="s">
        <v>8</v>
      </c>
      <c r="C3424" s="34" t="s">
        <v>12406</v>
      </c>
      <c r="D3424" s="8" t="s">
        <v>12598</v>
      </c>
      <c r="E3424" s="8" t="s">
        <v>12426</v>
      </c>
      <c r="F3424" s="8" t="s">
        <v>1129</v>
      </c>
      <c r="G3424" s="34" t="s">
        <v>14</v>
      </c>
      <c r="H3424" s="34" t="str">
        <f>IFERROR(VLOOKUP(Table2[[#This Row], [Ticket]],Okey!A:B,2,0),"")</f>
        <v/>
      </c>
      <c r="I3424" s="34"/>
      <c r="J3424" s="34" t="str">
        <f>VLOOKUP(Table2[[#This Row],[Author]],People!A:B,2,0)</f>
        <v>HC</v>
      </c>
      <c r="K3424" s="34" t="s">
        <v>12787</v>
      </c>
      <c r="L3424" s="34"/>
      <c r="M3424" s="34" t="s">
        <v>9000</v>
      </c>
    </row>
    <row r="3425" spans="1:13" hidden="1">
      <c r="A3425" s="40">
        <f t="shared" si="57"/>
        <v>3424</v>
      </c>
      <c r="B3425" s="34" t="s">
        <v>8</v>
      </c>
      <c r="C3425" s="34" t="s">
        <v>12406</v>
      </c>
      <c r="D3425" s="8" t="s">
        <v>12599</v>
      </c>
      <c r="E3425" s="8" t="s">
        <v>12427</v>
      </c>
      <c r="F3425" s="8" t="s">
        <v>1127</v>
      </c>
      <c r="G3425" s="34" t="s">
        <v>14</v>
      </c>
      <c r="H3425" s="34" t="str">
        <f>IFERROR(VLOOKUP(Table2[[#This Row], [Ticket]],Okey!A:B,2,0),"")</f>
        <v/>
      </c>
      <c r="I3425" s="34"/>
      <c r="J3425" s="34" t="str">
        <f>VLOOKUP(Table2[[#This Row],[Author]],People!A:B,2,0)</f>
        <v>HC</v>
      </c>
      <c r="K3425" s="34" t="s">
        <v>12787</v>
      </c>
      <c r="L3425" s="34"/>
      <c r="M3425" s="34" t="s">
        <v>9000</v>
      </c>
    </row>
    <row r="3426" spans="1:13" hidden="1">
      <c r="A3426" s="40">
        <f t="shared" si="57"/>
        <v>3425</v>
      </c>
      <c r="B3426" s="34" t="s">
        <v>8</v>
      </c>
      <c r="C3426" s="34" t="s">
        <v>12406</v>
      </c>
      <c r="D3426" s="8" t="s">
        <v>12600</v>
      </c>
      <c r="E3426" s="8" t="s">
        <v>12428</v>
      </c>
      <c r="F3426" s="8" t="s">
        <v>12599</v>
      </c>
      <c r="G3426" s="34" t="s">
        <v>14</v>
      </c>
      <c r="H3426" s="34" t="str">
        <f>IFERROR(VLOOKUP(Table2[[#This Row], [Ticket]],Okey!A:B,2,0),"")</f>
        <v/>
      </c>
      <c r="I3426" s="34"/>
      <c r="J3426" s="34" t="str">
        <f>VLOOKUP(Table2[[#This Row],[Author]],People!A:B,2,0)</f>
        <v>HC</v>
      </c>
      <c r="K3426" s="34" t="s">
        <v>12787</v>
      </c>
      <c r="L3426" s="34"/>
      <c r="M3426" s="34" t="s">
        <v>9000</v>
      </c>
    </row>
    <row r="3427" spans="1:13" hidden="1">
      <c r="A3427" s="40">
        <f t="shared" si="57"/>
        <v>3426</v>
      </c>
      <c r="B3427" s="34" t="s">
        <v>8</v>
      </c>
      <c r="C3427" s="34" t="s">
        <v>12406</v>
      </c>
      <c r="D3427" s="8" t="s">
        <v>12601</v>
      </c>
      <c r="E3427" s="8" t="s">
        <v>12429</v>
      </c>
      <c r="F3427" s="8" t="s">
        <v>12599</v>
      </c>
      <c r="G3427" s="34" t="s">
        <v>14</v>
      </c>
      <c r="H3427" s="34" t="str">
        <f>IFERROR(VLOOKUP(Table2[[#This Row], [Ticket]],Okey!A:B,2,0),"")</f>
        <v/>
      </c>
      <c r="I3427" s="34"/>
      <c r="J3427" s="34" t="str">
        <f>VLOOKUP(Table2[[#This Row],[Author]],People!A:B,2,0)</f>
        <v>HC</v>
      </c>
      <c r="K3427" s="34" t="s">
        <v>12787</v>
      </c>
      <c r="L3427" s="34"/>
      <c r="M3427" s="34" t="s">
        <v>9000</v>
      </c>
    </row>
    <row r="3428" spans="1:13" hidden="1">
      <c r="A3428" s="40">
        <f t="shared" si="57"/>
        <v>3427</v>
      </c>
      <c r="B3428" s="34" t="s">
        <v>8</v>
      </c>
      <c r="C3428" s="34" t="s">
        <v>12406</v>
      </c>
      <c r="D3428" s="8" t="s">
        <v>12602</v>
      </c>
      <c r="E3428" s="8" t="s">
        <v>12430</v>
      </c>
      <c r="F3428" s="8" t="s">
        <v>12599</v>
      </c>
      <c r="G3428" s="34" t="s">
        <v>14</v>
      </c>
      <c r="H3428" s="34" t="str">
        <f>IFERROR(VLOOKUP(Table2[[#This Row], [Ticket]],Okey!A:B,2,0),"")</f>
        <v/>
      </c>
      <c r="I3428" s="34"/>
      <c r="J3428" s="34" t="str">
        <f>VLOOKUP(Table2[[#This Row],[Author]],People!A:B,2,0)</f>
        <v>HC</v>
      </c>
      <c r="K3428" s="34" t="s">
        <v>12787</v>
      </c>
      <c r="L3428" s="34"/>
      <c r="M3428" s="34" t="s">
        <v>9000</v>
      </c>
    </row>
    <row r="3429" spans="1:13" hidden="1">
      <c r="A3429" s="40">
        <f t="shared" si="57"/>
        <v>3428</v>
      </c>
      <c r="B3429" s="34" t="s">
        <v>8</v>
      </c>
      <c r="C3429" s="34" t="s">
        <v>12406</v>
      </c>
      <c r="D3429" s="8" t="s">
        <v>12603</v>
      </c>
      <c r="E3429" s="8" t="s">
        <v>12431</v>
      </c>
      <c r="F3429" s="8" t="s">
        <v>12599</v>
      </c>
      <c r="G3429" s="34" t="s">
        <v>14</v>
      </c>
      <c r="H3429" s="34" t="str">
        <f>IFERROR(VLOOKUP(Table2[[#This Row], [Ticket]],Okey!A:B,2,0),"")</f>
        <v/>
      </c>
      <c r="I3429" s="34"/>
      <c r="J3429" s="34" t="str">
        <f>VLOOKUP(Table2[[#This Row],[Author]],People!A:B,2,0)</f>
        <v>HC</v>
      </c>
      <c r="K3429" s="34" t="s">
        <v>12787</v>
      </c>
      <c r="L3429" s="34"/>
      <c r="M3429" s="34" t="s">
        <v>9000</v>
      </c>
    </row>
    <row r="3430" spans="1:13" hidden="1">
      <c r="A3430" s="40">
        <f t="shared" si="57"/>
        <v>3429</v>
      </c>
      <c r="B3430" s="34" t="s">
        <v>8</v>
      </c>
      <c r="C3430" s="34" t="s">
        <v>12406</v>
      </c>
      <c r="D3430" s="8" t="s">
        <v>12604</v>
      </c>
      <c r="E3430" s="8" t="s">
        <v>12432</v>
      </c>
      <c r="F3430" s="8" t="s">
        <v>12599</v>
      </c>
      <c r="G3430" s="34" t="s">
        <v>14</v>
      </c>
      <c r="H3430" s="34" t="str">
        <f>IFERROR(VLOOKUP(Table2[[#This Row], [Ticket]],Okey!A:B,2,0),"")</f>
        <v/>
      </c>
      <c r="I3430" s="34"/>
      <c r="J3430" s="34" t="str">
        <f>VLOOKUP(Table2[[#This Row],[Author]],People!A:B,2,0)</f>
        <v>HC</v>
      </c>
      <c r="K3430" s="34" t="s">
        <v>12787</v>
      </c>
      <c r="L3430" s="34"/>
      <c r="M3430" s="34" t="s">
        <v>9000</v>
      </c>
    </row>
    <row r="3431" spans="1:13" hidden="1">
      <c r="A3431" s="40">
        <f t="shared" si="57"/>
        <v>3430</v>
      </c>
      <c r="B3431" s="34" t="s">
        <v>8</v>
      </c>
      <c r="C3431" s="34" t="s">
        <v>12406</v>
      </c>
      <c r="D3431" s="8" t="s">
        <v>12605</v>
      </c>
      <c r="E3431" s="8" t="s">
        <v>12433</v>
      </c>
      <c r="F3431" s="8" t="s">
        <v>12600</v>
      </c>
      <c r="G3431" s="34" t="s">
        <v>14</v>
      </c>
      <c r="H3431" s="34" t="str">
        <f>IFERROR(VLOOKUP(Table2[[#This Row], [Ticket]],Okey!A:B,2,0),"")</f>
        <v/>
      </c>
      <c r="I3431" s="34"/>
      <c r="J3431" s="34" t="str">
        <f>VLOOKUP(Table2[[#This Row],[Author]],People!A:B,2,0)</f>
        <v>HC</v>
      </c>
      <c r="K3431" s="34" t="s">
        <v>12787</v>
      </c>
      <c r="L3431" s="34"/>
      <c r="M3431" s="34" t="s">
        <v>9000</v>
      </c>
    </row>
    <row r="3432" spans="1:13" hidden="1">
      <c r="A3432" s="40">
        <f t="shared" si="57"/>
        <v>3431</v>
      </c>
      <c r="B3432" s="34" t="s">
        <v>8</v>
      </c>
      <c r="C3432" s="34" t="s">
        <v>12406</v>
      </c>
      <c r="D3432" s="8" t="s">
        <v>12606</v>
      </c>
      <c r="E3432" s="8" t="s">
        <v>12434</v>
      </c>
      <c r="F3432" s="8" t="s">
        <v>12600</v>
      </c>
      <c r="G3432" s="34" t="s">
        <v>14</v>
      </c>
      <c r="H3432" s="34" t="str">
        <f>IFERROR(VLOOKUP(Table2[[#This Row], [Ticket]],Okey!A:B,2,0),"")</f>
        <v/>
      </c>
      <c r="I3432" s="34"/>
      <c r="J3432" s="34" t="str">
        <f>VLOOKUP(Table2[[#This Row],[Author]],People!A:B,2,0)</f>
        <v>HC</v>
      </c>
      <c r="K3432" s="34" t="s">
        <v>12787</v>
      </c>
      <c r="L3432" s="34"/>
      <c r="M3432" s="34" t="s">
        <v>9000</v>
      </c>
    </row>
    <row r="3433" spans="1:13" hidden="1">
      <c r="A3433" s="40">
        <f t="shared" si="57"/>
        <v>3432</v>
      </c>
      <c r="B3433" s="34" t="s">
        <v>8</v>
      </c>
      <c r="C3433" s="34" t="s">
        <v>12406</v>
      </c>
      <c r="D3433" s="8" t="s">
        <v>12607</v>
      </c>
      <c r="E3433" s="8" t="s">
        <v>12435</v>
      </c>
      <c r="F3433" s="8" t="s">
        <v>12601</v>
      </c>
      <c r="G3433" s="34" t="s">
        <v>14</v>
      </c>
      <c r="H3433" s="34" t="str">
        <f>IFERROR(VLOOKUP(Table2[[#This Row], [Ticket]],Okey!A:B,2,0),"")</f>
        <v/>
      </c>
      <c r="I3433" s="34"/>
      <c r="J3433" s="34" t="str">
        <f>VLOOKUP(Table2[[#This Row],[Author]],People!A:B,2,0)</f>
        <v>HC</v>
      </c>
      <c r="K3433" s="34" t="s">
        <v>12787</v>
      </c>
      <c r="L3433" s="34"/>
      <c r="M3433" s="34" t="s">
        <v>9000</v>
      </c>
    </row>
    <row r="3434" spans="1:13" hidden="1">
      <c r="A3434" s="40">
        <f t="shared" si="57"/>
        <v>3433</v>
      </c>
      <c r="B3434" s="34" t="s">
        <v>8</v>
      </c>
      <c r="C3434" s="34" t="s">
        <v>12406</v>
      </c>
      <c r="D3434" s="8" t="s">
        <v>12608</v>
      </c>
      <c r="E3434" s="8" t="s">
        <v>12436</v>
      </c>
      <c r="F3434" s="8" t="s">
        <v>12601</v>
      </c>
      <c r="G3434" s="34" t="s">
        <v>14</v>
      </c>
      <c r="H3434" s="34" t="str">
        <f>IFERROR(VLOOKUP(Table2[[#This Row], [Ticket]],Okey!A:B,2,0),"")</f>
        <v/>
      </c>
      <c r="I3434" s="34"/>
      <c r="J3434" s="34" t="str">
        <f>VLOOKUP(Table2[[#This Row],[Author]],People!A:B,2,0)</f>
        <v>HC</v>
      </c>
      <c r="K3434" s="34" t="s">
        <v>12787</v>
      </c>
      <c r="L3434" s="34"/>
      <c r="M3434" s="34" t="s">
        <v>9000</v>
      </c>
    </row>
    <row r="3435" spans="1:13" hidden="1">
      <c r="A3435" s="40">
        <f t="shared" si="57"/>
        <v>3434</v>
      </c>
      <c r="B3435" s="34" t="s">
        <v>8</v>
      </c>
      <c r="C3435" s="34" t="s">
        <v>12406</v>
      </c>
      <c r="D3435" s="8" t="s">
        <v>12609</v>
      </c>
      <c r="E3435" s="8" t="s">
        <v>12437</v>
      </c>
      <c r="F3435" s="8" t="s">
        <v>12601</v>
      </c>
      <c r="G3435" s="34" t="s">
        <v>14</v>
      </c>
      <c r="H3435" s="34" t="str">
        <f>IFERROR(VLOOKUP(Table2[[#This Row], [Ticket]],Okey!A:B,2,0),"")</f>
        <v/>
      </c>
      <c r="I3435" s="34"/>
      <c r="J3435" s="34" t="str">
        <f>VLOOKUP(Table2[[#This Row],[Author]],People!A:B,2,0)</f>
        <v>HC</v>
      </c>
      <c r="K3435" s="34" t="s">
        <v>12787</v>
      </c>
      <c r="L3435" s="34"/>
      <c r="M3435" s="34" t="s">
        <v>9000</v>
      </c>
    </row>
    <row r="3436" spans="1:13" hidden="1">
      <c r="A3436" s="40">
        <f t="shared" si="57"/>
        <v>3435</v>
      </c>
      <c r="B3436" s="34" t="s">
        <v>8</v>
      </c>
      <c r="C3436" s="34" t="s">
        <v>12406</v>
      </c>
      <c r="D3436" s="8" t="s">
        <v>12610</v>
      </c>
      <c r="E3436" s="8" t="s">
        <v>12438</v>
      </c>
      <c r="F3436" s="8" t="s">
        <v>12602</v>
      </c>
      <c r="G3436" s="34" t="s">
        <v>14</v>
      </c>
      <c r="H3436" s="34" t="str">
        <f>IFERROR(VLOOKUP(Table2[[#This Row], [Ticket]],Okey!A:B,2,0),"")</f>
        <v/>
      </c>
      <c r="I3436" s="34"/>
      <c r="J3436" s="34" t="str">
        <f>VLOOKUP(Table2[[#This Row],[Author]],People!A:B,2,0)</f>
        <v>HC</v>
      </c>
      <c r="K3436" s="34" t="s">
        <v>12787</v>
      </c>
      <c r="L3436" s="34"/>
      <c r="M3436" s="34" t="s">
        <v>9000</v>
      </c>
    </row>
    <row r="3437" spans="1:13" hidden="1">
      <c r="A3437" s="40">
        <f t="shared" si="57"/>
        <v>3436</v>
      </c>
      <c r="B3437" s="34" t="s">
        <v>8</v>
      </c>
      <c r="C3437" s="34" t="s">
        <v>12406</v>
      </c>
      <c r="D3437" s="8" t="s">
        <v>12611</v>
      </c>
      <c r="E3437" s="8" t="s">
        <v>12439</v>
      </c>
      <c r="F3437" s="8" t="s">
        <v>12602</v>
      </c>
      <c r="G3437" s="34" t="s">
        <v>14</v>
      </c>
      <c r="H3437" s="34" t="str">
        <f>IFERROR(VLOOKUP(Table2[[#This Row], [Ticket]],Okey!A:B,2,0),"")</f>
        <v/>
      </c>
      <c r="I3437" s="34"/>
      <c r="J3437" s="34" t="str">
        <f>VLOOKUP(Table2[[#This Row],[Author]],People!A:B,2,0)</f>
        <v>HC</v>
      </c>
      <c r="K3437" s="34" t="s">
        <v>12787</v>
      </c>
      <c r="L3437" s="34"/>
      <c r="M3437" s="34" t="s">
        <v>9000</v>
      </c>
    </row>
    <row r="3438" spans="1:13" hidden="1">
      <c r="A3438" s="40">
        <f t="shared" si="57"/>
        <v>3437</v>
      </c>
      <c r="B3438" s="34" t="s">
        <v>8</v>
      </c>
      <c r="C3438" s="34" t="s">
        <v>12406</v>
      </c>
      <c r="D3438" s="8" t="s">
        <v>12612</v>
      </c>
      <c r="E3438" s="8" t="s">
        <v>12440</v>
      </c>
      <c r="F3438" s="8" t="s">
        <v>12602</v>
      </c>
      <c r="G3438" s="34" t="s">
        <v>14</v>
      </c>
      <c r="H3438" s="34" t="str">
        <f>IFERROR(VLOOKUP(Table2[[#This Row], [Ticket]],Okey!A:B,2,0),"")</f>
        <v/>
      </c>
      <c r="I3438" s="34"/>
      <c r="J3438" s="34" t="str">
        <f>VLOOKUP(Table2[[#This Row],[Author]],People!A:B,2,0)</f>
        <v>HC</v>
      </c>
      <c r="K3438" s="34" t="s">
        <v>12787</v>
      </c>
      <c r="L3438" s="34"/>
      <c r="M3438" s="34" t="s">
        <v>9000</v>
      </c>
    </row>
    <row r="3439" spans="1:13" hidden="1">
      <c r="A3439" s="40">
        <f t="shared" si="57"/>
        <v>3438</v>
      </c>
      <c r="B3439" s="34" t="s">
        <v>8</v>
      </c>
      <c r="C3439" s="34" t="s">
        <v>12406</v>
      </c>
      <c r="D3439" s="8" t="s">
        <v>12613</v>
      </c>
      <c r="E3439" s="8" t="s">
        <v>12441</v>
      </c>
      <c r="F3439" s="8" t="s">
        <v>12603</v>
      </c>
      <c r="G3439" s="34" t="s">
        <v>14</v>
      </c>
      <c r="H3439" s="34" t="str">
        <f>IFERROR(VLOOKUP(Table2[[#This Row], [Ticket]],Okey!A:B,2,0),"")</f>
        <v/>
      </c>
      <c r="I3439" s="34"/>
      <c r="J3439" s="34" t="str">
        <f>VLOOKUP(Table2[[#This Row],[Author]],People!A:B,2,0)</f>
        <v>HC</v>
      </c>
      <c r="K3439" s="34" t="s">
        <v>12787</v>
      </c>
      <c r="L3439" s="34"/>
      <c r="M3439" s="34" t="s">
        <v>9000</v>
      </c>
    </row>
    <row r="3440" spans="1:13" hidden="1">
      <c r="A3440" s="40">
        <f t="shared" si="57"/>
        <v>3439</v>
      </c>
      <c r="B3440" s="34" t="s">
        <v>8</v>
      </c>
      <c r="C3440" s="34" t="s">
        <v>12406</v>
      </c>
      <c r="D3440" s="8" t="s">
        <v>12614</v>
      </c>
      <c r="E3440" s="8" t="s">
        <v>12442</v>
      </c>
      <c r="F3440" s="8" t="s">
        <v>12603</v>
      </c>
      <c r="G3440" s="34" t="s">
        <v>14</v>
      </c>
      <c r="H3440" s="34" t="str">
        <f>IFERROR(VLOOKUP(Table2[[#This Row], [Ticket]],Okey!A:B,2,0),"")</f>
        <v/>
      </c>
      <c r="I3440" s="34"/>
      <c r="J3440" s="34" t="str">
        <f>VLOOKUP(Table2[[#This Row],[Author]],People!A:B,2,0)</f>
        <v>HC</v>
      </c>
      <c r="K3440" s="34" t="s">
        <v>12787</v>
      </c>
      <c r="L3440" s="34"/>
      <c r="M3440" s="34" t="s">
        <v>9000</v>
      </c>
    </row>
    <row r="3441" spans="1:13" hidden="1">
      <c r="A3441" s="40">
        <f t="shared" si="57"/>
        <v>3440</v>
      </c>
      <c r="B3441" s="34" t="s">
        <v>8</v>
      </c>
      <c r="C3441" s="34" t="s">
        <v>12406</v>
      </c>
      <c r="D3441" s="8" t="s">
        <v>12615</v>
      </c>
      <c r="E3441" s="8" t="s">
        <v>12443</v>
      </c>
      <c r="F3441" s="8" t="s">
        <v>12605</v>
      </c>
      <c r="G3441" s="34" t="s">
        <v>14</v>
      </c>
      <c r="H3441" s="34" t="str">
        <f>IFERROR(VLOOKUP(Table2[[#This Row], [Ticket]],Okey!A:B,2,0),"")</f>
        <v/>
      </c>
      <c r="I3441" s="34"/>
      <c r="J3441" s="34" t="str">
        <f>VLOOKUP(Table2[[#This Row],[Author]],People!A:B,2,0)</f>
        <v>HC</v>
      </c>
      <c r="K3441" s="34" t="s">
        <v>12787</v>
      </c>
      <c r="L3441" s="34"/>
      <c r="M3441" s="34" t="s">
        <v>9000</v>
      </c>
    </row>
    <row r="3442" spans="1:13" hidden="1">
      <c r="A3442" s="40">
        <f t="shared" si="57"/>
        <v>3441</v>
      </c>
      <c r="B3442" s="34" t="s">
        <v>8</v>
      </c>
      <c r="C3442" s="34" t="s">
        <v>12406</v>
      </c>
      <c r="D3442" s="8" t="s">
        <v>12616</v>
      </c>
      <c r="E3442" s="8" t="s">
        <v>12444</v>
      </c>
      <c r="F3442" s="8" t="s">
        <v>12605</v>
      </c>
      <c r="G3442" s="34" t="s">
        <v>14</v>
      </c>
      <c r="H3442" s="34" t="str">
        <f>IFERROR(VLOOKUP(Table2[[#This Row], [Ticket]],Okey!A:B,2,0),"")</f>
        <v/>
      </c>
      <c r="I3442" s="34"/>
      <c r="J3442" s="34" t="str">
        <f>VLOOKUP(Table2[[#This Row],[Author]],People!A:B,2,0)</f>
        <v>HC</v>
      </c>
      <c r="K3442" s="34" t="s">
        <v>12787</v>
      </c>
      <c r="L3442" s="34"/>
      <c r="M3442" s="34" t="s">
        <v>9000</v>
      </c>
    </row>
    <row r="3443" spans="1:13" hidden="1">
      <c r="A3443" s="40">
        <f t="shared" si="57"/>
        <v>3442</v>
      </c>
      <c r="B3443" s="34" t="s">
        <v>8</v>
      </c>
      <c r="C3443" s="34" t="s">
        <v>12406</v>
      </c>
      <c r="D3443" s="8" t="s">
        <v>12617</v>
      </c>
      <c r="E3443" s="8" t="s">
        <v>12445</v>
      </c>
      <c r="F3443" s="8" t="s">
        <v>12606</v>
      </c>
      <c r="G3443" s="34" t="s">
        <v>14</v>
      </c>
      <c r="H3443" s="34" t="str">
        <f>IFERROR(VLOOKUP(Table2[[#This Row], [Ticket]],Okey!A:B,2,0),"")</f>
        <v/>
      </c>
      <c r="I3443" s="34"/>
      <c r="J3443" s="34" t="str">
        <f>VLOOKUP(Table2[[#This Row],[Author]],People!A:B,2,0)</f>
        <v>HC</v>
      </c>
      <c r="K3443" s="34" t="s">
        <v>12787</v>
      </c>
      <c r="L3443" s="34"/>
      <c r="M3443" s="34" t="s">
        <v>9000</v>
      </c>
    </row>
    <row r="3444" spans="1:13" hidden="1">
      <c r="A3444" s="40">
        <f t="shared" si="57"/>
        <v>3443</v>
      </c>
      <c r="B3444" s="34" t="s">
        <v>8</v>
      </c>
      <c r="C3444" s="34" t="s">
        <v>12406</v>
      </c>
      <c r="D3444" s="8" t="s">
        <v>12618</v>
      </c>
      <c r="E3444" s="8" t="s">
        <v>12446</v>
      </c>
      <c r="F3444" s="8" t="s">
        <v>12615</v>
      </c>
      <c r="G3444" s="34" t="s">
        <v>14</v>
      </c>
      <c r="H3444" s="34" t="str">
        <f>IFERROR(VLOOKUP(Table2[[#This Row], [Ticket]],Okey!A:B,2,0),"")</f>
        <v/>
      </c>
      <c r="I3444" s="34"/>
      <c r="J3444" s="34" t="str">
        <f>VLOOKUP(Table2[[#This Row],[Author]],People!A:B,2,0)</f>
        <v>HC</v>
      </c>
      <c r="K3444" s="34" t="s">
        <v>12787</v>
      </c>
      <c r="L3444" s="34"/>
      <c r="M3444" s="34" t="s">
        <v>9000</v>
      </c>
    </row>
    <row r="3445" spans="1:13" hidden="1">
      <c r="A3445" s="40">
        <f t="shared" si="57"/>
        <v>3444</v>
      </c>
      <c r="B3445" s="34" t="s">
        <v>8</v>
      </c>
      <c r="C3445" s="34" t="s">
        <v>12406</v>
      </c>
      <c r="D3445" s="8" t="s">
        <v>12619</v>
      </c>
      <c r="E3445" s="8" t="s">
        <v>12447</v>
      </c>
      <c r="F3445" s="8" t="s">
        <v>12615</v>
      </c>
      <c r="G3445" s="34" t="s">
        <v>14</v>
      </c>
      <c r="H3445" s="34" t="str">
        <f>IFERROR(VLOOKUP(Table2[[#This Row], [Ticket]],Okey!A:B,2,0),"")</f>
        <v/>
      </c>
      <c r="I3445" s="34"/>
      <c r="J3445" s="34" t="str">
        <f>VLOOKUP(Table2[[#This Row],[Author]],People!A:B,2,0)</f>
        <v>HC</v>
      </c>
      <c r="K3445" s="34" t="s">
        <v>12787</v>
      </c>
      <c r="L3445" s="34"/>
      <c r="M3445" s="34" t="s">
        <v>9000</v>
      </c>
    </row>
    <row r="3446" spans="1:13" hidden="1">
      <c r="A3446" s="40">
        <f t="shared" si="57"/>
        <v>3445</v>
      </c>
      <c r="B3446" s="34" t="s">
        <v>8</v>
      </c>
      <c r="C3446" s="34" t="s">
        <v>12406</v>
      </c>
      <c r="D3446" s="8" t="s">
        <v>12620</v>
      </c>
      <c r="E3446" s="8" t="s">
        <v>12448</v>
      </c>
      <c r="F3446" s="8" t="s">
        <v>12615</v>
      </c>
      <c r="G3446" s="34" t="s">
        <v>14</v>
      </c>
      <c r="H3446" s="34" t="str">
        <f>IFERROR(VLOOKUP(Table2[[#This Row], [Ticket]],Okey!A:B,2,0),"")</f>
        <v/>
      </c>
      <c r="I3446" s="34"/>
      <c r="J3446" s="34" t="str">
        <f>VLOOKUP(Table2[[#This Row],[Author]],People!A:B,2,0)</f>
        <v>HC</v>
      </c>
      <c r="K3446" s="34" t="s">
        <v>12787</v>
      </c>
      <c r="L3446" s="34"/>
      <c r="M3446" s="34" t="s">
        <v>9000</v>
      </c>
    </row>
    <row r="3447" spans="1:13" hidden="1">
      <c r="A3447" s="40">
        <f t="shared" si="57"/>
        <v>3446</v>
      </c>
      <c r="B3447" s="34" t="s">
        <v>8</v>
      </c>
      <c r="C3447" s="34" t="s">
        <v>12406</v>
      </c>
      <c r="D3447" s="8" t="s">
        <v>12621</v>
      </c>
      <c r="E3447" s="8" t="s">
        <v>12449</v>
      </c>
      <c r="F3447" s="8" t="s">
        <v>12615</v>
      </c>
      <c r="G3447" s="34" t="s">
        <v>14</v>
      </c>
      <c r="H3447" s="34" t="str">
        <f>IFERROR(VLOOKUP(Table2[[#This Row], [Ticket]],Okey!A:B,2,0),"")</f>
        <v/>
      </c>
      <c r="I3447" s="34"/>
      <c r="J3447" s="34" t="str">
        <f>VLOOKUP(Table2[[#This Row],[Author]],People!A:B,2,0)</f>
        <v>HC</v>
      </c>
      <c r="K3447" s="34" t="s">
        <v>12787</v>
      </c>
      <c r="L3447" s="34"/>
      <c r="M3447" s="34" t="s">
        <v>9000</v>
      </c>
    </row>
    <row r="3448" spans="1:13" hidden="1">
      <c r="A3448" s="40">
        <f t="shared" si="57"/>
        <v>3447</v>
      </c>
      <c r="B3448" s="34" t="s">
        <v>8</v>
      </c>
      <c r="C3448" s="34" t="s">
        <v>12406</v>
      </c>
      <c r="D3448" s="8" t="s">
        <v>12622</v>
      </c>
      <c r="E3448" s="8" t="s">
        <v>12446</v>
      </c>
      <c r="F3448" s="8" t="s">
        <v>12616</v>
      </c>
      <c r="G3448" s="34" t="s">
        <v>14</v>
      </c>
      <c r="H3448" s="34" t="str">
        <f>IFERROR(VLOOKUP(Table2[[#This Row], [Ticket]],Okey!A:B,2,0),"")</f>
        <v/>
      </c>
      <c r="I3448" s="34"/>
      <c r="J3448" s="34" t="str">
        <f>VLOOKUP(Table2[[#This Row],[Author]],People!A:B,2,0)</f>
        <v>HC</v>
      </c>
      <c r="K3448" s="34" t="s">
        <v>12787</v>
      </c>
      <c r="L3448" s="34"/>
      <c r="M3448" s="34" t="s">
        <v>9000</v>
      </c>
    </row>
    <row r="3449" spans="1:13" hidden="1">
      <c r="A3449" s="40">
        <f t="shared" si="57"/>
        <v>3448</v>
      </c>
      <c r="B3449" s="34" t="s">
        <v>8</v>
      </c>
      <c r="C3449" s="34" t="s">
        <v>12406</v>
      </c>
      <c r="D3449" s="8" t="s">
        <v>12623</v>
      </c>
      <c r="E3449" s="8" t="s">
        <v>12447</v>
      </c>
      <c r="F3449" s="8" t="s">
        <v>12616</v>
      </c>
      <c r="G3449" s="34" t="s">
        <v>14</v>
      </c>
      <c r="H3449" s="34" t="str">
        <f>IFERROR(VLOOKUP(Table2[[#This Row], [Ticket]],Okey!A:B,2,0),"")</f>
        <v/>
      </c>
      <c r="I3449" s="34"/>
      <c r="J3449" s="34" t="str">
        <f>VLOOKUP(Table2[[#This Row],[Author]],People!A:B,2,0)</f>
        <v>HC</v>
      </c>
      <c r="K3449" s="34" t="s">
        <v>12787</v>
      </c>
      <c r="L3449" s="34"/>
      <c r="M3449" s="34" t="s">
        <v>9000</v>
      </c>
    </row>
    <row r="3450" spans="1:13" hidden="1">
      <c r="A3450" s="40">
        <f t="shared" si="57"/>
        <v>3449</v>
      </c>
      <c r="B3450" s="34" t="s">
        <v>8</v>
      </c>
      <c r="C3450" s="34" t="s">
        <v>12406</v>
      </c>
      <c r="D3450" s="8" t="s">
        <v>12624</v>
      </c>
      <c r="E3450" s="8" t="s">
        <v>12448</v>
      </c>
      <c r="F3450" s="8" t="s">
        <v>12616</v>
      </c>
      <c r="G3450" s="34" t="s">
        <v>14</v>
      </c>
      <c r="H3450" s="34" t="str">
        <f>IFERROR(VLOOKUP(Table2[[#This Row], [Ticket]],Okey!A:B,2,0),"")</f>
        <v/>
      </c>
      <c r="I3450" s="34"/>
      <c r="J3450" s="34" t="str">
        <f>VLOOKUP(Table2[[#This Row],[Author]],People!A:B,2,0)</f>
        <v>HC</v>
      </c>
      <c r="K3450" s="34" t="s">
        <v>12787</v>
      </c>
      <c r="L3450" s="34"/>
      <c r="M3450" s="34" t="s">
        <v>9000</v>
      </c>
    </row>
    <row r="3451" spans="1:13" hidden="1">
      <c r="A3451" s="40">
        <f t="shared" si="57"/>
        <v>3450</v>
      </c>
      <c r="B3451" s="34" t="s">
        <v>8</v>
      </c>
      <c r="C3451" s="34" t="s">
        <v>12406</v>
      </c>
      <c r="D3451" s="8" t="s">
        <v>12625</v>
      </c>
      <c r="E3451" s="8" t="s">
        <v>12449</v>
      </c>
      <c r="F3451" s="8" t="s">
        <v>12616</v>
      </c>
      <c r="G3451" s="34" t="s">
        <v>14</v>
      </c>
      <c r="H3451" s="34" t="str">
        <f>IFERROR(VLOOKUP(Table2[[#This Row], [Ticket]],Okey!A:B,2,0),"")</f>
        <v/>
      </c>
      <c r="I3451" s="34"/>
      <c r="J3451" s="34" t="str">
        <f>VLOOKUP(Table2[[#This Row],[Author]],People!A:B,2,0)</f>
        <v>HC</v>
      </c>
      <c r="K3451" s="34" t="s">
        <v>12787</v>
      </c>
      <c r="L3451" s="34"/>
      <c r="M3451" s="34" t="s">
        <v>9000</v>
      </c>
    </row>
    <row r="3452" spans="1:13" hidden="1">
      <c r="A3452" s="40">
        <f t="shared" si="57"/>
        <v>3451</v>
      </c>
      <c r="B3452" s="34" t="s">
        <v>8</v>
      </c>
      <c r="C3452" s="34" t="s">
        <v>12406</v>
      </c>
      <c r="D3452" s="8" t="s">
        <v>12626</v>
      </c>
      <c r="E3452" s="8" t="s">
        <v>12446</v>
      </c>
      <c r="F3452" s="8" t="s">
        <v>12617</v>
      </c>
      <c r="G3452" s="34" t="s">
        <v>14</v>
      </c>
      <c r="H3452" s="34" t="str">
        <f>IFERROR(VLOOKUP(Table2[[#This Row], [Ticket]],Okey!A:B,2,0),"")</f>
        <v/>
      </c>
      <c r="I3452" s="34"/>
      <c r="J3452" s="34" t="str">
        <f>VLOOKUP(Table2[[#This Row],[Author]],People!A:B,2,0)</f>
        <v>HC</v>
      </c>
      <c r="K3452" s="34" t="s">
        <v>12787</v>
      </c>
      <c r="L3452" s="34"/>
      <c r="M3452" s="34" t="s">
        <v>9000</v>
      </c>
    </row>
    <row r="3453" spans="1:13" hidden="1">
      <c r="A3453" s="40">
        <f t="shared" si="57"/>
        <v>3452</v>
      </c>
      <c r="B3453" s="34" t="s">
        <v>8</v>
      </c>
      <c r="C3453" s="34" t="s">
        <v>12406</v>
      </c>
      <c r="D3453" s="8" t="s">
        <v>12627</v>
      </c>
      <c r="E3453" s="8" t="s">
        <v>12447</v>
      </c>
      <c r="F3453" s="8" t="s">
        <v>12617</v>
      </c>
      <c r="G3453" s="34" t="s">
        <v>14</v>
      </c>
      <c r="H3453" s="34" t="str">
        <f>IFERROR(VLOOKUP(Table2[[#This Row], [Ticket]],Okey!A:B,2,0),"")</f>
        <v/>
      </c>
      <c r="I3453" s="34"/>
      <c r="J3453" s="34" t="str">
        <f>VLOOKUP(Table2[[#This Row],[Author]],People!A:B,2,0)</f>
        <v>HC</v>
      </c>
      <c r="K3453" s="34" t="s">
        <v>12787</v>
      </c>
      <c r="L3453" s="34"/>
      <c r="M3453" s="34" t="s">
        <v>9000</v>
      </c>
    </row>
    <row r="3454" spans="1:13" hidden="1">
      <c r="A3454" s="40">
        <f t="shared" ref="A3454:A3517" si="58">1+A3453</f>
        <v>3453</v>
      </c>
      <c r="B3454" s="34" t="s">
        <v>8</v>
      </c>
      <c r="C3454" s="34" t="s">
        <v>12406</v>
      </c>
      <c r="D3454" s="8" t="s">
        <v>12628</v>
      </c>
      <c r="E3454" s="8" t="s">
        <v>12448</v>
      </c>
      <c r="F3454" s="8" t="s">
        <v>12617</v>
      </c>
      <c r="G3454" s="34" t="s">
        <v>14</v>
      </c>
      <c r="H3454" s="34" t="str">
        <f>IFERROR(VLOOKUP(Table2[[#This Row], [Ticket]],Okey!A:B,2,0),"")</f>
        <v/>
      </c>
      <c r="I3454" s="34"/>
      <c r="J3454" s="34" t="str">
        <f>VLOOKUP(Table2[[#This Row],[Author]],People!A:B,2,0)</f>
        <v>HC</v>
      </c>
      <c r="K3454" s="34" t="s">
        <v>12787</v>
      </c>
      <c r="L3454" s="34"/>
      <c r="M3454" s="34" t="s">
        <v>9000</v>
      </c>
    </row>
    <row r="3455" spans="1:13" hidden="1">
      <c r="A3455" s="40">
        <f t="shared" si="58"/>
        <v>3454</v>
      </c>
      <c r="B3455" s="34" t="s">
        <v>8</v>
      </c>
      <c r="C3455" s="34" t="s">
        <v>12406</v>
      </c>
      <c r="D3455" s="8" t="s">
        <v>12629</v>
      </c>
      <c r="E3455" s="8" t="s">
        <v>12449</v>
      </c>
      <c r="F3455" s="8" t="s">
        <v>12617</v>
      </c>
      <c r="G3455" s="34" t="s">
        <v>14</v>
      </c>
      <c r="H3455" s="34" t="str">
        <f>IFERROR(VLOOKUP(Table2[[#This Row], [Ticket]],Okey!A:B,2,0),"")</f>
        <v/>
      </c>
      <c r="I3455" s="34"/>
      <c r="J3455" s="34" t="str">
        <f>VLOOKUP(Table2[[#This Row],[Author]],People!A:B,2,0)</f>
        <v>HC</v>
      </c>
      <c r="K3455" s="34" t="s">
        <v>12787</v>
      </c>
      <c r="L3455" s="34"/>
      <c r="M3455" s="34" t="s">
        <v>9000</v>
      </c>
    </row>
    <row r="3456" spans="1:13" hidden="1">
      <c r="A3456" s="40">
        <f t="shared" si="58"/>
        <v>3455</v>
      </c>
      <c r="B3456" s="34" t="s">
        <v>8</v>
      </c>
      <c r="C3456" s="34" t="s">
        <v>12406</v>
      </c>
      <c r="D3456" s="8" t="s">
        <v>12630</v>
      </c>
      <c r="E3456" s="8" t="s">
        <v>12450</v>
      </c>
      <c r="F3456" s="8" t="s">
        <v>1127</v>
      </c>
      <c r="G3456" s="34" t="s">
        <v>14</v>
      </c>
      <c r="H3456" s="34" t="str">
        <f>IFERROR(VLOOKUP(Table2[[#This Row], [Ticket]],Okey!A:B,2,0),"")</f>
        <v/>
      </c>
      <c r="I3456" s="34"/>
      <c r="J3456" s="34" t="str">
        <f>VLOOKUP(Table2[[#This Row],[Author]],People!A:B,2,0)</f>
        <v>HC</v>
      </c>
      <c r="K3456" s="34" t="s">
        <v>12787</v>
      </c>
      <c r="L3456" s="34"/>
      <c r="M3456" s="34" t="s">
        <v>9000</v>
      </c>
    </row>
    <row r="3457" spans="1:13" hidden="1">
      <c r="A3457" s="40">
        <f t="shared" si="58"/>
        <v>3456</v>
      </c>
      <c r="B3457" s="34" t="s">
        <v>8</v>
      </c>
      <c r="C3457" s="34" t="s">
        <v>12406</v>
      </c>
      <c r="D3457" s="8" t="s">
        <v>12631</v>
      </c>
      <c r="E3457" s="8" t="s">
        <v>12451</v>
      </c>
      <c r="F3457" s="8" t="s">
        <v>1149</v>
      </c>
      <c r="G3457" s="34" t="s">
        <v>14</v>
      </c>
      <c r="H3457" s="34" t="str">
        <f>IFERROR(VLOOKUP(Table2[[#This Row], [Ticket]],Okey!A:B,2,0),"")</f>
        <v/>
      </c>
      <c r="I3457" s="34"/>
      <c r="J3457" s="34" t="str">
        <f>VLOOKUP(Table2[[#This Row],[Author]],People!A:B,2,0)</f>
        <v>HC</v>
      </c>
      <c r="K3457" s="34" t="s">
        <v>12787</v>
      </c>
      <c r="L3457" s="34"/>
      <c r="M3457" s="34" t="s">
        <v>9000</v>
      </c>
    </row>
    <row r="3458" spans="1:13" hidden="1">
      <c r="A3458" s="40">
        <f t="shared" si="58"/>
        <v>3457</v>
      </c>
      <c r="B3458" s="34" t="s">
        <v>8</v>
      </c>
      <c r="C3458" s="34" t="s">
        <v>12406</v>
      </c>
      <c r="D3458" s="8" t="s">
        <v>12632</v>
      </c>
      <c r="E3458" s="8" t="s">
        <v>12452</v>
      </c>
      <c r="F3458" s="8" t="s">
        <v>12631</v>
      </c>
      <c r="G3458" s="34" t="s">
        <v>14</v>
      </c>
      <c r="H3458" s="34" t="str">
        <f>IFERROR(VLOOKUP(Table2[[#This Row], [Ticket]],Okey!A:B,2,0),"")</f>
        <v/>
      </c>
      <c r="I3458" s="34"/>
      <c r="J3458" s="34" t="str">
        <f>VLOOKUP(Table2[[#This Row],[Author]],People!A:B,2,0)</f>
        <v>HC</v>
      </c>
      <c r="K3458" s="34" t="s">
        <v>12787</v>
      </c>
      <c r="L3458" s="34"/>
      <c r="M3458" s="34" t="s">
        <v>9000</v>
      </c>
    </row>
    <row r="3459" spans="1:13" hidden="1">
      <c r="A3459" s="40">
        <f t="shared" si="58"/>
        <v>3458</v>
      </c>
      <c r="B3459" s="34" t="s">
        <v>8</v>
      </c>
      <c r="C3459" s="34" t="s">
        <v>12406</v>
      </c>
      <c r="D3459" s="8" t="s">
        <v>12633</v>
      </c>
      <c r="E3459" s="8" t="s">
        <v>12453</v>
      </c>
      <c r="F3459" s="8" t="s">
        <v>12631</v>
      </c>
      <c r="G3459" s="34" t="s">
        <v>14</v>
      </c>
      <c r="H3459" s="34" t="str">
        <f>IFERROR(VLOOKUP(Table2[[#This Row], [Ticket]],Okey!A:B,2,0),"")</f>
        <v/>
      </c>
      <c r="I3459" s="34"/>
      <c r="J3459" s="34" t="str">
        <f>VLOOKUP(Table2[[#This Row],[Author]],People!A:B,2,0)</f>
        <v>HC</v>
      </c>
      <c r="K3459" s="34" t="s">
        <v>12787</v>
      </c>
      <c r="L3459" s="34"/>
      <c r="M3459" s="34" t="s">
        <v>9000</v>
      </c>
    </row>
    <row r="3460" spans="1:13" hidden="1">
      <c r="A3460" s="40">
        <f t="shared" si="58"/>
        <v>3459</v>
      </c>
      <c r="B3460" s="34" t="s">
        <v>8</v>
      </c>
      <c r="C3460" s="34" t="s">
        <v>12406</v>
      </c>
      <c r="D3460" s="8" t="s">
        <v>12634</v>
      </c>
      <c r="E3460" s="8" t="s">
        <v>12454</v>
      </c>
      <c r="F3460" s="8" t="s">
        <v>12631</v>
      </c>
      <c r="G3460" s="34" t="s">
        <v>14</v>
      </c>
      <c r="H3460" s="34" t="str">
        <f>IFERROR(VLOOKUP(Table2[[#This Row], [Ticket]],Okey!A:B,2,0),"")</f>
        <v/>
      </c>
      <c r="I3460" s="34"/>
      <c r="J3460" s="34" t="str">
        <f>VLOOKUP(Table2[[#This Row],[Author]],People!A:B,2,0)</f>
        <v>HC</v>
      </c>
      <c r="K3460" s="34" t="s">
        <v>12787</v>
      </c>
      <c r="L3460" s="34"/>
      <c r="M3460" s="34" t="s">
        <v>9000</v>
      </c>
    </row>
    <row r="3461" spans="1:13" hidden="1">
      <c r="A3461" s="40">
        <f t="shared" si="58"/>
        <v>3460</v>
      </c>
      <c r="B3461" s="34" t="s">
        <v>8</v>
      </c>
      <c r="C3461" s="34" t="s">
        <v>12406</v>
      </c>
      <c r="D3461" s="8" t="s">
        <v>12635</v>
      </c>
      <c r="E3461" s="8" t="s">
        <v>12455</v>
      </c>
      <c r="F3461" s="8" t="s">
        <v>12631</v>
      </c>
      <c r="G3461" s="34" t="s">
        <v>14</v>
      </c>
      <c r="H3461" s="34" t="str">
        <f>IFERROR(VLOOKUP(Table2[[#This Row], [Ticket]],Okey!A:B,2,0),"")</f>
        <v/>
      </c>
      <c r="I3461" s="34"/>
      <c r="J3461" s="34" t="str">
        <f>VLOOKUP(Table2[[#This Row],[Author]],People!A:B,2,0)</f>
        <v>HC</v>
      </c>
      <c r="K3461" s="34" t="s">
        <v>12787</v>
      </c>
      <c r="L3461" s="34"/>
      <c r="M3461" s="34" t="s">
        <v>9000</v>
      </c>
    </row>
    <row r="3462" spans="1:13" hidden="1">
      <c r="A3462" s="40">
        <f t="shared" si="58"/>
        <v>3461</v>
      </c>
      <c r="B3462" s="34" t="s">
        <v>8</v>
      </c>
      <c r="C3462" s="34" t="s">
        <v>12406</v>
      </c>
      <c r="D3462" s="8" t="s">
        <v>12636</v>
      </c>
      <c r="E3462" s="8" t="s">
        <v>12456</v>
      </c>
      <c r="F3462" s="8" t="s">
        <v>12631</v>
      </c>
      <c r="G3462" s="34" t="s">
        <v>14</v>
      </c>
      <c r="H3462" s="34" t="str">
        <f>IFERROR(VLOOKUP(Table2[[#This Row], [Ticket]],Okey!A:B,2,0),"")</f>
        <v/>
      </c>
      <c r="I3462" s="34"/>
      <c r="J3462" s="34" t="str">
        <f>VLOOKUP(Table2[[#This Row],[Author]],People!A:B,2,0)</f>
        <v>HC</v>
      </c>
      <c r="K3462" s="34" t="s">
        <v>12787</v>
      </c>
      <c r="L3462" s="34"/>
      <c r="M3462" s="34" t="s">
        <v>9000</v>
      </c>
    </row>
    <row r="3463" spans="1:13" hidden="1">
      <c r="A3463" s="40">
        <f t="shared" si="58"/>
        <v>3462</v>
      </c>
      <c r="B3463" s="34" t="s">
        <v>8</v>
      </c>
      <c r="C3463" s="34" t="s">
        <v>12406</v>
      </c>
      <c r="D3463" s="8" t="s">
        <v>12637</v>
      </c>
      <c r="E3463" s="8" t="s">
        <v>12457</v>
      </c>
      <c r="F3463" s="8" t="s">
        <v>12632</v>
      </c>
      <c r="G3463" s="34" t="s">
        <v>14</v>
      </c>
      <c r="H3463" s="34" t="str">
        <f>IFERROR(VLOOKUP(Table2[[#This Row], [Ticket]],Okey!A:B,2,0),"")</f>
        <v/>
      </c>
      <c r="I3463" s="34"/>
      <c r="J3463" s="34" t="str">
        <f>VLOOKUP(Table2[[#This Row],[Author]],People!A:B,2,0)</f>
        <v>HC</v>
      </c>
      <c r="K3463" s="34" t="s">
        <v>12787</v>
      </c>
      <c r="L3463" s="34"/>
      <c r="M3463" s="34" t="s">
        <v>9000</v>
      </c>
    </row>
    <row r="3464" spans="1:13" hidden="1">
      <c r="A3464" s="40">
        <f t="shared" si="58"/>
        <v>3463</v>
      </c>
      <c r="B3464" s="34" t="s">
        <v>8</v>
      </c>
      <c r="C3464" s="34" t="s">
        <v>12406</v>
      </c>
      <c r="D3464" s="8" t="s">
        <v>12638</v>
      </c>
      <c r="E3464" s="8" t="s">
        <v>12458</v>
      </c>
      <c r="F3464" s="8" t="s">
        <v>12632</v>
      </c>
      <c r="G3464" s="34" t="s">
        <v>14</v>
      </c>
      <c r="H3464" s="34" t="str">
        <f>IFERROR(VLOOKUP(Table2[[#This Row], [Ticket]],Okey!A:B,2,0),"")</f>
        <v/>
      </c>
      <c r="I3464" s="34"/>
      <c r="J3464" s="34" t="str">
        <f>VLOOKUP(Table2[[#This Row],[Author]],People!A:B,2,0)</f>
        <v>HC</v>
      </c>
      <c r="K3464" s="34" t="s">
        <v>12787</v>
      </c>
      <c r="L3464" s="34"/>
      <c r="M3464" s="34" t="s">
        <v>9000</v>
      </c>
    </row>
    <row r="3465" spans="1:13" hidden="1">
      <c r="A3465" s="40">
        <f t="shared" si="58"/>
        <v>3464</v>
      </c>
      <c r="B3465" s="34" t="s">
        <v>8</v>
      </c>
      <c r="C3465" s="34" t="s">
        <v>12406</v>
      </c>
      <c r="D3465" s="8" t="s">
        <v>12639</v>
      </c>
      <c r="E3465" s="8" t="s">
        <v>12459</v>
      </c>
      <c r="F3465" s="8" t="s">
        <v>12633</v>
      </c>
      <c r="G3465" s="34" t="s">
        <v>14</v>
      </c>
      <c r="H3465" s="34" t="str">
        <f>IFERROR(VLOOKUP(Table2[[#This Row], [Ticket]],Okey!A:B,2,0),"")</f>
        <v/>
      </c>
      <c r="I3465" s="34"/>
      <c r="J3465" s="34" t="str">
        <f>VLOOKUP(Table2[[#This Row],[Author]],People!A:B,2,0)</f>
        <v>HC</v>
      </c>
      <c r="K3465" s="34" t="s">
        <v>12787</v>
      </c>
      <c r="L3465" s="34"/>
      <c r="M3465" s="34" t="s">
        <v>9000</v>
      </c>
    </row>
    <row r="3466" spans="1:13" hidden="1">
      <c r="A3466" s="40">
        <f t="shared" si="58"/>
        <v>3465</v>
      </c>
      <c r="B3466" s="34" t="s">
        <v>8</v>
      </c>
      <c r="C3466" s="34" t="s">
        <v>12406</v>
      </c>
      <c r="D3466" s="8" t="s">
        <v>12640</v>
      </c>
      <c r="E3466" s="8" t="s">
        <v>12460</v>
      </c>
      <c r="F3466" s="8" t="s">
        <v>12633</v>
      </c>
      <c r="G3466" s="34" t="s">
        <v>14</v>
      </c>
      <c r="H3466" s="34" t="str">
        <f>IFERROR(VLOOKUP(Table2[[#This Row], [Ticket]],Okey!A:B,2,0),"")</f>
        <v/>
      </c>
      <c r="I3466" s="34"/>
      <c r="J3466" s="34" t="str">
        <f>VLOOKUP(Table2[[#This Row],[Author]],People!A:B,2,0)</f>
        <v>HC</v>
      </c>
      <c r="K3466" s="34" t="s">
        <v>12787</v>
      </c>
      <c r="L3466" s="34"/>
      <c r="M3466" s="34" t="s">
        <v>9000</v>
      </c>
    </row>
    <row r="3467" spans="1:13" hidden="1">
      <c r="A3467" s="40">
        <f t="shared" si="58"/>
        <v>3466</v>
      </c>
      <c r="B3467" s="34" t="s">
        <v>8</v>
      </c>
      <c r="C3467" s="34" t="s">
        <v>12406</v>
      </c>
      <c r="D3467" s="8" t="s">
        <v>12641</v>
      </c>
      <c r="E3467" s="8" t="s">
        <v>12461</v>
      </c>
      <c r="F3467" s="8" t="s">
        <v>12633</v>
      </c>
      <c r="G3467" s="34" t="s">
        <v>14</v>
      </c>
      <c r="H3467" s="34" t="str">
        <f>IFERROR(VLOOKUP(Table2[[#This Row], [Ticket]],Okey!A:B,2,0),"")</f>
        <v/>
      </c>
      <c r="I3467" s="34"/>
      <c r="J3467" s="34" t="str">
        <f>VLOOKUP(Table2[[#This Row],[Author]],People!A:B,2,0)</f>
        <v>HC</v>
      </c>
      <c r="K3467" s="34" t="s">
        <v>12787</v>
      </c>
      <c r="L3467" s="34"/>
      <c r="M3467" s="34" t="s">
        <v>9000</v>
      </c>
    </row>
    <row r="3468" spans="1:13" hidden="1">
      <c r="A3468" s="40">
        <f t="shared" si="58"/>
        <v>3467</v>
      </c>
      <c r="B3468" s="34" t="s">
        <v>8</v>
      </c>
      <c r="C3468" s="34" t="s">
        <v>12406</v>
      </c>
      <c r="D3468" s="8" t="s">
        <v>12642</v>
      </c>
      <c r="E3468" s="8" t="s">
        <v>12462</v>
      </c>
      <c r="F3468" s="8" t="s">
        <v>12634</v>
      </c>
      <c r="G3468" s="34" t="s">
        <v>14</v>
      </c>
      <c r="H3468" s="34" t="str">
        <f>IFERROR(VLOOKUP(Table2[[#This Row], [Ticket]],Okey!A:B,2,0),"")</f>
        <v/>
      </c>
      <c r="I3468" s="34"/>
      <c r="J3468" s="34" t="str">
        <f>VLOOKUP(Table2[[#This Row],[Author]],People!A:B,2,0)</f>
        <v>HC</v>
      </c>
      <c r="K3468" s="34" t="s">
        <v>12787</v>
      </c>
      <c r="L3468" s="34"/>
      <c r="M3468" s="34" t="s">
        <v>9000</v>
      </c>
    </row>
    <row r="3469" spans="1:13" hidden="1">
      <c r="A3469" s="40">
        <f t="shared" si="58"/>
        <v>3468</v>
      </c>
      <c r="B3469" s="34" t="s">
        <v>8</v>
      </c>
      <c r="C3469" s="34" t="s">
        <v>12406</v>
      </c>
      <c r="D3469" s="8" t="s">
        <v>12643</v>
      </c>
      <c r="E3469" s="8" t="s">
        <v>12463</v>
      </c>
      <c r="F3469" s="8" t="s">
        <v>12634</v>
      </c>
      <c r="G3469" s="34" t="s">
        <v>14</v>
      </c>
      <c r="H3469" s="34" t="str">
        <f>IFERROR(VLOOKUP(Table2[[#This Row], [Ticket]],Okey!A:B,2,0),"")</f>
        <v/>
      </c>
      <c r="I3469" s="34"/>
      <c r="J3469" s="34" t="str">
        <f>VLOOKUP(Table2[[#This Row],[Author]],People!A:B,2,0)</f>
        <v>HC</v>
      </c>
      <c r="K3469" s="34" t="s">
        <v>12787</v>
      </c>
      <c r="L3469" s="34"/>
      <c r="M3469" s="34" t="s">
        <v>9000</v>
      </c>
    </row>
    <row r="3470" spans="1:13" hidden="1">
      <c r="A3470" s="40">
        <f t="shared" si="58"/>
        <v>3469</v>
      </c>
      <c r="B3470" s="34" t="s">
        <v>8</v>
      </c>
      <c r="C3470" s="34" t="s">
        <v>12406</v>
      </c>
      <c r="D3470" s="8" t="s">
        <v>12644</v>
      </c>
      <c r="E3470" s="8" t="s">
        <v>12464</v>
      </c>
      <c r="F3470" s="8" t="s">
        <v>12634</v>
      </c>
      <c r="G3470" s="34" t="s">
        <v>14</v>
      </c>
      <c r="H3470" s="34" t="str">
        <f>IFERROR(VLOOKUP(Table2[[#This Row], [Ticket]],Okey!A:B,2,0),"")</f>
        <v/>
      </c>
      <c r="I3470" s="34"/>
      <c r="J3470" s="34" t="str">
        <f>VLOOKUP(Table2[[#This Row],[Author]],People!A:B,2,0)</f>
        <v>HC</v>
      </c>
      <c r="K3470" s="34" t="s">
        <v>12787</v>
      </c>
      <c r="L3470" s="34"/>
      <c r="M3470" s="34" t="s">
        <v>9000</v>
      </c>
    </row>
    <row r="3471" spans="1:13" hidden="1">
      <c r="A3471" s="40">
        <f t="shared" si="58"/>
        <v>3470</v>
      </c>
      <c r="B3471" s="34" t="s">
        <v>8</v>
      </c>
      <c r="C3471" s="34" t="s">
        <v>12406</v>
      </c>
      <c r="D3471" s="8" t="s">
        <v>12645</v>
      </c>
      <c r="E3471" s="8" t="s">
        <v>12465</v>
      </c>
      <c r="F3471" s="8" t="s">
        <v>12634</v>
      </c>
      <c r="G3471" s="34" t="s">
        <v>14</v>
      </c>
      <c r="H3471" s="34" t="str">
        <f>IFERROR(VLOOKUP(Table2[[#This Row], [Ticket]],Okey!A:B,2,0),"")</f>
        <v/>
      </c>
      <c r="I3471" s="34"/>
      <c r="J3471" s="34" t="str">
        <f>VLOOKUP(Table2[[#This Row],[Author]],People!A:B,2,0)</f>
        <v>HC</v>
      </c>
      <c r="K3471" s="34" t="s">
        <v>12787</v>
      </c>
      <c r="L3471" s="34"/>
      <c r="M3471" s="34" t="s">
        <v>9000</v>
      </c>
    </row>
    <row r="3472" spans="1:13" hidden="1">
      <c r="A3472" s="40">
        <f t="shared" si="58"/>
        <v>3471</v>
      </c>
      <c r="B3472" s="34" t="s">
        <v>8</v>
      </c>
      <c r="C3472" s="34" t="s">
        <v>12406</v>
      </c>
      <c r="D3472" s="8" t="s">
        <v>12646</v>
      </c>
      <c r="E3472" s="8" t="s">
        <v>12466</v>
      </c>
      <c r="F3472" s="8" t="s">
        <v>12635</v>
      </c>
      <c r="G3472" s="34" t="s">
        <v>14</v>
      </c>
      <c r="H3472" s="34" t="str">
        <f>IFERROR(VLOOKUP(Table2[[#This Row], [Ticket]],Okey!A:B,2,0),"")</f>
        <v/>
      </c>
      <c r="I3472" s="34"/>
      <c r="J3472" s="34" t="str">
        <f>VLOOKUP(Table2[[#This Row],[Author]],People!A:B,2,0)</f>
        <v>HC</v>
      </c>
      <c r="K3472" s="34" t="s">
        <v>12787</v>
      </c>
      <c r="L3472" s="34"/>
      <c r="M3472" s="34" t="s">
        <v>9000</v>
      </c>
    </row>
    <row r="3473" spans="1:13" hidden="1">
      <c r="A3473" s="40">
        <f t="shared" si="58"/>
        <v>3472</v>
      </c>
      <c r="B3473" s="34" t="s">
        <v>8</v>
      </c>
      <c r="C3473" s="34" t="s">
        <v>12406</v>
      </c>
      <c r="D3473" s="8" t="s">
        <v>12647</v>
      </c>
      <c r="E3473" s="8" t="s">
        <v>12467</v>
      </c>
      <c r="F3473" s="8" t="s">
        <v>12635</v>
      </c>
      <c r="G3473" s="34" t="s">
        <v>14</v>
      </c>
      <c r="H3473" s="34" t="str">
        <f>IFERROR(VLOOKUP(Table2[[#This Row], [Ticket]],Okey!A:B,2,0),"")</f>
        <v/>
      </c>
      <c r="I3473" s="34"/>
      <c r="J3473" s="34" t="str">
        <f>VLOOKUP(Table2[[#This Row],[Author]],People!A:B,2,0)</f>
        <v>HC</v>
      </c>
      <c r="K3473" s="34" t="s">
        <v>12787</v>
      </c>
      <c r="L3473" s="34"/>
      <c r="M3473" s="34" t="s">
        <v>9000</v>
      </c>
    </row>
    <row r="3474" spans="1:13" hidden="1">
      <c r="A3474" s="40">
        <f t="shared" si="58"/>
        <v>3473</v>
      </c>
      <c r="B3474" s="34" t="s">
        <v>8</v>
      </c>
      <c r="C3474" s="34" t="s">
        <v>12406</v>
      </c>
      <c r="D3474" s="8" t="s">
        <v>12648</v>
      </c>
      <c r="E3474" s="8" t="s">
        <v>12468</v>
      </c>
      <c r="F3474" s="8" t="s">
        <v>12635</v>
      </c>
      <c r="G3474" s="34" t="s">
        <v>14</v>
      </c>
      <c r="H3474" s="34" t="str">
        <f>IFERROR(VLOOKUP(Table2[[#This Row], [Ticket]],Okey!A:B,2,0),"")</f>
        <v/>
      </c>
      <c r="I3474" s="34"/>
      <c r="J3474" s="34" t="str">
        <f>VLOOKUP(Table2[[#This Row],[Author]],People!A:B,2,0)</f>
        <v>HC</v>
      </c>
      <c r="K3474" s="34" t="s">
        <v>12787</v>
      </c>
      <c r="L3474" s="34"/>
      <c r="M3474" s="34" t="s">
        <v>9000</v>
      </c>
    </row>
    <row r="3475" spans="1:13" hidden="1">
      <c r="A3475" s="40">
        <f t="shared" si="58"/>
        <v>3474</v>
      </c>
      <c r="B3475" s="34" t="s">
        <v>8</v>
      </c>
      <c r="C3475" s="34" t="s">
        <v>12406</v>
      </c>
      <c r="D3475" s="8" t="s">
        <v>12649</v>
      </c>
      <c r="E3475" s="8" t="s">
        <v>12469</v>
      </c>
      <c r="F3475" s="8" t="s">
        <v>12637</v>
      </c>
      <c r="G3475" s="34" t="s">
        <v>14</v>
      </c>
      <c r="H3475" s="34" t="str">
        <f>IFERROR(VLOOKUP(Table2[[#This Row], [Ticket]],Okey!A:B,2,0),"")</f>
        <v/>
      </c>
      <c r="I3475" s="34"/>
      <c r="J3475" s="34" t="str">
        <f>VLOOKUP(Table2[[#This Row],[Author]],People!A:B,2,0)</f>
        <v>HC</v>
      </c>
      <c r="K3475" s="34" t="s">
        <v>12787</v>
      </c>
      <c r="L3475" s="34"/>
      <c r="M3475" s="34" t="s">
        <v>9000</v>
      </c>
    </row>
    <row r="3476" spans="1:13" hidden="1">
      <c r="A3476" s="40">
        <f t="shared" si="58"/>
        <v>3475</v>
      </c>
      <c r="B3476" s="34" t="s">
        <v>8</v>
      </c>
      <c r="C3476" s="34" t="s">
        <v>12406</v>
      </c>
      <c r="D3476" s="8" t="s">
        <v>12650</v>
      </c>
      <c r="E3476" s="8" t="s">
        <v>12470</v>
      </c>
      <c r="F3476" s="8" t="s">
        <v>12638</v>
      </c>
      <c r="G3476" s="34" t="s">
        <v>14</v>
      </c>
      <c r="H3476" s="34" t="str">
        <f>IFERROR(VLOOKUP(Table2[[#This Row], [Ticket]],Okey!A:B,2,0),"")</f>
        <v/>
      </c>
      <c r="I3476" s="34"/>
      <c r="J3476" s="34" t="str">
        <f>VLOOKUP(Table2[[#This Row],[Author]],People!A:B,2,0)</f>
        <v>HC</v>
      </c>
      <c r="K3476" s="34" t="s">
        <v>12787</v>
      </c>
      <c r="L3476" s="34"/>
      <c r="M3476" s="34" t="s">
        <v>9000</v>
      </c>
    </row>
    <row r="3477" spans="1:13" hidden="1">
      <c r="A3477" s="40">
        <f t="shared" si="58"/>
        <v>3476</v>
      </c>
      <c r="B3477" s="34" t="s">
        <v>8</v>
      </c>
      <c r="C3477" s="34" t="s">
        <v>12406</v>
      </c>
      <c r="D3477" s="8" t="s">
        <v>12651</v>
      </c>
      <c r="E3477" s="8" t="s">
        <v>12471</v>
      </c>
      <c r="F3477" s="8" t="s">
        <v>12638</v>
      </c>
      <c r="G3477" s="34" t="s">
        <v>14</v>
      </c>
      <c r="H3477" s="34" t="str">
        <f>IFERROR(VLOOKUP(Table2[[#This Row], [Ticket]],Okey!A:B,2,0),"")</f>
        <v/>
      </c>
      <c r="I3477" s="34"/>
      <c r="J3477" s="34" t="str">
        <f>VLOOKUP(Table2[[#This Row],[Author]],People!A:B,2,0)</f>
        <v>HC</v>
      </c>
      <c r="K3477" s="34" t="s">
        <v>12787</v>
      </c>
      <c r="L3477" s="34"/>
      <c r="M3477" s="34" t="s">
        <v>9000</v>
      </c>
    </row>
    <row r="3478" spans="1:13" hidden="1">
      <c r="A3478" s="40">
        <f t="shared" si="58"/>
        <v>3477</v>
      </c>
      <c r="B3478" s="34" t="s">
        <v>8</v>
      </c>
      <c r="C3478" s="34" t="s">
        <v>12406</v>
      </c>
      <c r="D3478" s="8" t="s">
        <v>12652</v>
      </c>
      <c r="E3478" s="8" t="s">
        <v>12472</v>
      </c>
      <c r="F3478" s="8" t="s">
        <v>12649</v>
      </c>
      <c r="G3478" s="34" t="s">
        <v>14</v>
      </c>
      <c r="H3478" s="34" t="str">
        <f>IFERROR(VLOOKUP(Table2[[#This Row], [Ticket]],Okey!A:B,2,0),"")</f>
        <v/>
      </c>
      <c r="I3478" s="34"/>
      <c r="J3478" s="34" t="str">
        <f>VLOOKUP(Table2[[#This Row],[Author]],People!A:B,2,0)</f>
        <v>HC</v>
      </c>
      <c r="K3478" s="34" t="s">
        <v>12787</v>
      </c>
      <c r="L3478" s="34"/>
      <c r="M3478" s="34" t="s">
        <v>9000</v>
      </c>
    </row>
    <row r="3479" spans="1:13" hidden="1">
      <c r="A3479" s="40">
        <f t="shared" si="58"/>
        <v>3478</v>
      </c>
      <c r="B3479" s="34" t="s">
        <v>8</v>
      </c>
      <c r="C3479" s="34" t="s">
        <v>12406</v>
      </c>
      <c r="D3479" s="8" t="s">
        <v>12653</v>
      </c>
      <c r="E3479" s="8" t="s">
        <v>12473</v>
      </c>
      <c r="F3479" s="8" t="s">
        <v>12649</v>
      </c>
      <c r="G3479" s="34" t="s">
        <v>14</v>
      </c>
      <c r="H3479" s="34" t="str">
        <f>IFERROR(VLOOKUP(Table2[[#This Row], [Ticket]],Okey!A:B,2,0),"")</f>
        <v/>
      </c>
      <c r="I3479" s="34"/>
      <c r="J3479" s="34" t="str">
        <f>VLOOKUP(Table2[[#This Row],[Author]],People!A:B,2,0)</f>
        <v>HC</v>
      </c>
      <c r="K3479" s="34" t="s">
        <v>12787</v>
      </c>
      <c r="L3479" s="34"/>
      <c r="M3479" s="34" t="s">
        <v>9000</v>
      </c>
    </row>
    <row r="3480" spans="1:13" hidden="1">
      <c r="A3480" s="40">
        <f t="shared" si="58"/>
        <v>3479</v>
      </c>
      <c r="B3480" s="34" t="s">
        <v>8</v>
      </c>
      <c r="C3480" s="34" t="s">
        <v>12406</v>
      </c>
      <c r="D3480" s="8" t="s">
        <v>12654</v>
      </c>
      <c r="E3480" s="8" t="s">
        <v>12474</v>
      </c>
      <c r="F3480" s="8" t="s">
        <v>12649</v>
      </c>
      <c r="G3480" s="34" t="s">
        <v>14</v>
      </c>
      <c r="H3480" s="34" t="str">
        <f>IFERROR(VLOOKUP(Table2[[#This Row], [Ticket]],Okey!A:B,2,0),"")</f>
        <v/>
      </c>
      <c r="I3480" s="34"/>
      <c r="J3480" s="34" t="str">
        <f>VLOOKUP(Table2[[#This Row],[Author]],People!A:B,2,0)</f>
        <v>HC</v>
      </c>
      <c r="K3480" s="34" t="s">
        <v>12787</v>
      </c>
      <c r="L3480" s="34"/>
      <c r="M3480" s="34" t="s">
        <v>9000</v>
      </c>
    </row>
    <row r="3481" spans="1:13" hidden="1">
      <c r="A3481" s="40">
        <f t="shared" si="58"/>
        <v>3480</v>
      </c>
      <c r="B3481" s="34" t="s">
        <v>8</v>
      </c>
      <c r="C3481" s="34" t="s">
        <v>12406</v>
      </c>
      <c r="D3481" s="8" t="s">
        <v>12655</v>
      </c>
      <c r="E3481" s="8" t="s">
        <v>12475</v>
      </c>
      <c r="F3481" s="8" t="s">
        <v>12649</v>
      </c>
      <c r="G3481" s="34" t="s">
        <v>14</v>
      </c>
      <c r="H3481" s="34" t="str">
        <f>IFERROR(VLOOKUP(Table2[[#This Row], [Ticket]],Okey!A:B,2,0),"")</f>
        <v/>
      </c>
      <c r="I3481" s="34"/>
      <c r="J3481" s="34" t="str">
        <f>VLOOKUP(Table2[[#This Row],[Author]],People!A:B,2,0)</f>
        <v>HC</v>
      </c>
      <c r="K3481" s="34" t="s">
        <v>12787</v>
      </c>
      <c r="L3481" s="34"/>
      <c r="M3481" s="34" t="s">
        <v>9000</v>
      </c>
    </row>
    <row r="3482" spans="1:13" hidden="1">
      <c r="A3482" s="40">
        <f t="shared" si="58"/>
        <v>3481</v>
      </c>
      <c r="B3482" s="34" t="s">
        <v>8</v>
      </c>
      <c r="C3482" s="34" t="s">
        <v>12406</v>
      </c>
      <c r="D3482" s="8" t="s">
        <v>12656</v>
      </c>
      <c r="E3482" s="8" t="s">
        <v>12472</v>
      </c>
      <c r="F3482" s="8" t="s">
        <v>12650</v>
      </c>
      <c r="G3482" s="34" t="s">
        <v>14</v>
      </c>
      <c r="H3482" s="34" t="str">
        <f>IFERROR(VLOOKUP(Table2[[#This Row], [Ticket]],Okey!A:B,2,0),"")</f>
        <v/>
      </c>
      <c r="I3482" s="34"/>
      <c r="J3482" s="34" t="str">
        <f>VLOOKUP(Table2[[#This Row],[Author]],People!A:B,2,0)</f>
        <v>HC</v>
      </c>
      <c r="K3482" s="34" t="s">
        <v>12787</v>
      </c>
      <c r="L3482" s="34"/>
      <c r="M3482" s="34" t="s">
        <v>9000</v>
      </c>
    </row>
    <row r="3483" spans="1:13" hidden="1">
      <c r="A3483" s="40">
        <f t="shared" si="58"/>
        <v>3482</v>
      </c>
      <c r="B3483" s="34" t="s">
        <v>8</v>
      </c>
      <c r="C3483" s="34" t="s">
        <v>12406</v>
      </c>
      <c r="D3483" s="8" t="s">
        <v>12657</v>
      </c>
      <c r="E3483" s="8" t="s">
        <v>12473</v>
      </c>
      <c r="F3483" s="8" t="s">
        <v>12650</v>
      </c>
      <c r="G3483" s="34" t="s">
        <v>14</v>
      </c>
      <c r="H3483" s="34" t="str">
        <f>IFERROR(VLOOKUP(Table2[[#This Row], [Ticket]],Okey!A:B,2,0),"")</f>
        <v/>
      </c>
      <c r="I3483" s="34"/>
      <c r="J3483" s="34" t="str">
        <f>VLOOKUP(Table2[[#This Row],[Author]],People!A:B,2,0)</f>
        <v>HC</v>
      </c>
      <c r="K3483" s="34" t="s">
        <v>12787</v>
      </c>
      <c r="L3483" s="34"/>
      <c r="M3483" s="34" t="s">
        <v>9000</v>
      </c>
    </row>
    <row r="3484" spans="1:13" hidden="1">
      <c r="A3484" s="40">
        <f t="shared" si="58"/>
        <v>3483</v>
      </c>
      <c r="B3484" s="34" t="s">
        <v>8</v>
      </c>
      <c r="C3484" s="34" t="s">
        <v>12406</v>
      </c>
      <c r="D3484" s="8" t="s">
        <v>12658</v>
      </c>
      <c r="E3484" s="8" t="s">
        <v>12474</v>
      </c>
      <c r="F3484" s="8" t="s">
        <v>12650</v>
      </c>
      <c r="G3484" s="34" t="s">
        <v>14</v>
      </c>
      <c r="H3484" s="34" t="str">
        <f>IFERROR(VLOOKUP(Table2[[#This Row], [Ticket]],Okey!A:B,2,0),"")</f>
        <v/>
      </c>
      <c r="I3484" s="34"/>
      <c r="J3484" s="34" t="str">
        <f>VLOOKUP(Table2[[#This Row],[Author]],People!A:B,2,0)</f>
        <v>HC</v>
      </c>
      <c r="K3484" s="34" t="s">
        <v>12787</v>
      </c>
      <c r="L3484" s="34"/>
      <c r="M3484" s="34" t="s">
        <v>9000</v>
      </c>
    </row>
    <row r="3485" spans="1:13" hidden="1">
      <c r="A3485" s="40">
        <f t="shared" si="58"/>
        <v>3484</v>
      </c>
      <c r="B3485" s="34" t="s">
        <v>8</v>
      </c>
      <c r="C3485" s="34" t="s">
        <v>12406</v>
      </c>
      <c r="D3485" s="8" t="s">
        <v>12659</v>
      </c>
      <c r="E3485" s="8" t="s">
        <v>12475</v>
      </c>
      <c r="F3485" s="8" t="s">
        <v>12650</v>
      </c>
      <c r="G3485" s="34" t="s">
        <v>14</v>
      </c>
      <c r="H3485" s="34" t="str">
        <f>IFERROR(VLOOKUP(Table2[[#This Row], [Ticket]],Okey!A:B,2,0),"")</f>
        <v/>
      </c>
      <c r="I3485" s="34"/>
      <c r="J3485" s="34" t="str">
        <f>VLOOKUP(Table2[[#This Row],[Author]],People!A:B,2,0)</f>
        <v>HC</v>
      </c>
      <c r="K3485" s="34" t="s">
        <v>12787</v>
      </c>
      <c r="L3485" s="34"/>
      <c r="M3485" s="34" t="s">
        <v>9000</v>
      </c>
    </row>
    <row r="3486" spans="1:13" hidden="1">
      <c r="A3486" s="40">
        <f t="shared" si="58"/>
        <v>3485</v>
      </c>
      <c r="B3486" s="34" t="s">
        <v>8</v>
      </c>
      <c r="C3486" s="34" t="s">
        <v>12406</v>
      </c>
      <c r="D3486" s="8" t="s">
        <v>12660</v>
      </c>
      <c r="E3486" s="8" t="s">
        <v>12472</v>
      </c>
      <c r="F3486" s="8" t="s">
        <v>12651</v>
      </c>
      <c r="G3486" s="34" t="s">
        <v>14</v>
      </c>
      <c r="H3486" s="34" t="str">
        <f>IFERROR(VLOOKUP(Table2[[#This Row], [Ticket]],Okey!A:B,2,0),"")</f>
        <v/>
      </c>
      <c r="I3486" s="34"/>
      <c r="J3486" s="34" t="str">
        <f>VLOOKUP(Table2[[#This Row],[Author]],People!A:B,2,0)</f>
        <v>HC</v>
      </c>
      <c r="K3486" s="34" t="s">
        <v>12787</v>
      </c>
      <c r="L3486" s="34"/>
      <c r="M3486" s="34" t="s">
        <v>9000</v>
      </c>
    </row>
    <row r="3487" spans="1:13" hidden="1">
      <c r="A3487" s="40">
        <f t="shared" si="58"/>
        <v>3486</v>
      </c>
      <c r="B3487" s="34" t="s">
        <v>8</v>
      </c>
      <c r="C3487" s="34" t="s">
        <v>12406</v>
      </c>
      <c r="D3487" s="8" t="s">
        <v>12661</v>
      </c>
      <c r="E3487" s="8" t="s">
        <v>12473</v>
      </c>
      <c r="F3487" s="8" t="s">
        <v>12651</v>
      </c>
      <c r="G3487" s="34" t="s">
        <v>14</v>
      </c>
      <c r="H3487" s="34" t="str">
        <f>IFERROR(VLOOKUP(Table2[[#This Row], [Ticket]],Okey!A:B,2,0),"")</f>
        <v/>
      </c>
      <c r="I3487" s="34"/>
      <c r="J3487" s="34" t="str">
        <f>VLOOKUP(Table2[[#This Row],[Author]],People!A:B,2,0)</f>
        <v>HC</v>
      </c>
      <c r="K3487" s="34" t="s">
        <v>12787</v>
      </c>
      <c r="L3487" s="34"/>
      <c r="M3487" s="34" t="s">
        <v>9000</v>
      </c>
    </row>
    <row r="3488" spans="1:13" hidden="1">
      <c r="A3488" s="40">
        <f t="shared" si="58"/>
        <v>3487</v>
      </c>
      <c r="B3488" s="34" t="s">
        <v>8</v>
      </c>
      <c r="C3488" s="34" t="s">
        <v>12406</v>
      </c>
      <c r="D3488" s="8" t="s">
        <v>12662</v>
      </c>
      <c r="E3488" s="8" t="s">
        <v>12474</v>
      </c>
      <c r="F3488" s="8" t="s">
        <v>12651</v>
      </c>
      <c r="G3488" s="34" t="s">
        <v>14</v>
      </c>
      <c r="H3488" s="34" t="str">
        <f>IFERROR(VLOOKUP(Table2[[#This Row], [Ticket]],Okey!A:B,2,0),"")</f>
        <v/>
      </c>
      <c r="I3488" s="34"/>
      <c r="J3488" s="34" t="str">
        <f>VLOOKUP(Table2[[#This Row],[Author]],People!A:B,2,0)</f>
        <v>HC</v>
      </c>
      <c r="K3488" s="34" t="s">
        <v>12787</v>
      </c>
      <c r="L3488" s="34"/>
      <c r="M3488" s="34" t="s">
        <v>9000</v>
      </c>
    </row>
    <row r="3489" spans="1:13" hidden="1">
      <c r="A3489" s="40">
        <f t="shared" si="58"/>
        <v>3488</v>
      </c>
      <c r="B3489" s="34" t="s">
        <v>8</v>
      </c>
      <c r="C3489" s="34" t="s">
        <v>12406</v>
      </c>
      <c r="D3489" s="8" t="s">
        <v>12663</v>
      </c>
      <c r="E3489" s="8" t="s">
        <v>12475</v>
      </c>
      <c r="F3489" s="8" t="s">
        <v>12651</v>
      </c>
      <c r="G3489" s="34" t="s">
        <v>14</v>
      </c>
      <c r="H3489" s="34" t="str">
        <f>IFERROR(VLOOKUP(Table2[[#This Row], [Ticket]],Okey!A:B,2,0),"")</f>
        <v/>
      </c>
      <c r="I3489" s="34"/>
      <c r="J3489" s="34" t="str">
        <f>VLOOKUP(Table2[[#This Row],[Author]],People!A:B,2,0)</f>
        <v>HC</v>
      </c>
      <c r="K3489" s="34" t="s">
        <v>12787</v>
      </c>
      <c r="L3489" s="34"/>
      <c r="M3489" s="34" t="s">
        <v>9000</v>
      </c>
    </row>
    <row r="3490" spans="1:13" hidden="1">
      <c r="A3490" s="40">
        <f t="shared" si="58"/>
        <v>3489</v>
      </c>
      <c r="B3490" s="34" t="s">
        <v>8</v>
      </c>
      <c r="C3490" s="34" t="s">
        <v>12406</v>
      </c>
      <c r="D3490" s="8" t="s">
        <v>12664</v>
      </c>
      <c r="E3490" s="8" t="s">
        <v>12476</v>
      </c>
      <c r="F3490" s="8" t="s">
        <v>1149</v>
      </c>
      <c r="G3490" s="34" t="s">
        <v>14</v>
      </c>
      <c r="H3490" s="34" t="str">
        <f>IFERROR(VLOOKUP(Table2[[#This Row], [Ticket]],Okey!A:B,2,0),"")</f>
        <v/>
      </c>
      <c r="I3490" s="34"/>
      <c r="J3490" s="34" t="str">
        <f>VLOOKUP(Table2[[#This Row],[Author]],People!A:B,2,0)</f>
        <v>HC</v>
      </c>
      <c r="K3490" s="34" t="s">
        <v>12787</v>
      </c>
      <c r="L3490" s="34"/>
      <c r="M3490" s="34" t="s">
        <v>9000</v>
      </c>
    </row>
    <row r="3491" spans="1:13" hidden="1">
      <c r="A3491" s="40">
        <f t="shared" si="58"/>
        <v>3490</v>
      </c>
      <c r="B3491" s="34" t="s">
        <v>8</v>
      </c>
      <c r="C3491" s="34" t="s">
        <v>12406</v>
      </c>
      <c r="D3491" s="8" t="s">
        <v>12665</v>
      </c>
      <c r="E3491" s="8" t="s">
        <v>12477</v>
      </c>
      <c r="F3491" s="8" t="s">
        <v>1137</v>
      </c>
      <c r="G3491" s="34" t="s">
        <v>14</v>
      </c>
      <c r="H3491" s="34" t="str">
        <f>IFERROR(VLOOKUP(Table2[[#This Row], [Ticket]],Okey!A:B,2,0),"")</f>
        <v/>
      </c>
      <c r="I3491" s="34"/>
      <c r="J3491" s="34" t="str">
        <f>VLOOKUP(Table2[[#This Row],[Author]],People!A:B,2,0)</f>
        <v>HC</v>
      </c>
      <c r="K3491" s="34" t="s">
        <v>12787</v>
      </c>
      <c r="L3491" s="34"/>
      <c r="M3491" s="34" t="s">
        <v>9000</v>
      </c>
    </row>
    <row r="3492" spans="1:13" hidden="1">
      <c r="A3492" s="40">
        <f t="shared" si="58"/>
        <v>3491</v>
      </c>
      <c r="B3492" s="34" t="s">
        <v>8</v>
      </c>
      <c r="C3492" s="34" t="s">
        <v>12406</v>
      </c>
      <c r="D3492" s="8" t="s">
        <v>12666</v>
      </c>
      <c r="E3492" s="8" t="s">
        <v>12478</v>
      </c>
      <c r="F3492" s="8" t="s">
        <v>12665</v>
      </c>
      <c r="G3492" s="34" t="s">
        <v>14</v>
      </c>
      <c r="H3492" s="34" t="str">
        <f>IFERROR(VLOOKUP(Table2[[#This Row], [Ticket]],Okey!A:B,2,0),"")</f>
        <v/>
      </c>
      <c r="I3492" s="34"/>
      <c r="J3492" s="34" t="str">
        <f>VLOOKUP(Table2[[#This Row],[Author]],People!A:B,2,0)</f>
        <v>HC</v>
      </c>
      <c r="K3492" s="34" t="s">
        <v>12787</v>
      </c>
      <c r="L3492" s="34"/>
      <c r="M3492" s="34" t="s">
        <v>9000</v>
      </c>
    </row>
    <row r="3493" spans="1:13" hidden="1">
      <c r="A3493" s="40">
        <f t="shared" si="58"/>
        <v>3492</v>
      </c>
      <c r="B3493" s="34" t="s">
        <v>8</v>
      </c>
      <c r="C3493" s="34" t="s">
        <v>12406</v>
      </c>
      <c r="D3493" s="8" t="s">
        <v>12667</v>
      </c>
      <c r="E3493" s="8" t="s">
        <v>12479</v>
      </c>
      <c r="F3493" s="8" t="s">
        <v>12665</v>
      </c>
      <c r="G3493" s="34" t="s">
        <v>14</v>
      </c>
      <c r="H3493" s="34" t="str">
        <f>IFERROR(VLOOKUP(Table2[[#This Row], [Ticket]],Okey!A:B,2,0),"")</f>
        <v/>
      </c>
      <c r="I3493" s="34"/>
      <c r="J3493" s="34" t="str">
        <f>VLOOKUP(Table2[[#This Row],[Author]],People!A:B,2,0)</f>
        <v>HC</v>
      </c>
      <c r="K3493" s="34" t="s">
        <v>12787</v>
      </c>
      <c r="L3493" s="34"/>
      <c r="M3493" s="34" t="s">
        <v>9000</v>
      </c>
    </row>
    <row r="3494" spans="1:13" hidden="1">
      <c r="A3494" s="40">
        <f t="shared" si="58"/>
        <v>3493</v>
      </c>
      <c r="B3494" s="34" t="s">
        <v>8</v>
      </c>
      <c r="C3494" s="34" t="s">
        <v>12406</v>
      </c>
      <c r="D3494" s="8" t="s">
        <v>12668</v>
      </c>
      <c r="E3494" s="8" t="s">
        <v>12480</v>
      </c>
      <c r="F3494" s="8" t="s">
        <v>12665</v>
      </c>
      <c r="G3494" s="34" t="s">
        <v>14</v>
      </c>
      <c r="H3494" s="34" t="str">
        <f>IFERROR(VLOOKUP(Table2[[#This Row], [Ticket]],Okey!A:B,2,0),"")</f>
        <v/>
      </c>
      <c r="I3494" s="34"/>
      <c r="J3494" s="34" t="str">
        <f>VLOOKUP(Table2[[#This Row],[Author]],People!A:B,2,0)</f>
        <v>HC</v>
      </c>
      <c r="K3494" s="34" t="s">
        <v>12787</v>
      </c>
      <c r="L3494" s="34"/>
      <c r="M3494" s="34" t="s">
        <v>9000</v>
      </c>
    </row>
    <row r="3495" spans="1:13" hidden="1">
      <c r="A3495" s="40">
        <f t="shared" si="58"/>
        <v>3494</v>
      </c>
      <c r="B3495" s="34" t="s">
        <v>8</v>
      </c>
      <c r="C3495" s="34" t="s">
        <v>12406</v>
      </c>
      <c r="D3495" s="8" t="s">
        <v>12669</v>
      </c>
      <c r="E3495" s="8" t="s">
        <v>12481</v>
      </c>
      <c r="F3495" s="8" t="s">
        <v>12665</v>
      </c>
      <c r="G3495" s="34" t="s">
        <v>14</v>
      </c>
      <c r="H3495" s="34" t="str">
        <f>IFERROR(VLOOKUP(Table2[[#This Row], [Ticket]],Okey!A:B,2,0),"")</f>
        <v/>
      </c>
      <c r="I3495" s="34"/>
      <c r="J3495" s="34" t="str">
        <f>VLOOKUP(Table2[[#This Row],[Author]],People!A:B,2,0)</f>
        <v>HC</v>
      </c>
      <c r="K3495" s="34" t="s">
        <v>12787</v>
      </c>
      <c r="L3495" s="34"/>
      <c r="M3495" s="34" t="s">
        <v>9000</v>
      </c>
    </row>
    <row r="3496" spans="1:13" hidden="1">
      <c r="A3496" s="40">
        <f t="shared" si="58"/>
        <v>3495</v>
      </c>
      <c r="B3496" s="34" t="s">
        <v>8</v>
      </c>
      <c r="C3496" s="34" t="s">
        <v>12406</v>
      </c>
      <c r="D3496" s="8" t="s">
        <v>12670</v>
      </c>
      <c r="E3496" s="8" t="s">
        <v>12482</v>
      </c>
      <c r="F3496" s="8" t="s">
        <v>12666</v>
      </c>
      <c r="G3496" s="34" t="s">
        <v>14</v>
      </c>
      <c r="H3496" s="34" t="str">
        <f>IFERROR(VLOOKUP(Table2[[#This Row], [Ticket]],Okey!A:B,2,0),"")</f>
        <v/>
      </c>
      <c r="I3496" s="34"/>
      <c r="J3496" s="34" t="str">
        <f>VLOOKUP(Table2[[#This Row],[Author]],People!A:B,2,0)</f>
        <v>HC</v>
      </c>
      <c r="K3496" s="34" t="s">
        <v>12787</v>
      </c>
      <c r="L3496" s="34"/>
      <c r="M3496" s="34" t="s">
        <v>9000</v>
      </c>
    </row>
    <row r="3497" spans="1:13" hidden="1">
      <c r="A3497" s="40">
        <f t="shared" si="58"/>
        <v>3496</v>
      </c>
      <c r="B3497" s="34" t="s">
        <v>8</v>
      </c>
      <c r="C3497" s="34" t="s">
        <v>12406</v>
      </c>
      <c r="D3497" s="8" t="s">
        <v>12671</v>
      </c>
      <c r="E3497" s="8" t="s">
        <v>12483</v>
      </c>
      <c r="F3497" s="8" t="s">
        <v>12666</v>
      </c>
      <c r="G3497" s="34" t="s">
        <v>14</v>
      </c>
      <c r="H3497" s="34" t="str">
        <f>IFERROR(VLOOKUP(Table2[[#This Row], [Ticket]],Okey!A:B,2,0),"")</f>
        <v/>
      </c>
      <c r="I3497" s="34"/>
      <c r="J3497" s="34" t="str">
        <f>VLOOKUP(Table2[[#This Row],[Author]],People!A:B,2,0)</f>
        <v>HC</v>
      </c>
      <c r="K3497" s="34" t="s">
        <v>12787</v>
      </c>
      <c r="L3497" s="34"/>
      <c r="M3497" s="34" t="s">
        <v>9000</v>
      </c>
    </row>
    <row r="3498" spans="1:13" hidden="1">
      <c r="A3498" s="40">
        <f t="shared" si="58"/>
        <v>3497</v>
      </c>
      <c r="B3498" s="34" t="s">
        <v>8</v>
      </c>
      <c r="C3498" s="34" t="s">
        <v>12406</v>
      </c>
      <c r="D3498" s="8" t="s">
        <v>12672</v>
      </c>
      <c r="E3498" s="8" t="s">
        <v>12484</v>
      </c>
      <c r="F3498" s="8" t="s">
        <v>12667</v>
      </c>
      <c r="G3498" s="34" t="s">
        <v>14</v>
      </c>
      <c r="H3498" s="34" t="str">
        <f>IFERROR(VLOOKUP(Table2[[#This Row], [Ticket]],Okey!A:B,2,0),"")</f>
        <v/>
      </c>
      <c r="I3498" s="34"/>
      <c r="J3498" s="34" t="str">
        <f>VLOOKUP(Table2[[#This Row],[Author]],People!A:B,2,0)</f>
        <v>HC</v>
      </c>
      <c r="K3498" s="34" t="s">
        <v>12787</v>
      </c>
      <c r="L3498" s="34"/>
      <c r="M3498" s="34" t="s">
        <v>9000</v>
      </c>
    </row>
    <row r="3499" spans="1:13" hidden="1">
      <c r="A3499" s="40">
        <f t="shared" si="58"/>
        <v>3498</v>
      </c>
      <c r="B3499" s="34" t="s">
        <v>8</v>
      </c>
      <c r="C3499" s="34" t="s">
        <v>12406</v>
      </c>
      <c r="D3499" s="8" t="s">
        <v>12673</v>
      </c>
      <c r="E3499" s="8" t="s">
        <v>12485</v>
      </c>
      <c r="F3499" s="8" t="s">
        <v>12667</v>
      </c>
      <c r="G3499" s="34" t="s">
        <v>14</v>
      </c>
      <c r="H3499" s="34" t="str">
        <f>IFERROR(VLOOKUP(Table2[[#This Row], [Ticket]],Okey!A:B,2,0),"")</f>
        <v/>
      </c>
      <c r="I3499" s="34"/>
      <c r="J3499" s="34" t="str">
        <f>VLOOKUP(Table2[[#This Row],[Author]],People!A:B,2,0)</f>
        <v>HC</v>
      </c>
      <c r="K3499" s="34" t="s">
        <v>12787</v>
      </c>
      <c r="L3499" s="34"/>
      <c r="M3499" s="34" t="s">
        <v>9000</v>
      </c>
    </row>
    <row r="3500" spans="1:13" hidden="1">
      <c r="A3500" s="40">
        <f t="shared" si="58"/>
        <v>3499</v>
      </c>
      <c r="B3500" s="34" t="s">
        <v>8</v>
      </c>
      <c r="C3500" s="34" t="s">
        <v>12406</v>
      </c>
      <c r="D3500" s="8" t="s">
        <v>12674</v>
      </c>
      <c r="E3500" s="8" t="s">
        <v>12486</v>
      </c>
      <c r="F3500" s="8" t="s">
        <v>12667</v>
      </c>
      <c r="G3500" s="34" t="s">
        <v>14</v>
      </c>
      <c r="H3500" s="34" t="str">
        <f>IFERROR(VLOOKUP(Table2[[#This Row], [Ticket]],Okey!A:B,2,0),"")</f>
        <v/>
      </c>
      <c r="I3500" s="34"/>
      <c r="J3500" s="34" t="str">
        <f>VLOOKUP(Table2[[#This Row],[Author]],People!A:B,2,0)</f>
        <v>HC</v>
      </c>
      <c r="K3500" s="34" t="s">
        <v>12787</v>
      </c>
      <c r="L3500" s="34"/>
      <c r="M3500" s="34" t="s">
        <v>9000</v>
      </c>
    </row>
    <row r="3501" spans="1:13" hidden="1">
      <c r="A3501" s="40">
        <f t="shared" si="58"/>
        <v>3500</v>
      </c>
      <c r="B3501" s="34" t="s">
        <v>8</v>
      </c>
      <c r="C3501" s="34" t="s">
        <v>12406</v>
      </c>
      <c r="D3501" s="8" t="s">
        <v>12675</v>
      </c>
      <c r="E3501" s="8" t="s">
        <v>12487</v>
      </c>
      <c r="F3501" s="8" t="s">
        <v>12668</v>
      </c>
      <c r="G3501" s="34" t="s">
        <v>14</v>
      </c>
      <c r="H3501" s="34" t="str">
        <f>IFERROR(VLOOKUP(Table2[[#This Row], [Ticket]],Okey!A:B,2,0),"")</f>
        <v/>
      </c>
      <c r="I3501" s="34"/>
      <c r="J3501" s="34" t="str">
        <f>VLOOKUP(Table2[[#This Row],[Author]],People!A:B,2,0)</f>
        <v>HC</v>
      </c>
      <c r="K3501" s="34" t="s">
        <v>12787</v>
      </c>
      <c r="L3501" s="34"/>
      <c r="M3501" s="34" t="s">
        <v>9000</v>
      </c>
    </row>
    <row r="3502" spans="1:13" hidden="1">
      <c r="A3502" s="40">
        <f t="shared" si="58"/>
        <v>3501</v>
      </c>
      <c r="B3502" s="34" t="s">
        <v>8</v>
      </c>
      <c r="C3502" s="34" t="s">
        <v>12406</v>
      </c>
      <c r="D3502" s="8" t="s">
        <v>12676</v>
      </c>
      <c r="E3502" s="8" t="s">
        <v>12488</v>
      </c>
      <c r="F3502" s="8" t="s">
        <v>12668</v>
      </c>
      <c r="G3502" s="34" t="s">
        <v>14</v>
      </c>
      <c r="H3502" s="34" t="str">
        <f>IFERROR(VLOOKUP(Table2[[#This Row], [Ticket]],Okey!A:B,2,0),"")</f>
        <v/>
      </c>
      <c r="I3502" s="34"/>
      <c r="J3502" s="34" t="str">
        <f>VLOOKUP(Table2[[#This Row],[Author]],People!A:B,2,0)</f>
        <v>HC</v>
      </c>
      <c r="K3502" s="34" t="s">
        <v>12787</v>
      </c>
      <c r="L3502" s="34"/>
      <c r="M3502" s="34" t="s">
        <v>9000</v>
      </c>
    </row>
    <row r="3503" spans="1:13" hidden="1">
      <c r="A3503" s="40">
        <f t="shared" si="58"/>
        <v>3502</v>
      </c>
      <c r="B3503" s="34" t="s">
        <v>8</v>
      </c>
      <c r="C3503" s="34" t="s">
        <v>12406</v>
      </c>
      <c r="D3503" s="8" t="s">
        <v>12677</v>
      </c>
      <c r="E3503" s="8" t="s">
        <v>12489</v>
      </c>
      <c r="F3503" s="8" t="s">
        <v>12668</v>
      </c>
      <c r="G3503" s="34" t="s">
        <v>14</v>
      </c>
      <c r="H3503" s="34" t="str">
        <f>IFERROR(VLOOKUP(Table2[[#This Row], [Ticket]],Okey!A:B,2,0),"")</f>
        <v/>
      </c>
      <c r="I3503" s="34"/>
      <c r="J3503" s="34" t="str">
        <f>VLOOKUP(Table2[[#This Row],[Author]],People!A:B,2,0)</f>
        <v>HC</v>
      </c>
      <c r="K3503" s="34" t="s">
        <v>12787</v>
      </c>
      <c r="L3503" s="34"/>
      <c r="M3503" s="34" t="s">
        <v>9000</v>
      </c>
    </row>
    <row r="3504" spans="1:13" hidden="1">
      <c r="A3504" s="40">
        <f t="shared" si="58"/>
        <v>3503</v>
      </c>
      <c r="B3504" s="34" t="s">
        <v>8</v>
      </c>
      <c r="C3504" s="34" t="s">
        <v>12406</v>
      </c>
      <c r="D3504" s="8" t="s">
        <v>12678</v>
      </c>
      <c r="E3504" s="8" t="s">
        <v>12490</v>
      </c>
      <c r="F3504" s="8" t="s">
        <v>12671</v>
      </c>
      <c r="G3504" s="34" t="s">
        <v>14</v>
      </c>
      <c r="H3504" s="34" t="str">
        <f>IFERROR(VLOOKUP(Table2[[#This Row], [Ticket]],Okey!A:B,2,0),"")</f>
        <v/>
      </c>
      <c r="I3504" s="34"/>
      <c r="J3504" s="34" t="str">
        <f>VLOOKUP(Table2[[#This Row],[Author]],People!A:B,2,0)</f>
        <v>HC</v>
      </c>
      <c r="K3504" s="34" t="s">
        <v>12787</v>
      </c>
      <c r="L3504" s="34"/>
      <c r="M3504" s="34" t="s">
        <v>9000</v>
      </c>
    </row>
    <row r="3505" spans="1:13" hidden="1">
      <c r="A3505" s="40">
        <f t="shared" si="58"/>
        <v>3504</v>
      </c>
      <c r="B3505" s="34" t="s">
        <v>8</v>
      </c>
      <c r="C3505" s="34" t="s">
        <v>12406</v>
      </c>
      <c r="D3505" s="8" t="s">
        <v>12679</v>
      </c>
      <c r="E3505" s="8" t="s">
        <v>12491</v>
      </c>
      <c r="F3505" s="8" t="s">
        <v>12670</v>
      </c>
      <c r="G3505" s="34" t="s">
        <v>14</v>
      </c>
      <c r="H3505" s="34" t="str">
        <f>IFERROR(VLOOKUP(Table2[[#This Row], [Ticket]],Okey!A:B,2,0),"")</f>
        <v/>
      </c>
      <c r="I3505" s="34"/>
      <c r="J3505" s="34" t="str">
        <f>VLOOKUP(Table2[[#This Row],[Author]],People!A:B,2,0)</f>
        <v>HC</v>
      </c>
      <c r="K3505" s="34" t="s">
        <v>12787</v>
      </c>
      <c r="L3505" s="34"/>
      <c r="M3505" s="34" t="s">
        <v>9000</v>
      </c>
    </row>
    <row r="3506" spans="1:13" hidden="1">
      <c r="A3506" s="40">
        <f t="shared" si="58"/>
        <v>3505</v>
      </c>
      <c r="B3506" s="34" t="s">
        <v>8</v>
      </c>
      <c r="C3506" s="34" t="s">
        <v>12406</v>
      </c>
      <c r="D3506" s="8" t="s">
        <v>12680</v>
      </c>
      <c r="E3506" s="8" t="s">
        <v>12492</v>
      </c>
      <c r="F3506" s="8" t="s">
        <v>12671</v>
      </c>
      <c r="G3506" s="34" t="s">
        <v>14</v>
      </c>
      <c r="H3506" s="34" t="str">
        <f>IFERROR(VLOOKUP(Table2[[#This Row], [Ticket]],Okey!A:B,2,0),"")</f>
        <v/>
      </c>
      <c r="I3506" s="34"/>
      <c r="J3506" s="34" t="str">
        <f>VLOOKUP(Table2[[#This Row],[Author]],People!A:B,2,0)</f>
        <v>HC</v>
      </c>
      <c r="K3506" s="34" t="s">
        <v>12787</v>
      </c>
      <c r="L3506" s="34"/>
      <c r="M3506" s="34" t="s">
        <v>9000</v>
      </c>
    </row>
    <row r="3507" spans="1:13" hidden="1">
      <c r="A3507" s="40">
        <f t="shared" si="58"/>
        <v>3506</v>
      </c>
      <c r="B3507" s="34" t="s">
        <v>8</v>
      </c>
      <c r="C3507" s="34" t="s">
        <v>12406</v>
      </c>
      <c r="D3507" s="8" t="s">
        <v>12681</v>
      </c>
      <c r="E3507" s="8" t="s">
        <v>12493</v>
      </c>
      <c r="F3507" s="8" t="s">
        <v>12671</v>
      </c>
      <c r="G3507" s="34" t="s">
        <v>14</v>
      </c>
      <c r="H3507" s="34" t="str">
        <f>IFERROR(VLOOKUP(Table2[[#This Row], [Ticket]],Okey!A:B,2,0),"")</f>
        <v/>
      </c>
      <c r="I3507" s="34"/>
      <c r="J3507" s="34" t="str">
        <f>VLOOKUP(Table2[[#This Row],[Author]],People!A:B,2,0)</f>
        <v>HC</v>
      </c>
      <c r="K3507" s="34" t="s">
        <v>12787</v>
      </c>
      <c r="L3507" s="34"/>
      <c r="M3507" s="34" t="s">
        <v>9000</v>
      </c>
    </row>
    <row r="3508" spans="1:13" hidden="1">
      <c r="A3508" s="40">
        <f t="shared" si="58"/>
        <v>3507</v>
      </c>
      <c r="B3508" s="34" t="s">
        <v>8</v>
      </c>
      <c r="C3508" s="34" t="s">
        <v>12406</v>
      </c>
      <c r="D3508" s="8" t="s">
        <v>12682</v>
      </c>
      <c r="E3508" s="8" t="s">
        <v>12494</v>
      </c>
      <c r="F3508" s="8" t="s">
        <v>12678</v>
      </c>
      <c r="G3508" s="34" t="s">
        <v>14</v>
      </c>
      <c r="H3508" s="34" t="str">
        <f>IFERROR(VLOOKUP(Table2[[#This Row], [Ticket]],Okey!A:B,2,0),"")</f>
        <v/>
      </c>
      <c r="I3508" s="34"/>
      <c r="J3508" s="34" t="str">
        <f>VLOOKUP(Table2[[#This Row],[Author]],People!A:B,2,0)</f>
        <v>HC</v>
      </c>
      <c r="K3508" s="34" t="s">
        <v>12787</v>
      </c>
      <c r="L3508" s="34"/>
      <c r="M3508" s="34" t="s">
        <v>9000</v>
      </c>
    </row>
    <row r="3509" spans="1:13" hidden="1">
      <c r="A3509" s="40">
        <f t="shared" si="58"/>
        <v>3508</v>
      </c>
      <c r="B3509" s="34" t="s">
        <v>8</v>
      </c>
      <c r="C3509" s="34" t="s">
        <v>12406</v>
      </c>
      <c r="D3509" s="8" t="s">
        <v>12683</v>
      </c>
      <c r="E3509" s="8" t="s">
        <v>12495</v>
      </c>
      <c r="F3509" s="8" t="s">
        <v>12678</v>
      </c>
      <c r="G3509" s="34" t="s">
        <v>14</v>
      </c>
      <c r="H3509" s="34" t="str">
        <f>IFERROR(VLOOKUP(Table2[[#This Row], [Ticket]],Okey!A:B,2,0),"")</f>
        <v/>
      </c>
      <c r="I3509" s="34"/>
      <c r="J3509" s="34" t="str">
        <f>VLOOKUP(Table2[[#This Row],[Author]],People!A:B,2,0)</f>
        <v>HC</v>
      </c>
      <c r="K3509" s="34" t="s">
        <v>12787</v>
      </c>
      <c r="L3509" s="34"/>
      <c r="M3509" s="34" t="s">
        <v>9000</v>
      </c>
    </row>
    <row r="3510" spans="1:13" hidden="1">
      <c r="A3510" s="40">
        <f t="shared" si="58"/>
        <v>3509</v>
      </c>
      <c r="B3510" s="34" t="s">
        <v>8</v>
      </c>
      <c r="C3510" s="34" t="s">
        <v>12406</v>
      </c>
      <c r="D3510" s="8" t="s">
        <v>12684</v>
      </c>
      <c r="E3510" s="8" t="s">
        <v>12496</v>
      </c>
      <c r="F3510" s="8" t="s">
        <v>12678</v>
      </c>
      <c r="G3510" s="34" t="s">
        <v>14</v>
      </c>
      <c r="H3510" s="34" t="str">
        <f>IFERROR(VLOOKUP(Table2[[#This Row], [Ticket]],Okey!A:B,2,0),"")</f>
        <v/>
      </c>
      <c r="I3510" s="34"/>
      <c r="J3510" s="34" t="str">
        <f>VLOOKUP(Table2[[#This Row],[Author]],People!A:B,2,0)</f>
        <v>HC</v>
      </c>
      <c r="K3510" s="34" t="s">
        <v>12787</v>
      </c>
      <c r="L3510" s="34"/>
      <c r="M3510" s="34" t="s">
        <v>9000</v>
      </c>
    </row>
    <row r="3511" spans="1:13" hidden="1">
      <c r="A3511" s="40">
        <f t="shared" si="58"/>
        <v>3510</v>
      </c>
      <c r="B3511" s="34" t="s">
        <v>8</v>
      </c>
      <c r="C3511" s="34" t="s">
        <v>12406</v>
      </c>
      <c r="D3511" s="8" t="s">
        <v>12685</v>
      </c>
      <c r="E3511" s="8" t="s">
        <v>12497</v>
      </c>
      <c r="F3511" s="8" t="s">
        <v>12678</v>
      </c>
      <c r="G3511" s="34" t="s">
        <v>14</v>
      </c>
      <c r="H3511" s="34" t="str">
        <f>IFERROR(VLOOKUP(Table2[[#This Row], [Ticket]],Okey!A:B,2,0),"")</f>
        <v/>
      </c>
      <c r="I3511" s="34"/>
      <c r="J3511" s="34" t="str">
        <f>VLOOKUP(Table2[[#This Row],[Author]],People!A:B,2,0)</f>
        <v>HC</v>
      </c>
      <c r="K3511" s="34" t="s">
        <v>12787</v>
      </c>
      <c r="L3511" s="34"/>
      <c r="M3511" s="34" t="s">
        <v>9000</v>
      </c>
    </row>
    <row r="3512" spans="1:13" hidden="1">
      <c r="A3512" s="40">
        <f t="shared" si="58"/>
        <v>3511</v>
      </c>
      <c r="B3512" s="34" t="s">
        <v>8</v>
      </c>
      <c r="C3512" s="34" t="s">
        <v>12406</v>
      </c>
      <c r="D3512" s="8" t="s">
        <v>12686</v>
      </c>
      <c r="E3512" s="8" t="s">
        <v>12486</v>
      </c>
      <c r="F3512" s="8" t="s">
        <v>12678</v>
      </c>
      <c r="G3512" s="34" t="s">
        <v>14</v>
      </c>
      <c r="H3512" s="34" t="str">
        <f>IFERROR(VLOOKUP(Table2[[#This Row], [Ticket]],Okey!A:B,2,0),"")</f>
        <v/>
      </c>
      <c r="I3512" s="34"/>
      <c r="J3512" s="34" t="str">
        <f>VLOOKUP(Table2[[#This Row],[Author]],People!A:B,2,0)</f>
        <v>HC</v>
      </c>
      <c r="K3512" s="34" t="s">
        <v>12787</v>
      </c>
      <c r="L3512" s="34"/>
      <c r="M3512" s="34" t="s">
        <v>9000</v>
      </c>
    </row>
    <row r="3513" spans="1:13" hidden="1">
      <c r="A3513" s="40">
        <f t="shared" si="58"/>
        <v>3512</v>
      </c>
      <c r="B3513" s="34" t="s">
        <v>8</v>
      </c>
      <c r="C3513" s="34" t="s">
        <v>12406</v>
      </c>
      <c r="D3513" s="8" t="s">
        <v>12687</v>
      </c>
      <c r="E3513" s="8" t="s">
        <v>12498</v>
      </c>
      <c r="F3513" s="8" t="s">
        <v>12678</v>
      </c>
      <c r="G3513" s="34" t="s">
        <v>14</v>
      </c>
      <c r="H3513" s="34" t="str">
        <f>IFERROR(VLOOKUP(Table2[[#This Row], [Ticket]],Okey!A:B,2,0),"")</f>
        <v/>
      </c>
      <c r="I3513" s="34"/>
      <c r="J3513" s="34" t="str">
        <f>VLOOKUP(Table2[[#This Row],[Author]],People!A:B,2,0)</f>
        <v>HC</v>
      </c>
      <c r="K3513" s="34" t="s">
        <v>12787</v>
      </c>
      <c r="L3513" s="34"/>
      <c r="M3513" s="34" t="s">
        <v>9000</v>
      </c>
    </row>
    <row r="3514" spans="1:13" hidden="1">
      <c r="A3514" s="40">
        <f t="shared" si="58"/>
        <v>3513</v>
      </c>
      <c r="B3514" s="34" t="s">
        <v>8</v>
      </c>
      <c r="C3514" s="34" t="s">
        <v>12406</v>
      </c>
      <c r="D3514" s="8" t="s">
        <v>12688</v>
      </c>
      <c r="E3514" s="8" t="s">
        <v>12484</v>
      </c>
      <c r="F3514" s="8" t="s">
        <v>12678</v>
      </c>
      <c r="G3514" s="34" t="s">
        <v>14</v>
      </c>
      <c r="H3514" s="34" t="str">
        <f>IFERROR(VLOOKUP(Table2[[#This Row], [Ticket]],Okey!A:B,2,0),"")</f>
        <v/>
      </c>
      <c r="I3514" s="34"/>
      <c r="J3514" s="34" t="str">
        <f>VLOOKUP(Table2[[#This Row],[Author]],People!A:B,2,0)</f>
        <v>HC</v>
      </c>
      <c r="K3514" s="34" t="s">
        <v>12787</v>
      </c>
      <c r="L3514" s="34"/>
      <c r="M3514" s="34" t="s">
        <v>9000</v>
      </c>
    </row>
    <row r="3515" spans="1:13" hidden="1">
      <c r="A3515" s="40">
        <f t="shared" si="58"/>
        <v>3514</v>
      </c>
      <c r="B3515" s="34" t="s">
        <v>8</v>
      </c>
      <c r="C3515" s="34" t="s">
        <v>12406</v>
      </c>
      <c r="D3515" s="8" t="s">
        <v>12689</v>
      </c>
      <c r="E3515" s="8" t="s">
        <v>12494</v>
      </c>
      <c r="F3515" s="8" t="s">
        <v>12679</v>
      </c>
      <c r="G3515" s="34" t="s">
        <v>14</v>
      </c>
      <c r="H3515" s="34" t="str">
        <f>IFERROR(VLOOKUP(Table2[[#This Row], [Ticket]],Okey!A:B,2,0),"")</f>
        <v/>
      </c>
      <c r="I3515" s="34"/>
      <c r="J3515" s="34" t="str">
        <f>VLOOKUP(Table2[[#This Row],[Author]],People!A:B,2,0)</f>
        <v>HC</v>
      </c>
      <c r="K3515" s="34" t="s">
        <v>12787</v>
      </c>
      <c r="L3515" s="34"/>
      <c r="M3515" s="34" t="s">
        <v>9000</v>
      </c>
    </row>
    <row r="3516" spans="1:13" hidden="1">
      <c r="A3516" s="40">
        <f t="shared" si="58"/>
        <v>3515</v>
      </c>
      <c r="B3516" s="34" t="s">
        <v>8</v>
      </c>
      <c r="C3516" s="34" t="s">
        <v>12406</v>
      </c>
      <c r="D3516" s="8" t="s">
        <v>12690</v>
      </c>
      <c r="E3516" s="8" t="s">
        <v>12495</v>
      </c>
      <c r="F3516" s="8" t="s">
        <v>12679</v>
      </c>
      <c r="G3516" s="34" t="s">
        <v>14</v>
      </c>
      <c r="H3516" s="34" t="str">
        <f>IFERROR(VLOOKUP(Table2[[#This Row], [Ticket]],Okey!A:B,2,0),"")</f>
        <v/>
      </c>
      <c r="I3516" s="34"/>
      <c r="J3516" s="34" t="str">
        <f>VLOOKUP(Table2[[#This Row],[Author]],People!A:B,2,0)</f>
        <v>HC</v>
      </c>
      <c r="K3516" s="34" t="s">
        <v>12787</v>
      </c>
      <c r="L3516" s="34"/>
      <c r="M3516" s="34" t="s">
        <v>9000</v>
      </c>
    </row>
    <row r="3517" spans="1:13" hidden="1">
      <c r="A3517" s="40">
        <f t="shared" si="58"/>
        <v>3516</v>
      </c>
      <c r="B3517" s="34" t="s">
        <v>8</v>
      </c>
      <c r="C3517" s="34" t="s">
        <v>12406</v>
      </c>
      <c r="D3517" s="8" t="s">
        <v>12691</v>
      </c>
      <c r="E3517" s="8" t="s">
        <v>12496</v>
      </c>
      <c r="F3517" s="8" t="s">
        <v>12679</v>
      </c>
      <c r="G3517" s="34" t="s">
        <v>14</v>
      </c>
      <c r="H3517" s="34" t="str">
        <f>IFERROR(VLOOKUP(Table2[[#This Row], [Ticket]],Okey!A:B,2,0),"")</f>
        <v/>
      </c>
      <c r="I3517" s="34"/>
      <c r="J3517" s="34" t="str">
        <f>VLOOKUP(Table2[[#This Row],[Author]],People!A:B,2,0)</f>
        <v>HC</v>
      </c>
      <c r="K3517" s="34" t="s">
        <v>12787</v>
      </c>
      <c r="L3517" s="34"/>
      <c r="M3517" s="34" t="s">
        <v>9000</v>
      </c>
    </row>
    <row r="3518" spans="1:13" hidden="1">
      <c r="A3518" s="40">
        <f t="shared" ref="A3518:A3581" si="59">1+A3517</f>
        <v>3517</v>
      </c>
      <c r="B3518" s="34" t="s">
        <v>8</v>
      </c>
      <c r="C3518" s="34" t="s">
        <v>12406</v>
      </c>
      <c r="D3518" s="8" t="s">
        <v>12692</v>
      </c>
      <c r="E3518" s="8" t="s">
        <v>12497</v>
      </c>
      <c r="F3518" s="8" t="s">
        <v>12679</v>
      </c>
      <c r="G3518" s="34" t="s">
        <v>14</v>
      </c>
      <c r="H3518" s="34" t="str">
        <f>IFERROR(VLOOKUP(Table2[[#This Row], [Ticket]],Okey!A:B,2,0),"")</f>
        <v/>
      </c>
      <c r="I3518" s="34"/>
      <c r="J3518" s="34" t="str">
        <f>VLOOKUP(Table2[[#This Row],[Author]],People!A:B,2,0)</f>
        <v>HC</v>
      </c>
      <c r="K3518" s="34" t="s">
        <v>12787</v>
      </c>
      <c r="L3518" s="34"/>
      <c r="M3518" s="34" t="s">
        <v>9000</v>
      </c>
    </row>
    <row r="3519" spans="1:13" hidden="1">
      <c r="A3519" s="40">
        <f t="shared" si="59"/>
        <v>3518</v>
      </c>
      <c r="B3519" s="34" t="s">
        <v>8</v>
      </c>
      <c r="C3519" s="34" t="s">
        <v>12406</v>
      </c>
      <c r="D3519" s="8" t="s">
        <v>12693</v>
      </c>
      <c r="E3519" s="8" t="s">
        <v>12486</v>
      </c>
      <c r="F3519" s="8" t="s">
        <v>12679</v>
      </c>
      <c r="G3519" s="34" t="s">
        <v>14</v>
      </c>
      <c r="H3519" s="34" t="str">
        <f>IFERROR(VLOOKUP(Table2[[#This Row], [Ticket]],Okey!A:B,2,0),"")</f>
        <v/>
      </c>
      <c r="I3519" s="34"/>
      <c r="J3519" s="34" t="str">
        <f>VLOOKUP(Table2[[#This Row],[Author]],People!A:B,2,0)</f>
        <v>HC</v>
      </c>
      <c r="K3519" s="34" t="s">
        <v>12787</v>
      </c>
      <c r="L3519" s="34"/>
      <c r="M3519" s="34" t="s">
        <v>9000</v>
      </c>
    </row>
    <row r="3520" spans="1:13" hidden="1">
      <c r="A3520" s="40">
        <f t="shared" si="59"/>
        <v>3519</v>
      </c>
      <c r="B3520" s="34" t="s">
        <v>8</v>
      </c>
      <c r="C3520" s="34" t="s">
        <v>12406</v>
      </c>
      <c r="D3520" s="8" t="s">
        <v>12694</v>
      </c>
      <c r="E3520" s="8" t="s">
        <v>12498</v>
      </c>
      <c r="F3520" s="8" t="s">
        <v>12679</v>
      </c>
      <c r="G3520" s="34" t="s">
        <v>14</v>
      </c>
      <c r="H3520" s="34" t="str">
        <f>IFERROR(VLOOKUP(Table2[[#This Row], [Ticket]],Okey!A:B,2,0),"")</f>
        <v/>
      </c>
      <c r="I3520" s="34"/>
      <c r="J3520" s="34" t="str">
        <f>VLOOKUP(Table2[[#This Row],[Author]],People!A:B,2,0)</f>
        <v>HC</v>
      </c>
      <c r="K3520" s="34" t="s">
        <v>12787</v>
      </c>
      <c r="L3520" s="34"/>
      <c r="M3520" s="34" t="s">
        <v>9000</v>
      </c>
    </row>
    <row r="3521" spans="1:13" hidden="1">
      <c r="A3521" s="40">
        <f t="shared" si="59"/>
        <v>3520</v>
      </c>
      <c r="B3521" s="34" t="s">
        <v>8</v>
      </c>
      <c r="C3521" s="34" t="s">
        <v>12406</v>
      </c>
      <c r="D3521" s="8" t="s">
        <v>12695</v>
      </c>
      <c r="E3521" s="8" t="s">
        <v>12484</v>
      </c>
      <c r="F3521" s="8" t="s">
        <v>12679</v>
      </c>
      <c r="G3521" s="34" t="s">
        <v>14</v>
      </c>
      <c r="H3521" s="34" t="str">
        <f>IFERROR(VLOOKUP(Table2[[#This Row], [Ticket]],Okey!A:B,2,0),"")</f>
        <v/>
      </c>
      <c r="I3521" s="34"/>
      <c r="J3521" s="34" t="str">
        <f>VLOOKUP(Table2[[#This Row],[Author]],People!A:B,2,0)</f>
        <v>HC</v>
      </c>
      <c r="K3521" s="34" t="s">
        <v>12787</v>
      </c>
      <c r="L3521" s="34"/>
      <c r="M3521" s="34" t="s">
        <v>9000</v>
      </c>
    </row>
    <row r="3522" spans="1:13" hidden="1">
      <c r="A3522" s="40">
        <f t="shared" si="59"/>
        <v>3521</v>
      </c>
      <c r="B3522" s="34" t="s">
        <v>8</v>
      </c>
      <c r="C3522" s="34" t="s">
        <v>12406</v>
      </c>
      <c r="D3522" s="8" t="s">
        <v>12696</v>
      </c>
      <c r="E3522" s="8" t="s">
        <v>12494</v>
      </c>
      <c r="F3522" s="8" t="s">
        <v>12680</v>
      </c>
      <c r="G3522" s="34" t="s">
        <v>14</v>
      </c>
      <c r="H3522" s="34" t="str">
        <f>IFERROR(VLOOKUP(Table2[[#This Row], [Ticket]],Okey!A:B,2,0),"")</f>
        <v/>
      </c>
      <c r="I3522" s="34"/>
      <c r="J3522" s="34" t="str">
        <f>VLOOKUP(Table2[[#This Row],[Author]],People!A:B,2,0)</f>
        <v>HC</v>
      </c>
      <c r="K3522" s="34" t="s">
        <v>12787</v>
      </c>
      <c r="L3522" s="34"/>
      <c r="M3522" s="34" t="s">
        <v>9000</v>
      </c>
    </row>
    <row r="3523" spans="1:13" hidden="1">
      <c r="A3523" s="40">
        <f t="shared" si="59"/>
        <v>3522</v>
      </c>
      <c r="B3523" s="34" t="s">
        <v>8</v>
      </c>
      <c r="C3523" s="34" t="s">
        <v>12406</v>
      </c>
      <c r="D3523" s="8" t="s">
        <v>12697</v>
      </c>
      <c r="E3523" s="8" t="s">
        <v>12495</v>
      </c>
      <c r="F3523" s="8" t="s">
        <v>12680</v>
      </c>
      <c r="G3523" s="34" t="s">
        <v>14</v>
      </c>
      <c r="H3523" s="34" t="str">
        <f>IFERROR(VLOOKUP(Table2[[#This Row], [Ticket]],Okey!A:B,2,0),"")</f>
        <v/>
      </c>
      <c r="I3523" s="34"/>
      <c r="J3523" s="34" t="str">
        <f>VLOOKUP(Table2[[#This Row],[Author]],People!A:B,2,0)</f>
        <v>HC</v>
      </c>
      <c r="K3523" s="34" t="s">
        <v>12787</v>
      </c>
      <c r="L3523" s="34"/>
      <c r="M3523" s="34" t="s">
        <v>9000</v>
      </c>
    </row>
    <row r="3524" spans="1:13" hidden="1">
      <c r="A3524" s="40">
        <f t="shared" si="59"/>
        <v>3523</v>
      </c>
      <c r="B3524" s="34" t="s">
        <v>8</v>
      </c>
      <c r="C3524" s="34" t="s">
        <v>12406</v>
      </c>
      <c r="D3524" s="8" t="s">
        <v>12698</v>
      </c>
      <c r="E3524" s="8" t="s">
        <v>12496</v>
      </c>
      <c r="F3524" s="8" t="s">
        <v>12680</v>
      </c>
      <c r="G3524" s="34" t="s">
        <v>14</v>
      </c>
      <c r="H3524" s="34" t="str">
        <f>IFERROR(VLOOKUP(Table2[[#This Row], [Ticket]],Okey!A:B,2,0),"")</f>
        <v/>
      </c>
      <c r="I3524" s="34"/>
      <c r="J3524" s="34" t="str">
        <f>VLOOKUP(Table2[[#This Row],[Author]],People!A:B,2,0)</f>
        <v>HC</v>
      </c>
      <c r="K3524" s="34" t="s">
        <v>12787</v>
      </c>
      <c r="L3524" s="34"/>
      <c r="M3524" s="34" t="s">
        <v>9000</v>
      </c>
    </row>
    <row r="3525" spans="1:13" hidden="1">
      <c r="A3525" s="40">
        <f t="shared" si="59"/>
        <v>3524</v>
      </c>
      <c r="B3525" s="34" t="s">
        <v>8</v>
      </c>
      <c r="C3525" s="34" t="s">
        <v>12406</v>
      </c>
      <c r="D3525" s="8" t="s">
        <v>12699</v>
      </c>
      <c r="E3525" s="8" t="s">
        <v>12497</v>
      </c>
      <c r="F3525" s="8" t="s">
        <v>12680</v>
      </c>
      <c r="G3525" s="34" t="s">
        <v>14</v>
      </c>
      <c r="H3525" s="34" t="str">
        <f>IFERROR(VLOOKUP(Table2[[#This Row], [Ticket]],Okey!A:B,2,0),"")</f>
        <v/>
      </c>
      <c r="I3525" s="34"/>
      <c r="J3525" s="34" t="str">
        <f>VLOOKUP(Table2[[#This Row],[Author]],People!A:B,2,0)</f>
        <v>HC</v>
      </c>
      <c r="K3525" s="34" t="s">
        <v>12787</v>
      </c>
      <c r="L3525" s="34"/>
      <c r="M3525" s="34" t="s">
        <v>9000</v>
      </c>
    </row>
    <row r="3526" spans="1:13" hidden="1">
      <c r="A3526" s="40">
        <f t="shared" si="59"/>
        <v>3525</v>
      </c>
      <c r="B3526" s="34" t="s">
        <v>8</v>
      </c>
      <c r="C3526" s="34" t="s">
        <v>12406</v>
      </c>
      <c r="D3526" s="8" t="s">
        <v>12700</v>
      </c>
      <c r="E3526" s="8" t="s">
        <v>12486</v>
      </c>
      <c r="F3526" s="8" t="s">
        <v>12680</v>
      </c>
      <c r="G3526" s="34" t="s">
        <v>14</v>
      </c>
      <c r="H3526" s="34" t="str">
        <f>IFERROR(VLOOKUP(Table2[[#This Row], [Ticket]],Okey!A:B,2,0),"")</f>
        <v/>
      </c>
      <c r="I3526" s="34"/>
      <c r="J3526" s="34" t="str">
        <f>VLOOKUP(Table2[[#This Row],[Author]],People!A:B,2,0)</f>
        <v>HC</v>
      </c>
      <c r="K3526" s="34" t="s">
        <v>12787</v>
      </c>
      <c r="L3526" s="34"/>
      <c r="M3526" s="34" t="s">
        <v>9000</v>
      </c>
    </row>
    <row r="3527" spans="1:13" hidden="1">
      <c r="A3527" s="40">
        <f t="shared" si="59"/>
        <v>3526</v>
      </c>
      <c r="B3527" s="34" t="s">
        <v>8</v>
      </c>
      <c r="C3527" s="34" t="s">
        <v>12406</v>
      </c>
      <c r="D3527" s="8" t="s">
        <v>12701</v>
      </c>
      <c r="E3527" s="8" t="s">
        <v>12498</v>
      </c>
      <c r="F3527" s="8" t="s">
        <v>12680</v>
      </c>
      <c r="G3527" s="34" t="s">
        <v>14</v>
      </c>
      <c r="H3527" s="34" t="str">
        <f>IFERROR(VLOOKUP(Table2[[#This Row], [Ticket]],Okey!A:B,2,0),"")</f>
        <v/>
      </c>
      <c r="I3527" s="34"/>
      <c r="J3527" s="34" t="str">
        <f>VLOOKUP(Table2[[#This Row],[Author]],People!A:B,2,0)</f>
        <v>HC</v>
      </c>
      <c r="K3527" s="34" t="s">
        <v>12787</v>
      </c>
      <c r="L3527" s="34"/>
      <c r="M3527" s="34" t="s">
        <v>9000</v>
      </c>
    </row>
    <row r="3528" spans="1:13" hidden="1">
      <c r="A3528" s="40">
        <f t="shared" si="59"/>
        <v>3527</v>
      </c>
      <c r="B3528" s="34" t="s">
        <v>8</v>
      </c>
      <c r="C3528" s="34" t="s">
        <v>12406</v>
      </c>
      <c r="D3528" s="8" t="s">
        <v>12702</v>
      </c>
      <c r="E3528" s="8" t="s">
        <v>12484</v>
      </c>
      <c r="F3528" s="8" t="s">
        <v>12680</v>
      </c>
      <c r="G3528" s="34" t="s">
        <v>14</v>
      </c>
      <c r="H3528" s="34" t="str">
        <f>IFERROR(VLOOKUP(Table2[[#This Row], [Ticket]],Okey!A:B,2,0),"")</f>
        <v/>
      </c>
      <c r="I3528" s="34"/>
      <c r="J3528" s="34" t="str">
        <f>VLOOKUP(Table2[[#This Row],[Author]],People!A:B,2,0)</f>
        <v>HC</v>
      </c>
      <c r="K3528" s="34" t="s">
        <v>12787</v>
      </c>
      <c r="L3528" s="34"/>
      <c r="M3528" s="34" t="s">
        <v>9000</v>
      </c>
    </row>
    <row r="3529" spans="1:13" hidden="1">
      <c r="A3529" s="40">
        <f t="shared" si="59"/>
        <v>3528</v>
      </c>
      <c r="B3529" s="34" t="s">
        <v>8</v>
      </c>
      <c r="C3529" s="34" t="s">
        <v>12406</v>
      </c>
      <c r="D3529" s="8" t="s">
        <v>12703</v>
      </c>
      <c r="E3529" s="8" t="s">
        <v>12494</v>
      </c>
      <c r="F3529" s="8" t="s">
        <v>12681</v>
      </c>
      <c r="G3529" s="34" t="s">
        <v>14</v>
      </c>
      <c r="H3529" s="34" t="str">
        <f>IFERROR(VLOOKUP(Table2[[#This Row], [Ticket]],Okey!A:B,2,0),"")</f>
        <v/>
      </c>
      <c r="I3529" s="34"/>
      <c r="J3529" s="34" t="str">
        <f>VLOOKUP(Table2[[#This Row],[Author]],People!A:B,2,0)</f>
        <v>HC</v>
      </c>
      <c r="K3529" s="34" t="s">
        <v>12787</v>
      </c>
      <c r="L3529" s="34"/>
      <c r="M3529" s="34" t="s">
        <v>9000</v>
      </c>
    </row>
    <row r="3530" spans="1:13" hidden="1">
      <c r="A3530" s="40">
        <f t="shared" si="59"/>
        <v>3529</v>
      </c>
      <c r="B3530" s="34" t="s">
        <v>8</v>
      </c>
      <c r="C3530" s="34" t="s">
        <v>12406</v>
      </c>
      <c r="D3530" s="8" t="s">
        <v>12704</v>
      </c>
      <c r="E3530" s="8" t="s">
        <v>12495</v>
      </c>
      <c r="F3530" s="8" t="s">
        <v>12681</v>
      </c>
      <c r="G3530" s="34" t="s">
        <v>14</v>
      </c>
      <c r="H3530" s="34" t="str">
        <f>IFERROR(VLOOKUP(Table2[[#This Row], [Ticket]],Okey!A:B,2,0),"")</f>
        <v/>
      </c>
      <c r="I3530" s="34"/>
      <c r="J3530" s="34" t="str">
        <f>VLOOKUP(Table2[[#This Row],[Author]],People!A:B,2,0)</f>
        <v>HC</v>
      </c>
      <c r="K3530" s="34" t="s">
        <v>12787</v>
      </c>
      <c r="L3530" s="34"/>
      <c r="M3530" s="34" t="s">
        <v>9000</v>
      </c>
    </row>
    <row r="3531" spans="1:13" hidden="1">
      <c r="A3531" s="40">
        <f t="shared" si="59"/>
        <v>3530</v>
      </c>
      <c r="B3531" s="34" t="s">
        <v>8</v>
      </c>
      <c r="C3531" s="34" t="s">
        <v>12406</v>
      </c>
      <c r="D3531" s="8" t="s">
        <v>12705</v>
      </c>
      <c r="E3531" s="8" t="s">
        <v>12496</v>
      </c>
      <c r="F3531" s="8" t="s">
        <v>12681</v>
      </c>
      <c r="G3531" s="34" t="s">
        <v>14</v>
      </c>
      <c r="H3531" s="34" t="str">
        <f>IFERROR(VLOOKUP(Table2[[#This Row], [Ticket]],Okey!A:B,2,0),"")</f>
        <v/>
      </c>
      <c r="I3531" s="34"/>
      <c r="J3531" s="34" t="str">
        <f>VLOOKUP(Table2[[#This Row],[Author]],People!A:B,2,0)</f>
        <v>HC</v>
      </c>
      <c r="K3531" s="34" t="s">
        <v>12787</v>
      </c>
      <c r="L3531" s="34"/>
      <c r="M3531" s="34" t="s">
        <v>9000</v>
      </c>
    </row>
    <row r="3532" spans="1:13" hidden="1">
      <c r="A3532" s="40">
        <f t="shared" si="59"/>
        <v>3531</v>
      </c>
      <c r="B3532" s="34" t="s">
        <v>8</v>
      </c>
      <c r="C3532" s="34" t="s">
        <v>12406</v>
      </c>
      <c r="D3532" s="8" t="s">
        <v>12706</v>
      </c>
      <c r="E3532" s="8" t="s">
        <v>12497</v>
      </c>
      <c r="F3532" s="8" t="s">
        <v>12681</v>
      </c>
      <c r="G3532" s="34" t="s">
        <v>14</v>
      </c>
      <c r="H3532" s="34" t="str">
        <f>IFERROR(VLOOKUP(Table2[[#This Row], [Ticket]],Okey!A:B,2,0),"")</f>
        <v/>
      </c>
      <c r="I3532" s="34"/>
      <c r="J3532" s="34" t="str">
        <f>VLOOKUP(Table2[[#This Row],[Author]],People!A:B,2,0)</f>
        <v>HC</v>
      </c>
      <c r="K3532" s="34" t="s">
        <v>12787</v>
      </c>
      <c r="L3532" s="34"/>
      <c r="M3532" s="34" t="s">
        <v>9000</v>
      </c>
    </row>
    <row r="3533" spans="1:13" hidden="1">
      <c r="A3533" s="40">
        <f t="shared" si="59"/>
        <v>3532</v>
      </c>
      <c r="B3533" s="34" t="s">
        <v>8</v>
      </c>
      <c r="C3533" s="34" t="s">
        <v>12406</v>
      </c>
      <c r="D3533" s="8" t="s">
        <v>12707</v>
      </c>
      <c r="E3533" s="8" t="s">
        <v>12486</v>
      </c>
      <c r="F3533" s="8" t="s">
        <v>12681</v>
      </c>
      <c r="G3533" s="34" t="s">
        <v>14</v>
      </c>
      <c r="H3533" s="34" t="str">
        <f>IFERROR(VLOOKUP(Table2[[#This Row], [Ticket]],Okey!A:B,2,0),"")</f>
        <v/>
      </c>
      <c r="I3533" s="34"/>
      <c r="J3533" s="34" t="str">
        <f>VLOOKUP(Table2[[#This Row],[Author]],People!A:B,2,0)</f>
        <v>HC</v>
      </c>
      <c r="K3533" s="34" t="s">
        <v>12787</v>
      </c>
      <c r="L3533" s="34"/>
      <c r="M3533" s="34" t="s">
        <v>9000</v>
      </c>
    </row>
    <row r="3534" spans="1:13" hidden="1">
      <c r="A3534" s="40">
        <f t="shared" si="59"/>
        <v>3533</v>
      </c>
      <c r="B3534" s="34" t="s">
        <v>8</v>
      </c>
      <c r="C3534" s="34" t="s">
        <v>12406</v>
      </c>
      <c r="D3534" s="8" t="s">
        <v>12708</v>
      </c>
      <c r="E3534" s="8" t="s">
        <v>12498</v>
      </c>
      <c r="F3534" s="8" t="s">
        <v>12681</v>
      </c>
      <c r="G3534" s="34" t="s">
        <v>14</v>
      </c>
      <c r="H3534" s="34" t="str">
        <f>IFERROR(VLOOKUP(Table2[[#This Row], [Ticket]],Okey!A:B,2,0),"")</f>
        <v/>
      </c>
      <c r="I3534" s="34"/>
      <c r="J3534" s="34" t="str">
        <f>VLOOKUP(Table2[[#This Row],[Author]],People!A:B,2,0)</f>
        <v>HC</v>
      </c>
      <c r="K3534" s="34" t="s">
        <v>12787</v>
      </c>
      <c r="L3534" s="34"/>
      <c r="M3534" s="34" t="s">
        <v>9000</v>
      </c>
    </row>
    <row r="3535" spans="1:13" hidden="1">
      <c r="A3535" s="40">
        <f t="shared" si="59"/>
        <v>3534</v>
      </c>
      <c r="B3535" s="34" t="s">
        <v>8</v>
      </c>
      <c r="C3535" s="34" t="s">
        <v>12406</v>
      </c>
      <c r="D3535" s="8" t="s">
        <v>12709</v>
      </c>
      <c r="E3535" s="8" t="s">
        <v>12484</v>
      </c>
      <c r="F3535" s="8" t="s">
        <v>12681</v>
      </c>
      <c r="G3535" s="34" t="s">
        <v>14</v>
      </c>
      <c r="H3535" s="34" t="str">
        <f>IFERROR(VLOOKUP(Table2[[#This Row], [Ticket]],Okey!A:B,2,0),"")</f>
        <v/>
      </c>
      <c r="I3535" s="34"/>
      <c r="J3535" s="34" t="str">
        <f>VLOOKUP(Table2[[#This Row],[Author]],People!A:B,2,0)</f>
        <v>HC</v>
      </c>
      <c r="K3535" s="34" t="s">
        <v>12787</v>
      </c>
      <c r="L3535" s="34"/>
      <c r="M3535" s="34" t="s">
        <v>9000</v>
      </c>
    </row>
    <row r="3536" spans="1:13" hidden="1">
      <c r="A3536" s="40">
        <f t="shared" si="59"/>
        <v>3535</v>
      </c>
      <c r="B3536" s="34" t="s">
        <v>8</v>
      </c>
      <c r="C3536" s="34" t="s">
        <v>12406</v>
      </c>
      <c r="D3536" s="8" t="s">
        <v>12710</v>
      </c>
      <c r="E3536" s="8" t="s">
        <v>12499</v>
      </c>
      <c r="F3536" s="8" t="s">
        <v>1137</v>
      </c>
      <c r="G3536" s="34" t="s">
        <v>14</v>
      </c>
      <c r="H3536" s="34" t="str">
        <f>IFERROR(VLOOKUP(Table2[[#This Row], [Ticket]],Okey!A:B,2,0),"")</f>
        <v/>
      </c>
      <c r="I3536" s="34"/>
      <c r="J3536" s="34" t="str">
        <f>VLOOKUP(Table2[[#This Row],[Author]],People!A:B,2,0)</f>
        <v>HC</v>
      </c>
      <c r="K3536" s="34" t="s">
        <v>12787</v>
      </c>
      <c r="L3536" s="34"/>
      <c r="M3536" s="34" t="s">
        <v>9000</v>
      </c>
    </row>
    <row r="3537" spans="1:13" hidden="1">
      <c r="A3537" s="40">
        <f t="shared" si="59"/>
        <v>3536</v>
      </c>
      <c r="B3537" s="34" t="s">
        <v>8</v>
      </c>
      <c r="C3537" s="34" t="s">
        <v>12406</v>
      </c>
      <c r="D3537" s="8" t="s">
        <v>12711</v>
      </c>
      <c r="E3537" s="8" t="s">
        <v>12500</v>
      </c>
      <c r="F3537" s="8" t="s">
        <v>1133</v>
      </c>
      <c r="G3537" s="34" t="s">
        <v>14</v>
      </c>
      <c r="H3537" s="34" t="str">
        <f>IFERROR(VLOOKUP(Table2[[#This Row], [Ticket]],Okey!A:B,2,0),"")</f>
        <v/>
      </c>
      <c r="I3537" s="34"/>
      <c r="J3537" s="34" t="str">
        <f>VLOOKUP(Table2[[#This Row],[Author]],People!A:B,2,0)</f>
        <v>HC</v>
      </c>
      <c r="K3537" s="34" t="s">
        <v>12787</v>
      </c>
      <c r="L3537" s="34"/>
      <c r="M3537" s="34" t="s">
        <v>9000</v>
      </c>
    </row>
    <row r="3538" spans="1:13" hidden="1">
      <c r="A3538" s="40">
        <f t="shared" si="59"/>
        <v>3537</v>
      </c>
      <c r="B3538" s="34" t="s">
        <v>8</v>
      </c>
      <c r="C3538" s="34" t="s">
        <v>12406</v>
      </c>
      <c r="D3538" s="8" t="s">
        <v>12712</v>
      </c>
      <c r="E3538" s="8" t="s">
        <v>12501</v>
      </c>
      <c r="F3538" s="8" t="s">
        <v>12711</v>
      </c>
      <c r="G3538" s="34" t="s">
        <v>14</v>
      </c>
      <c r="H3538" s="34" t="str">
        <f>IFERROR(VLOOKUP(Table2[[#This Row], [Ticket]],Okey!A:B,2,0),"")</f>
        <v/>
      </c>
      <c r="I3538" s="34"/>
      <c r="J3538" s="34" t="str">
        <f>VLOOKUP(Table2[[#This Row],[Author]],People!A:B,2,0)</f>
        <v>HC</v>
      </c>
      <c r="K3538" s="34" t="s">
        <v>12787</v>
      </c>
      <c r="L3538" s="34"/>
      <c r="M3538" s="34" t="s">
        <v>9000</v>
      </c>
    </row>
    <row r="3539" spans="1:13" hidden="1">
      <c r="A3539" s="40">
        <f t="shared" si="59"/>
        <v>3538</v>
      </c>
      <c r="B3539" s="34" t="s">
        <v>8</v>
      </c>
      <c r="C3539" s="34" t="s">
        <v>12406</v>
      </c>
      <c r="D3539" s="8" t="s">
        <v>12713</v>
      </c>
      <c r="E3539" s="8" t="s">
        <v>12502</v>
      </c>
      <c r="F3539" s="8" t="s">
        <v>12711</v>
      </c>
      <c r="G3539" s="34" t="s">
        <v>14</v>
      </c>
      <c r="H3539" s="34" t="str">
        <f>IFERROR(VLOOKUP(Table2[[#This Row], [Ticket]],Okey!A:B,2,0),"")</f>
        <v/>
      </c>
      <c r="I3539" s="34"/>
      <c r="J3539" s="34" t="str">
        <f>VLOOKUP(Table2[[#This Row],[Author]],People!A:B,2,0)</f>
        <v>HC</v>
      </c>
      <c r="K3539" s="34" t="s">
        <v>12787</v>
      </c>
      <c r="L3539" s="34"/>
      <c r="M3539" s="34" t="s">
        <v>9000</v>
      </c>
    </row>
    <row r="3540" spans="1:13" hidden="1">
      <c r="A3540" s="40">
        <f t="shared" si="59"/>
        <v>3539</v>
      </c>
      <c r="B3540" s="34" t="s">
        <v>8</v>
      </c>
      <c r="C3540" s="34" t="s">
        <v>12406</v>
      </c>
      <c r="D3540" s="8" t="s">
        <v>12714</v>
      </c>
      <c r="E3540" s="8" t="s">
        <v>12503</v>
      </c>
      <c r="F3540" s="8" t="s">
        <v>12711</v>
      </c>
      <c r="G3540" s="34" t="s">
        <v>14</v>
      </c>
      <c r="H3540" s="34" t="str">
        <f>IFERROR(VLOOKUP(Table2[[#This Row], [Ticket]],Okey!A:B,2,0),"")</f>
        <v/>
      </c>
      <c r="I3540" s="34"/>
      <c r="J3540" s="34" t="str">
        <f>VLOOKUP(Table2[[#This Row],[Author]],People!A:B,2,0)</f>
        <v>HC</v>
      </c>
      <c r="K3540" s="34" t="s">
        <v>12787</v>
      </c>
      <c r="L3540" s="34"/>
      <c r="M3540" s="34" t="s">
        <v>9000</v>
      </c>
    </row>
    <row r="3541" spans="1:13" hidden="1">
      <c r="A3541" s="40">
        <f t="shared" si="59"/>
        <v>3540</v>
      </c>
      <c r="B3541" s="34" t="s">
        <v>8</v>
      </c>
      <c r="C3541" s="34" t="s">
        <v>12406</v>
      </c>
      <c r="D3541" s="8" t="s">
        <v>12715</v>
      </c>
      <c r="E3541" s="8" t="s">
        <v>12504</v>
      </c>
      <c r="F3541" s="8" t="s">
        <v>12711</v>
      </c>
      <c r="G3541" s="34" t="s">
        <v>14</v>
      </c>
      <c r="H3541" s="34" t="str">
        <f>IFERROR(VLOOKUP(Table2[[#This Row], [Ticket]],Okey!A:B,2,0),"")</f>
        <v/>
      </c>
      <c r="I3541" s="34"/>
      <c r="J3541" s="34" t="str">
        <f>VLOOKUP(Table2[[#This Row],[Author]],People!A:B,2,0)</f>
        <v>HC</v>
      </c>
      <c r="K3541" s="34" t="s">
        <v>12787</v>
      </c>
      <c r="L3541" s="34"/>
      <c r="M3541" s="34" t="s">
        <v>9000</v>
      </c>
    </row>
    <row r="3542" spans="1:13" hidden="1">
      <c r="A3542" s="40">
        <f t="shared" si="59"/>
        <v>3541</v>
      </c>
      <c r="B3542" s="34" t="s">
        <v>8</v>
      </c>
      <c r="C3542" s="34" t="s">
        <v>12406</v>
      </c>
      <c r="D3542" s="8" t="s">
        <v>12716</v>
      </c>
      <c r="E3542" s="8" t="s">
        <v>12505</v>
      </c>
      <c r="F3542" s="8" t="s">
        <v>12711</v>
      </c>
      <c r="G3542" s="34" t="s">
        <v>14</v>
      </c>
      <c r="H3542" s="34" t="str">
        <f>IFERROR(VLOOKUP(Table2[[#This Row], [Ticket]],Okey!A:B,2,0),"")</f>
        <v/>
      </c>
      <c r="I3542" s="34"/>
      <c r="J3542" s="34" t="str">
        <f>VLOOKUP(Table2[[#This Row],[Author]],People!A:B,2,0)</f>
        <v>HC</v>
      </c>
      <c r="K3542" s="34" t="s">
        <v>12787</v>
      </c>
      <c r="L3542" s="34"/>
      <c r="M3542" s="34" t="s">
        <v>9000</v>
      </c>
    </row>
    <row r="3543" spans="1:13" hidden="1">
      <c r="A3543" s="40">
        <f t="shared" si="59"/>
        <v>3542</v>
      </c>
      <c r="B3543" s="34" t="s">
        <v>8</v>
      </c>
      <c r="C3543" s="34" t="s">
        <v>12406</v>
      </c>
      <c r="D3543" s="8" t="s">
        <v>12717</v>
      </c>
      <c r="E3543" s="8" t="s">
        <v>12506</v>
      </c>
      <c r="F3543" s="8" t="s">
        <v>12712</v>
      </c>
      <c r="G3543" s="34" t="s">
        <v>14</v>
      </c>
      <c r="H3543" s="34" t="str">
        <f>IFERROR(VLOOKUP(Table2[[#This Row], [Ticket]],Okey!A:B,2,0),"")</f>
        <v/>
      </c>
      <c r="I3543" s="34"/>
      <c r="J3543" s="34" t="str">
        <f>VLOOKUP(Table2[[#This Row],[Author]],People!A:B,2,0)</f>
        <v>HC</v>
      </c>
      <c r="K3543" s="34" t="s">
        <v>12787</v>
      </c>
      <c r="L3543" s="34"/>
      <c r="M3543" s="34" t="s">
        <v>9000</v>
      </c>
    </row>
    <row r="3544" spans="1:13" hidden="1">
      <c r="A3544" s="40">
        <f t="shared" si="59"/>
        <v>3543</v>
      </c>
      <c r="B3544" s="34" t="s">
        <v>8</v>
      </c>
      <c r="C3544" s="34" t="s">
        <v>12406</v>
      </c>
      <c r="D3544" s="8" t="s">
        <v>12718</v>
      </c>
      <c r="E3544" s="8" t="s">
        <v>12507</v>
      </c>
      <c r="F3544" s="8" t="s">
        <v>12712</v>
      </c>
      <c r="G3544" s="34" t="s">
        <v>14</v>
      </c>
      <c r="H3544" s="34" t="str">
        <f>IFERROR(VLOOKUP(Table2[[#This Row], [Ticket]],Okey!A:B,2,0),"")</f>
        <v/>
      </c>
      <c r="I3544" s="34"/>
      <c r="J3544" s="34" t="str">
        <f>VLOOKUP(Table2[[#This Row],[Author]],People!A:B,2,0)</f>
        <v>HC</v>
      </c>
      <c r="K3544" s="34" t="s">
        <v>12787</v>
      </c>
      <c r="L3544" s="34"/>
      <c r="M3544" s="34" t="s">
        <v>9000</v>
      </c>
    </row>
    <row r="3545" spans="1:13" hidden="1">
      <c r="A3545" s="40">
        <f t="shared" si="59"/>
        <v>3544</v>
      </c>
      <c r="B3545" s="34" t="s">
        <v>8</v>
      </c>
      <c r="C3545" s="34" t="s">
        <v>12406</v>
      </c>
      <c r="D3545" s="8" t="s">
        <v>12719</v>
      </c>
      <c r="E3545" s="8" t="s">
        <v>12508</v>
      </c>
      <c r="F3545" s="8" t="s">
        <v>12713</v>
      </c>
      <c r="G3545" s="34" t="s">
        <v>14</v>
      </c>
      <c r="H3545" s="34" t="str">
        <f>IFERROR(VLOOKUP(Table2[[#This Row], [Ticket]],Okey!A:B,2,0),"")</f>
        <v/>
      </c>
      <c r="I3545" s="34"/>
      <c r="J3545" s="34" t="str">
        <f>VLOOKUP(Table2[[#This Row],[Author]],People!A:B,2,0)</f>
        <v>HC</v>
      </c>
      <c r="K3545" s="34" t="s">
        <v>12787</v>
      </c>
      <c r="L3545" s="34"/>
      <c r="M3545" s="34" t="s">
        <v>9000</v>
      </c>
    </row>
    <row r="3546" spans="1:13" hidden="1">
      <c r="A3546" s="40">
        <f t="shared" si="59"/>
        <v>3545</v>
      </c>
      <c r="B3546" s="34" t="s">
        <v>8</v>
      </c>
      <c r="C3546" s="34" t="s">
        <v>12406</v>
      </c>
      <c r="D3546" s="8" t="s">
        <v>12720</v>
      </c>
      <c r="E3546" s="8" t="s">
        <v>12509</v>
      </c>
      <c r="F3546" s="8" t="s">
        <v>12713</v>
      </c>
      <c r="G3546" s="34" t="s">
        <v>14</v>
      </c>
      <c r="H3546" s="34" t="str">
        <f>IFERROR(VLOOKUP(Table2[[#This Row], [Ticket]],Okey!A:B,2,0),"")</f>
        <v/>
      </c>
      <c r="I3546" s="34"/>
      <c r="J3546" s="34" t="str">
        <f>VLOOKUP(Table2[[#This Row],[Author]],People!A:B,2,0)</f>
        <v>HC</v>
      </c>
      <c r="K3546" s="34" t="s">
        <v>12787</v>
      </c>
      <c r="L3546" s="34"/>
      <c r="M3546" s="34" t="s">
        <v>9000</v>
      </c>
    </row>
    <row r="3547" spans="1:13" hidden="1">
      <c r="A3547" s="40">
        <f t="shared" si="59"/>
        <v>3546</v>
      </c>
      <c r="B3547" s="34" t="s">
        <v>8</v>
      </c>
      <c r="C3547" s="34" t="s">
        <v>12406</v>
      </c>
      <c r="D3547" s="8" t="s">
        <v>12721</v>
      </c>
      <c r="E3547" s="8" t="s">
        <v>12510</v>
      </c>
      <c r="F3547" s="8" t="s">
        <v>12713</v>
      </c>
      <c r="G3547" s="34" t="s">
        <v>14</v>
      </c>
      <c r="H3547" s="34" t="str">
        <f>IFERROR(VLOOKUP(Table2[[#This Row], [Ticket]],Okey!A:B,2,0),"")</f>
        <v/>
      </c>
      <c r="I3547" s="34"/>
      <c r="J3547" s="34" t="str">
        <f>VLOOKUP(Table2[[#This Row],[Author]],People!A:B,2,0)</f>
        <v>HC</v>
      </c>
      <c r="K3547" s="34" t="s">
        <v>12787</v>
      </c>
      <c r="L3547" s="34"/>
      <c r="M3547" s="34" t="s">
        <v>9000</v>
      </c>
    </row>
    <row r="3548" spans="1:13" hidden="1">
      <c r="A3548" s="40">
        <f t="shared" si="59"/>
        <v>3547</v>
      </c>
      <c r="B3548" s="34" t="s">
        <v>8</v>
      </c>
      <c r="C3548" s="34" t="s">
        <v>12406</v>
      </c>
      <c r="D3548" s="8" t="s">
        <v>12722</v>
      </c>
      <c r="E3548" s="8" t="s">
        <v>12511</v>
      </c>
      <c r="F3548" s="8" t="s">
        <v>12715</v>
      </c>
      <c r="G3548" s="34" t="s">
        <v>14</v>
      </c>
      <c r="H3548" s="34" t="str">
        <f>IFERROR(VLOOKUP(Table2[[#This Row], [Ticket]],Okey!A:B,2,0),"")</f>
        <v/>
      </c>
      <c r="I3548" s="34"/>
      <c r="J3548" s="34" t="str">
        <f>VLOOKUP(Table2[[#This Row],[Author]],People!A:B,2,0)</f>
        <v>HC</v>
      </c>
      <c r="K3548" s="34" t="s">
        <v>12787</v>
      </c>
      <c r="L3548" s="34"/>
      <c r="M3548" s="34" t="s">
        <v>9000</v>
      </c>
    </row>
    <row r="3549" spans="1:13" hidden="1">
      <c r="A3549" s="40">
        <f t="shared" si="59"/>
        <v>3548</v>
      </c>
      <c r="B3549" s="34" t="s">
        <v>8</v>
      </c>
      <c r="C3549" s="34" t="s">
        <v>12406</v>
      </c>
      <c r="D3549" s="8" t="s">
        <v>12723</v>
      </c>
      <c r="E3549" s="8" t="s">
        <v>12512</v>
      </c>
      <c r="F3549" s="8" t="s">
        <v>12715</v>
      </c>
      <c r="G3549" s="34" t="s">
        <v>14</v>
      </c>
      <c r="H3549" s="34" t="str">
        <f>IFERROR(VLOOKUP(Table2[[#This Row], [Ticket]],Okey!A:B,2,0),"")</f>
        <v/>
      </c>
      <c r="I3549" s="34"/>
      <c r="J3549" s="34" t="str">
        <f>VLOOKUP(Table2[[#This Row],[Author]],People!A:B,2,0)</f>
        <v>HC</v>
      </c>
      <c r="K3549" s="34" t="s">
        <v>12787</v>
      </c>
      <c r="L3549" s="34"/>
      <c r="M3549" s="34" t="s">
        <v>9000</v>
      </c>
    </row>
    <row r="3550" spans="1:13" hidden="1">
      <c r="A3550" s="40">
        <f t="shared" si="59"/>
        <v>3549</v>
      </c>
      <c r="B3550" s="34" t="s">
        <v>8</v>
      </c>
      <c r="C3550" s="34" t="s">
        <v>12406</v>
      </c>
      <c r="D3550" s="8" t="s">
        <v>12724</v>
      </c>
      <c r="E3550" s="8" t="s">
        <v>12513</v>
      </c>
      <c r="F3550" s="8" t="s">
        <v>12714</v>
      </c>
      <c r="G3550" s="34" t="s">
        <v>14</v>
      </c>
      <c r="H3550" s="34" t="str">
        <f>IFERROR(VLOOKUP(Table2[[#This Row], [Ticket]],Okey!A:B,2,0),"")</f>
        <v/>
      </c>
      <c r="I3550" s="34"/>
      <c r="J3550" s="34" t="str">
        <f>VLOOKUP(Table2[[#This Row],[Author]],People!A:B,2,0)</f>
        <v>HC</v>
      </c>
      <c r="K3550" s="34" t="s">
        <v>12787</v>
      </c>
      <c r="L3550" s="34"/>
      <c r="M3550" s="34" t="s">
        <v>9000</v>
      </c>
    </row>
    <row r="3551" spans="1:13" hidden="1">
      <c r="A3551" s="40">
        <f t="shared" si="59"/>
        <v>3550</v>
      </c>
      <c r="B3551" s="34" t="s">
        <v>8</v>
      </c>
      <c r="C3551" s="34" t="s">
        <v>12406</v>
      </c>
      <c r="D3551" s="8" t="s">
        <v>12725</v>
      </c>
      <c r="E3551" s="8" t="s">
        <v>12514</v>
      </c>
      <c r="F3551" s="8" t="s">
        <v>12714</v>
      </c>
      <c r="G3551" s="34" t="s">
        <v>14</v>
      </c>
      <c r="H3551" s="34" t="str">
        <f>IFERROR(VLOOKUP(Table2[[#This Row], [Ticket]],Okey!A:B,2,0),"")</f>
        <v/>
      </c>
      <c r="I3551" s="34"/>
      <c r="J3551" s="34" t="str">
        <f>VLOOKUP(Table2[[#This Row],[Author]],People!A:B,2,0)</f>
        <v>HC</v>
      </c>
      <c r="K3551" s="34" t="s">
        <v>12787</v>
      </c>
      <c r="L3551" s="34"/>
      <c r="M3551" s="34" t="s">
        <v>9000</v>
      </c>
    </row>
    <row r="3552" spans="1:13" hidden="1">
      <c r="A3552" s="40">
        <f t="shared" si="59"/>
        <v>3551</v>
      </c>
      <c r="B3552" s="34" t="s">
        <v>8</v>
      </c>
      <c r="C3552" s="34" t="s">
        <v>12406</v>
      </c>
      <c r="D3552" s="8" t="s">
        <v>12726</v>
      </c>
      <c r="E3552" s="8" t="s">
        <v>12515</v>
      </c>
      <c r="F3552" s="8" t="s">
        <v>12717</v>
      </c>
      <c r="G3552" s="34" t="s">
        <v>14</v>
      </c>
      <c r="H3552" s="34" t="str">
        <f>IFERROR(VLOOKUP(Table2[[#This Row], [Ticket]],Okey!A:B,2,0),"")</f>
        <v/>
      </c>
      <c r="I3552" s="34"/>
      <c r="J3552" s="34" t="str">
        <f>VLOOKUP(Table2[[#This Row],[Author]],People!A:B,2,0)</f>
        <v>HC</v>
      </c>
      <c r="K3552" s="34" t="s">
        <v>12787</v>
      </c>
      <c r="L3552" s="34"/>
      <c r="M3552" s="34" t="s">
        <v>9000</v>
      </c>
    </row>
    <row r="3553" spans="1:13" hidden="1">
      <c r="A3553" s="40">
        <f t="shared" si="59"/>
        <v>3552</v>
      </c>
      <c r="B3553" s="34" t="s">
        <v>8</v>
      </c>
      <c r="C3553" s="34" t="s">
        <v>12406</v>
      </c>
      <c r="D3553" s="8" t="s">
        <v>12727</v>
      </c>
      <c r="E3553" s="8" t="s">
        <v>12516</v>
      </c>
      <c r="F3553" s="8" t="s">
        <v>12718</v>
      </c>
      <c r="G3553" s="34" t="s">
        <v>14</v>
      </c>
      <c r="H3553" s="34" t="str">
        <f>IFERROR(VLOOKUP(Table2[[#This Row], [Ticket]],Okey!A:B,2,0),"")</f>
        <v/>
      </c>
      <c r="I3553" s="34"/>
      <c r="J3553" s="34" t="str">
        <f>VLOOKUP(Table2[[#This Row],[Author]],People!A:B,2,0)</f>
        <v>HC</v>
      </c>
      <c r="K3553" s="34" t="s">
        <v>12787</v>
      </c>
      <c r="L3553" s="34"/>
      <c r="M3553" s="34" t="s">
        <v>9000</v>
      </c>
    </row>
    <row r="3554" spans="1:13" hidden="1">
      <c r="A3554" s="40">
        <f t="shared" si="59"/>
        <v>3553</v>
      </c>
      <c r="B3554" s="34" t="s">
        <v>8</v>
      </c>
      <c r="C3554" s="34" t="s">
        <v>12406</v>
      </c>
      <c r="D3554" s="8" t="s">
        <v>12728</v>
      </c>
      <c r="E3554" s="8" t="s">
        <v>12517</v>
      </c>
      <c r="F3554" s="8" t="s">
        <v>12727</v>
      </c>
      <c r="G3554" s="34" t="s">
        <v>14</v>
      </c>
      <c r="H3554" s="34" t="str">
        <f>IFERROR(VLOOKUP(Table2[[#This Row], [Ticket]],Okey!A:B,2,0),"")</f>
        <v/>
      </c>
      <c r="I3554" s="34"/>
      <c r="J3554" s="34" t="str">
        <f>VLOOKUP(Table2[[#This Row],[Author]],People!A:B,2,0)</f>
        <v>HC</v>
      </c>
      <c r="K3554" s="34" t="s">
        <v>12787</v>
      </c>
      <c r="L3554" s="34"/>
      <c r="M3554" s="34" t="s">
        <v>9000</v>
      </c>
    </row>
    <row r="3555" spans="1:13" hidden="1">
      <c r="A3555" s="40">
        <f t="shared" si="59"/>
        <v>3554</v>
      </c>
      <c r="B3555" s="34" t="s">
        <v>8</v>
      </c>
      <c r="C3555" s="34" t="s">
        <v>12406</v>
      </c>
      <c r="D3555" s="8" t="s">
        <v>12729</v>
      </c>
      <c r="E3555" s="8" t="s">
        <v>12518</v>
      </c>
      <c r="F3555" s="8" t="s">
        <v>12727</v>
      </c>
      <c r="G3555" s="34" t="s">
        <v>14</v>
      </c>
      <c r="H3555" s="34" t="str">
        <f>IFERROR(VLOOKUP(Table2[[#This Row], [Ticket]],Okey!A:B,2,0),"")</f>
        <v/>
      </c>
      <c r="I3555" s="34"/>
      <c r="J3555" s="34" t="str">
        <f>VLOOKUP(Table2[[#This Row],[Author]],People!A:B,2,0)</f>
        <v>HC</v>
      </c>
      <c r="K3555" s="34" t="s">
        <v>12787</v>
      </c>
      <c r="L3555" s="34"/>
      <c r="M3555" s="34" t="s">
        <v>9000</v>
      </c>
    </row>
    <row r="3556" spans="1:13" hidden="1">
      <c r="A3556" s="40">
        <f t="shared" si="59"/>
        <v>3555</v>
      </c>
      <c r="B3556" s="34" t="s">
        <v>8</v>
      </c>
      <c r="C3556" s="34" t="s">
        <v>12406</v>
      </c>
      <c r="D3556" s="8" t="s">
        <v>12730</v>
      </c>
      <c r="E3556" s="8" t="s">
        <v>12519</v>
      </c>
      <c r="F3556" s="8" t="s">
        <v>12727</v>
      </c>
      <c r="G3556" s="34" t="s">
        <v>14</v>
      </c>
      <c r="H3556" s="34" t="str">
        <f>IFERROR(VLOOKUP(Table2[[#This Row], [Ticket]],Okey!A:B,2,0),"")</f>
        <v/>
      </c>
      <c r="I3556" s="34"/>
      <c r="J3556" s="34" t="str">
        <f>VLOOKUP(Table2[[#This Row],[Author]],People!A:B,2,0)</f>
        <v>HC</v>
      </c>
      <c r="K3556" s="34" t="s">
        <v>12787</v>
      </c>
      <c r="L3556" s="34"/>
      <c r="M3556" s="34" t="s">
        <v>9000</v>
      </c>
    </row>
    <row r="3557" spans="1:13" hidden="1">
      <c r="A3557" s="40">
        <f t="shared" si="59"/>
        <v>3556</v>
      </c>
      <c r="B3557" s="34" t="s">
        <v>8</v>
      </c>
      <c r="C3557" s="34" t="s">
        <v>12406</v>
      </c>
      <c r="D3557" s="8" t="s">
        <v>12731</v>
      </c>
      <c r="E3557" s="8" t="s">
        <v>12520</v>
      </c>
      <c r="F3557" s="8" t="s">
        <v>12727</v>
      </c>
      <c r="G3557" s="34" t="s">
        <v>14</v>
      </c>
      <c r="H3557" s="34" t="str">
        <f>IFERROR(VLOOKUP(Table2[[#This Row], [Ticket]],Okey!A:B,2,0),"")</f>
        <v/>
      </c>
      <c r="I3557" s="34"/>
      <c r="J3557" s="34" t="str">
        <f>VLOOKUP(Table2[[#This Row],[Author]],People!A:B,2,0)</f>
        <v>HC</v>
      </c>
      <c r="K3557" s="34" t="s">
        <v>12787</v>
      </c>
      <c r="L3557" s="34"/>
      <c r="M3557" s="34" t="s">
        <v>9000</v>
      </c>
    </row>
    <row r="3558" spans="1:13" hidden="1">
      <c r="A3558" s="40">
        <f t="shared" si="59"/>
        <v>3557</v>
      </c>
      <c r="B3558" s="34" t="s">
        <v>8</v>
      </c>
      <c r="C3558" s="34" t="s">
        <v>12406</v>
      </c>
      <c r="D3558" s="8" t="s">
        <v>12732</v>
      </c>
      <c r="E3558" s="8" t="s">
        <v>12517</v>
      </c>
      <c r="F3558" s="8" t="s">
        <v>12726</v>
      </c>
      <c r="G3558" s="34" t="s">
        <v>14</v>
      </c>
      <c r="H3558" s="34" t="str">
        <f>IFERROR(VLOOKUP(Table2[[#This Row], [Ticket]],Okey!A:B,2,0),"")</f>
        <v/>
      </c>
      <c r="I3558" s="34"/>
      <c r="J3558" s="34" t="str">
        <f>VLOOKUP(Table2[[#This Row],[Author]],People!A:B,2,0)</f>
        <v>HC</v>
      </c>
      <c r="K3558" s="34" t="s">
        <v>12787</v>
      </c>
      <c r="L3558" s="34"/>
      <c r="M3558" s="34" t="s">
        <v>9000</v>
      </c>
    </row>
    <row r="3559" spans="1:13" hidden="1">
      <c r="A3559" s="40">
        <f t="shared" si="59"/>
        <v>3558</v>
      </c>
      <c r="B3559" s="34" t="s">
        <v>8</v>
      </c>
      <c r="C3559" s="34" t="s">
        <v>12406</v>
      </c>
      <c r="D3559" s="8" t="s">
        <v>12733</v>
      </c>
      <c r="E3559" s="8" t="s">
        <v>12518</v>
      </c>
      <c r="F3559" s="8" t="s">
        <v>12726</v>
      </c>
      <c r="G3559" s="34" t="s">
        <v>14</v>
      </c>
      <c r="H3559" s="34" t="str">
        <f>IFERROR(VLOOKUP(Table2[[#This Row], [Ticket]],Okey!A:B,2,0),"")</f>
        <v/>
      </c>
      <c r="I3559" s="34"/>
      <c r="J3559" s="34" t="str">
        <f>VLOOKUP(Table2[[#This Row],[Author]],People!A:B,2,0)</f>
        <v>HC</v>
      </c>
      <c r="K3559" s="34" t="s">
        <v>12787</v>
      </c>
      <c r="L3559" s="34"/>
      <c r="M3559" s="34" t="s">
        <v>9000</v>
      </c>
    </row>
    <row r="3560" spans="1:13" hidden="1">
      <c r="A3560" s="40">
        <f t="shared" si="59"/>
        <v>3559</v>
      </c>
      <c r="B3560" s="34" t="s">
        <v>8</v>
      </c>
      <c r="C3560" s="34" t="s">
        <v>12406</v>
      </c>
      <c r="D3560" s="8" t="s">
        <v>12734</v>
      </c>
      <c r="E3560" s="8" t="s">
        <v>12519</v>
      </c>
      <c r="F3560" s="8" t="s">
        <v>12726</v>
      </c>
      <c r="G3560" s="34" t="s">
        <v>14</v>
      </c>
      <c r="H3560" s="34" t="str">
        <f>IFERROR(VLOOKUP(Table2[[#This Row], [Ticket]],Okey!A:B,2,0),"")</f>
        <v/>
      </c>
      <c r="I3560" s="34"/>
      <c r="J3560" s="34" t="str">
        <f>VLOOKUP(Table2[[#This Row],[Author]],People!A:B,2,0)</f>
        <v>HC</v>
      </c>
      <c r="K3560" s="34" t="s">
        <v>12787</v>
      </c>
      <c r="L3560" s="34"/>
      <c r="M3560" s="34" t="s">
        <v>9000</v>
      </c>
    </row>
    <row r="3561" spans="1:13" hidden="1">
      <c r="A3561" s="40">
        <f t="shared" si="59"/>
        <v>3560</v>
      </c>
      <c r="B3561" s="34" t="s">
        <v>8</v>
      </c>
      <c r="C3561" s="34" t="s">
        <v>12406</v>
      </c>
      <c r="D3561" s="8" t="s">
        <v>12735</v>
      </c>
      <c r="E3561" s="8" t="s">
        <v>12520</v>
      </c>
      <c r="F3561" s="8" t="s">
        <v>12726</v>
      </c>
      <c r="G3561" s="34" t="s">
        <v>14</v>
      </c>
      <c r="H3561" s="34" t="str">
        <f>IFERROR(VLOOKUP(Table2[[#This Row], [Ticket]],Okey!A:B,2,0),"")</f>
        <v/>
      </c>
      <c r="I3561" s="34"/>
      <c r="J3561" s="34" t="str">
        <f>VLOOKUP(Table2[[#This Row],[Author]],People!A:B,2,0)</f>
        <v>HC</v>
      </c>
      <c r="K3561" s="34" t="s">
        <v>12787</v>
      </c>
      <c r="L3561" s="34"/>
      <c r="M3561" s="34" t="s">
        <v>9000</v>
      </c>
    </row>
    <row r="3562" spans="1:13" hidden="1">
      <c r="A3562" s="40">
        <f t="shared" si="59"/>
        <v>3561</v>
      </c>
      <c r="B3562" s="34" t="s">
        <v>8</v>
      </c>
      <c r="C3562" s="34" t="s">
        <v>12406</v>
      </c>
      <c r="D3562" s="8" t="s">
        <v>12736</v>
      </c>
      <c r="E3562" s="8" t="s">
        <v>12521</v>
      </c>
      <c r="F3562" s="8" t="s">
        <v>1133</v>
      </c>
      <c r="G3562" s="34" t="s">
        <v>14</v>
      </c>
      <c r="H3562" s="34" t="str">
        <f>IFERROR(VLOOKUP(Table2[[#This Row], [Ticket]],Okey!A:B,2,0),"")</f>
        <v/>
      </c>
      <c r="I3562" s="34"/>
      <c r="J3562" s="34" t="str">
        <f>VLOOKUP(Table2[[#This Row],[Author]],People!A:B,2,0)</f>
        <v>HC</v>
      </c>
      <c r="K3562" s="34" t="s">
        <v>12787</v>
      </c>
      <c r="L3562" s="34"/>
      <c r="M3562" s="34" t="s">
        <v>9000</v>
      </c>
    </row>
    <row r="3563" spans="1:13" hidden="1">
      <c r="A3563" s="40">
        <f t="shared" si="59"/>
        <v>3562</v>
      </c>
      <c r="B3563" s="34" t="s">
        <v>8</v>
      </c>
      <c r="C3563" s="34" t="s">
        <v>12406</v>
      </c>
      <c r="D3563" s="8" t="s">
        <v>12737</v>
      </c>
      <c r="E3563" s="8" t="s">
        <v>12522</v>
      </c>
      <c r="F3563" s="8" t="s">
        <v>12523</v>
      </c>
      <c r="G3563" s="34" t="s">
        <v>14</v>
      </c>
      <c r="H3563" s="34" t="str">
        <f>IFERROR(VLOOKUP(Table2[[#This Row], [Ticket]],Okey!A:B,2,0),"")</f>
        <v/>
      </c>
      <c r="I3563" s="34"/>
      <c r="J3563" s="34" t="str">
        <f>VLOOKUP(Table2[[#This Row],[Author]],People!A:B,2,0)</f>
        <v>HC</v>
      </c>
      <c r="K3563" s="34" t="s">
        <v>12787</v>
      </c>
      <c r="L3563" s="34"/>
      <c r="M3563" s="34" t="s">
        <v>9000</v>
      </c>
    </row>
    <row r="3564" spans="1:13" hidden="1">
      <c r="A3564" s="40">
        <f t="shared" si="59"/>
        <v>3563</v>
      </c>
      <c r="B3564" s="34" t="s">
        <v>8</v>
      </c>
      <c r="C3564" s="34" t="s">
        <v>12406</v>
      </c>
      <c r="D3564" s="8" t="s">
        <v>12738</v>
      </c>
      <c r="E3564" s="8" t="s">
        <v>12524</v>
      </c>
      <c r="F3564" s="8" t="s">
        <v>12737</v>
      </c>
      <c r="G3564" s="34" t="s">
        <v>14</v>
      </c>
      <c r="H3564" s="34" t="str">
        <f>IFERROR(VLOOKUP(Table2[[#This Row], [Ticket]],Okey!A:B,2,0),"")</f>
        <v/>
      </c>
      <c r="I3564" s="34"/>
      <c r="J3564" s="34" t="str">
        <f>VLOOKUP(Table2[[#This Row],[Author]],People!A:B,2,0)</f>
        <v>HC</v>
      </c>
      <c r="K3564" s="34" t="s">
        <v>12787</v>
      </c>
      <c r="L3564" s="34"/>
      <c r="M3564" s="34" t="s">
        <v>9000</v>
      </c>
    </row>
    <row r="3565" spans="1:13" hidden="1">
      <c r="A3565" s="40">
        <f t="shared" si="59"/>
        <v>3564</v>
      </c>
      <c r="B3565" s="34" t="s">
        <v>8</v>
      </c>
      <c r="C3565" s="34" t="s">
        <v>12406</v>
      </c>
      <c r="D3565" s="8" t="s">
        <v>12739</v>
      </c>
      <c r="E3565" s="8" t="s">
        <v>12525</v>
      </c>
      <c r="F3565" s="8" t="s">
        <v>12737</v>
      </c>
      <c r="G3565" s="34" t="s">
        <v>14</v>
      </c>
      <c r="H3565" s="34" t="str">
        <f>IFERROR(VLOOKUP(Table2[[#This Row], [Ticket]],Okey!A:B,2,0),"")</f>
        <v/>
      </c>
      <c r="I3565" s="34"/>
      <c r="J3565" s="34" t="str">
        <f>VLOOKUP(Table2[[#This Row],[Author]],People!A:B,2,0)</f>
        <v>HC</v>
      </c>
      <c r="K3565" s="34" t="s">
        <v>12787</v>
      </c>
      <c r="L3565" s="34"/>
      <c r="M3565" s="34" t="s">
        <v>9000</v>
      </c>
    </row>
    <row r="3566" spans="1:13" hidden="1">
      <c r="A3566" s="40">
        <f t="shared" si="59"/>
        <v>3565</v>
      </c>
      <c r="B3566" s="34" t="s">
        <v>8</v>
      </c>
      <c r="C3566" s="34" t="s">
        <v>12406</v>
      </c>
      <c r="D3566" s="8" t="s">
        <v>12740</v>
      </c>
      <c r="E3566" s="8" t="s">
        <v>12526</v>
      </c>
      <c r="F3566" s="8" t="s">
        <v>12737</v>
      </c>
      <c r="G3566" s="34" t="s">
        <v>14</v>
      </c>
      <c r="H3566" s="34" t="str">
        <f>IFERROR(VLOOKUP(Table2[[#This Row], [Ticket]],Okey!A:B,2,0),"")</f>
        <v/>
      </c>
      <c r="I3566" s="34"/>
      <c r="J3566" s="34" t="str">
        <f>VLOOKUP(Table2[[#This Row],[Author]],People!A:B,2,0)</f>
        <v>HC</v>
      </c>
      <c r="K3566" s="34" t="s">
        <v>12787</v>
      </c>
      <c r="L3566" s="34"/>
      <c r="M3566" s="34" t="s">
        <v>9000</v>
      </c>
    </row>
    <row r="3567" spans="1:13" hidden="1">
      <c r="A3567" s="40">
        <f t="shared" si="59"/>
        <v>3566</v>
      </c>
      <c r="B3567" s="34" t="s">
        <v>8</v>
      </c>
      <c r="C3567" s="34" t="s">
        <v>12406</v>
      </c>
      <c r="D3567" s="8" t="s">
        <v>12741</v>
      </c>
      <c r="E3567" s="8" t="s">
        <v>12527</v>
      </c>
      <c r="F3567" s="8" t="s">
        <v>12737</v>
      </c>
      <c r="G3567" s="34" t="s">
        <v>14</v>
      </c>
      <c r="H3567" s="34" t="str">
        <f>IFERROR(VLOOKUP(Table2[[#This Row], [Ticket]],Okey!A:B,2,0),"")</f>
        <v/>
      </c>
      <c r="I3567" s="34"/>
      <c r="J3567" s="34" t="str">
        <f>VLOOKUP(Table2[[#This Row],[Author]],People!A:B,2,0)</f>
        <v>HC</v>
      </c>
      <c r="K3567" s="34" t="s">
        <v>12787</v>
      </c>
      <c r="L3567" s="34"/>
      <c r="M3567" s="34" t="s">
        <v>9000</v>
      </c>
    </row>
    <row r="3568" spans="1:13" hidden="1">
      <c r="A3568" s="40">
        <f t="shared" si="59"/>
        <v>3567</v>
      </c>
      <c r="B3568" s="34" t="s">
        <v>8</v>
      </c>
      <c r="C3568" s="34" t="s">
        <v>12406</v>
      </c>
      <c r="D3568" s="8" t="s">
        <v>12742</v>
      </c>
      <c r="E3568" s="8" t="s">
        <v>12528</v>
      </c>
      <c r="F3568" s="8" t="s">
        <v>12737</v>
      </c>
      <c r="G3568" s="34" t="s">
        <v>14</v>
      </c>
      <c r="H3568" s="34" t="str">
        <f>IFERROR(VLOOKUP(Table2[[#This Row], [Ticket]],Okey!A:B,2,0),"")</f>
        <v/>
      </c>
      <c r="I3568" s="34"/>
      <c r="J3568" s="34" t="str">
        <f>VLOOKUP(Table2[[#This Row],[Author]],People!A:B,2,0)</f>
        <v>HC</v>
      </c>
      <c r="K3568" s="34" t="s">
        <v>12787</v>
      </c>
      <c r="L3568" s="34"/>
      <c r="M3568" s="34" t="s">
        <v>9000</v>
      </c>
    </row>
    <row r="3569" spans="1:13" hidden="1">
      <c r="A3569" s="40">
        <f t="shared" si="59"/>
        <v>3568</v>
      </c>
      <c r="B3569" s="34" t="s">
        <v>8</v>
      </c>
      <c r="C3569" s="34" t="s">
        <v>12406</v>
      </c>
      <c r="D3569" s="8" t="s">
        <v>12743</v>
      </c>
      <c r="E3569" s="8" t="s">
        <v>12529</v>
      </c>
      <c r="F3569" s="8" t="s">
        <v>12738</v>
      </c>
      <c r="G3569" s="34" t="s">
        <v>14</v>
      </c>
      <c r="H3569" s="34" t="str">
        <f>IFERROR(VLOOKUP(Table2[[#This Row], [Ticket]],Okey!A:B,2,0),"")</f>
        <v/>
      </c>
      <c r="I3569" s="34"/>
      <c r="J3569" s="34" t="str">
        <f>VLOOKUP(Table2[[#This Row],[Author]],People!A:B,2,0)</f>
        <v>HC</v>
      </c>
      <c r="K3569" s="34" t="s">
        <v>12787</v>
      </c>
      <c r="L3569" s="34"/>
      <c r="M3569" s="34" t="s">
        <v>9000</v>
      </c>
    </row>
    <row r="3570" spans="1:13" hidden="1">
      <c r="A3570" s="40">
        <f t="shared" si="59"/>
        <v>3569</v>
      </c>
      <c r="B3570" s="34" t="s">
        <v>8</v>
      </c>
      <c r="C3570" s="34" t="s">
        <v>12406</v>
      </c>
      <c r="D3570" s="8" t="s">
        <v>12744</v>
      </c>
      <c r="E3570" s="8" t="s">
        <v>12530</v>
      </c>
      <c r="F3570" s="8" t="s">
        <v>12739</v>
      </c>
      <c r="G3570" s="34" t="s">
        <v>14</v>
      </c>
      <c r="H3570" s="34" t="str">
        <f>IFERROR(VLOOKUP(Table2[[#This Row], [Ticket]],Okey!A:B,2,0),"")</f>
        <v/>
      </c>
      <c r="I3570" s="34"/>
      <c r="J3570" s="34" t="str">
        <f>VLOOKUP(Table2[[#This Row],[Author]],People!A:B,2,0)</f>
        <v>HC</v>
      </c>
      <c r="K3570" s="34" t="s">
        <v>12787</v>
      </c>
      <c r="L3570" s="34"/>
      <c r="M3570" s="34" t="s">
        <v>9000</v>
      </c>
    </row>
    <row r="3571" spans="1:13" hidden="1">
      <c r="A3571" s="40">
        <f t="shared" si="59"/>
        <v>3570</v>
      </c>
      <c r="B3571" s="34" t="s">
        <v>8</v>
      </c>
      <c r="C3571" s="34" t="s">
        <v>12406</v>
      </c>
      <c r="D3571" s="8" t="s">
        <v>12745</v>
      </c>
      <c r="E3571" s="8" t="s">
        <v>12531</v>
      </c>
      <c r="F3571" s="8" t="s">
        <v>12739</v>
      </c>
      <c r="G3571" s="34" t="s">
        <v>14</v>
      </c>
      <c r="H3571" s="34" t="str">
        <f>IFERROR(VLOOKUP(Table2[[#This Row], [Ticket]],Okey!A:B,2,0),"")</f>
        <v/>
      </c>
      <c r="I3571" s="34"/>
      <c r="J3571" s="34" t="str">
        <f>VLOOKUP(Table2[[#This Row],[Author]],People!A:B,2,0)</f>
        <v>HC</v>
      </c>
      <c r="K3571" s="34" t="s">
        <v>12787</v>
      </c>
      <c r="L3571" s="34"/>
      <c r="M3571" s="34" t="s">
        <v>9000</v>
      </c>
    </row>
    <row r="3572" spans="1:13" hidden="1">
      <c r="A3572" s="40">
        <f t="shared" si="59"/>
        <v>3571</v>
      </c>
      <c r="B3572" s="34" t="s">
        <v>8</v>
      </c>
      <c r="C3572" s="34" t="s">
        <v>12406</v>
      </c>
      <c r="D3572" s="8" t="s">
        <v>12746</v>
      </c>
      <c r="E3572" s="8" t="s">
        <v>12532</v>
      </c>
      <c r="F3572" s="8" t="s">
        <v>12739</v>
      </c>
      <c r="G3572" s="34" t="s">
        <v>14</v>
      </c>
      <c r="H3572" s="34" t="str">
        <f>IFERROR(VLOOKUP(Table2[[#This Row], [Ticket]],Okey!A:B,2,0),"")</f>
        <v/>
      </c>
      <c r="I3572" s="34"/>
      <c r="J3572" s="34" t="str">
        <f>VLOOKUP(Table2[[#This Row],[Author]],People!A:B,2,0)</f>
        <v>HC</v>
      </c>
      <c r="K3572" s="34" t="s">
        <v>12787</v>
      </c>
      <c r="L3572" s="34"/>
      <c r="M3572" s="34" t="s">
        <v>9000</v>
      </c>
    </row>
    <row r="3573" spans="1:13" hidden="1">
      <c r="A3573" s="40">
        <f t="shared" si="59"/>
        <v>3572</v>
      </c>
      <c r="B3573" s="34" t="s">
        <v>8</v>
      </c>
      <c r="C3573" s="34" t="s">
        <v>12406</v>
      </c>
      <c r="D3573" s="8" t="s">
        <v>12747</v>
      </c>
      <c r="E3573" s="8" t="s">
        <v>12533</v>
      </c>
      <c r="F3573" s="8" t="s">
        <v>12740</v>
      </c>
      <c r="G3573" s="34" t="s">
        <v>14</v>
      </c>
      <c r="H3573" s="34" t="str">
        <f>IFERROR(VLOOKUP(Table2[[#This Row], [Ticket]],Okey!A:B,2,0),"")</f>
        <v/>
      </c>
      <c r="I3573" s="34"/>
      <c r="J3573" s="34" t="str">
        <f>VLOOKUP(Table2[[#This Row],[Author]],People!A:B,2,0)</f>
        <v>HC</v>
      </c>
      <c r="K3573" s="34" t="s">
        <v>12787</v>
      </c>
      <c r="L3573" s="34"/>
      <c r="M3573" s="34" t="s">
        <v>9000</v>
      </c>
    </row>
    <row r="3574" spans="1:13" hidden="1">
      <c r="A3574" s="40">
        <f t="shared" si="59"/>
        <v>3573</v>
      </c>
      <c r="B3574" s="34" t="s">
        <v>8</v>
      </c>
      <c r="C3574" s="34" t="s">
        <v>12406</v>
      </c>
      <c r="D3574" s="8" t="s">
        <v>12748</v>
      </c>
      <c r="E3574" s="8" t="s">
        <v>12534</v>
      </c>
      <c r="F3574" s="8" t="s">
        <v>12740</v>
      </c>
      <c r="G3574" s="34" t="s">
        <v>14</v>
      </c>
      <c r="H3574" s="34" t="str">
        <f>IFERROR(VLOOKUP(Table2[[#This Row], [Ticket]],Okey!A:B,2,0),"")</f>
        <v/>
      </c>
      <c r="I3574" s="34"/>
      <c r="J3574" s="34" t="str">
        <f>VLOOKUP(Table2[[#This Row],[Author]],People!A:B,2,0)</f>
        <v>HC</v>
      </c>
      <c r="K3574" s="34" t="s">
        <v>12787</v>
      </c>
      <c r="L3574" s="34"/>
      <c r="M3574" s="34" t="s">
        <v>9000</v>
      </c>
    </row>
    <row r="3575" spans="1:13" hidden="1">
      <c r="A3575" s="40">
        <f t="shared" si="59"/>
        <v>3574</v>
      </c>
      <c r="B3575" s="34" t="s">
        <v>8</v>
      </c>
      <c r="C3575" s="34" t="s">
        <v>12406</v>
      </c>
      <c r="D3575" s="8" t="s">
        <v>12749</v>
      </c>
      <c r="E3575" s="8" t="s">
        <v>12535</v>
      </c>
      <c r="F3575" s="8" t="s">
        <v>12741</v>
      </c>
      <c r="G3575" s="34" t="s">
        <v>14</v>
      </c>
      <c r="H3575" s="34" t="str">
        <f>IFERROR(VLOOKUP(Table2[[#This Row], [Ticket]],Okey!A:B,2,0),"")</f>
        <v/>
      </c>
      <c r="I3575" s="34"/>
      <c r="J3575" s="34" t="str">
        <f>VLOOKUP(Table2[[#This Row],[Author]],People!A:B,2,0)</f>
        <v>HC</v>
      </c>
      <c r="K3575" s="34" t="s">
        <v>12787</v>
      </c>
      <c r="L3575" s="34"/>
      <c r="M3575" s="34" t="s">
        <v>9000</v>
      </c>
    </row>
    <row r="3576" spans="1:13" hidden="1">
      <c r="A3576" s="40">
        <f t="shared" si="59"/>
        <v>3575</v>
      </c>
      <c r="B3576" s="34" t="s">
        <v>8</v>
      </c>
      <c r="C3576" s="34" t="s">
        <v>12406</v>
      </c>
      <c r="D3576" s="8" t="s">
        <v>12750</v>
      </c>
      <c r="E3576" s="8" t="s">
        <v>12536</v>
      </c>
      <c r="F3576" s="8" t="s">
        <v>12741</v>
      </c>
      <c r="G3576" s="34" t="s">
        <v>14</v>
      </c>
      <c r="H3576" s="34" t="str">
        <f>IFERROR(VLOOKUP(Table2[[#This Row], [Ticket]],Okey!A:B,2,0),"")</f>
        <v/>
      </c>
      <c r="I3576" s="34"/>
      <c r="J3576" s="34" t="str">
        <f>VLOOKUP(Table2[[#This Row],[Author]],People!A:B,2,0)</f>
        <v>HC</v>
      </c>
      <c r="K3576" s="34" t="s">
        <v>12787</v>
      </c>
      <c r="L3576" s="34"/>
      <c r="M3576" s="34" t="s">
        <v>9000</v>
      </c>
    </row>
    <row r="3577" spans="1:13" hidden="1">
      <c r="A3577" s="40">
        <f t="shared" si="59"/>
        <v>3576</v>
      </c>
      <c r="B3577" s="34" t="s">
        <v>8</v>
      </c>
      <c r="C3577" s="34" t="s">
        <v>12406</v>
      </c>
      <c r="D3577" s="8" t="s">
        <v>12751</v>
      </c>
      <c r="E3577" s="8" t="s">
        <v>12537</v>
      </c>
      <c r="F3577" s="8" t="s">
        <v>12743</v>
      </c>
      <c r="G3577" s="34" t="s">
        <v>14</v>
      </c>
      <c r="H3577" s="34" t="str">
        <f>IFERROR(VLOOKUP(Table2[[#This Row], [Ticket]],Okey!A:B,2,0),"")</f>
        <v/>
      </c>
      <c r="I3577" s="34"/>
      <c r="J3577" s="34" t="str">
        <f>VLOOKUP(Table2[[#This Row],[Author]],People!A:B,2,0)</f>
        <v>HC</v>
      </c>
      <c r="K3577" s="34" t="s">
        <v>12787</v>
      </c>
      <c r="L3577" s="34"/>
      <c r="M3577" s="34" t="s">
        <v>9000</v>
      </c>
    </row>
    <row r="3578" spans="1:13" hidden="1">
      <c r="A3578" s="40">
        <f t="shared" si="59"/>
        <v>3577</v>
      </c>
      <c r="B3578" s="34" t="s">
        <v>8</v>
      </c>
      <c r="C3578" s="34" t="s">
        <v>12406</v>
      </c>
      <c r="D3578" s="8" t="s">
        <v>12752</v>
      </c>
      <c r="E3578" s="8" t="s">
        <v>12538</v>
      </c>
      <c r="F3578" s="8" t="s">
        <v>12743</v>
      </c>
      <c r="G3578" s="34" t="s">
        <v>14</v>
      </c>
      <c r="H3578" s="34" t="str">
        <f>IFERROR(VLOOKUP(Table2[[#This Row], [Ticket]],Okey!A:B,2,0),"")</f>
        <v/>
      </c>
      <c r="I3578" s="34"/>
      <c r="J3578" s="34" t="str">
        <f>VLOOKUP(Table2[[#This Row],[Author]],People!A:B,2,0)</f>
        <v>HC</v>
      </c>
      <c r="K3578" s="34" t="s">
        <v>12787</v>
      </c>
      <c r="L3578" s="34"/>
      <c r="M3578" s="34" t="s">
        <v>9000</v>
      </c>
    </row>
    <row r="3579" spans="1:13" hidden="1">
      <c r="A3579" s="40">
        <f t="shared" si="59"/>
        <v>3578</v>
      </c>
      <c r="B3579" s="34" t="s">
        <v>8</v>
      </c>
      <c r="C3579" s="34" t="s">
        <v>12406</v>
      </c>
      <c r="D3579" s="8" t="s">
        <v>12753</v>
      </c>
      <c r="E3579" s="8" t="s">
        <v>12539</v>
      </c>
      <c r="F3579" s="8" t="s">
        <v>12743</v>
      </c>
      <c r="G3579" s="34" t="s">
        <v>14</v>
      </c>
      <c r="H3579" s="34" t="str">
        <f>IFERROR(VLOOKUP(Table2[[#This Row], [Ticket]],Okey!A:B,2,0),"")</f>
        <v/>
      </c>
      <c r="I3579" s="34"/>
      <c r="J3579" s="34" t="str">
        <f>VLOOKUP(Table2[[#This Row],[Author]],People!A:B,2,0)</f>
        <v>HC</v>
      </c>
      <c r="K3579" s="34" t="s">
        <v>12787</v>
      </c>
      <c r="L3579" s="34"/>
      <c r="M3579" s="34" t="s">
        <v>9000</v>
      </c>
    </row>
    <row r="3580" spans="1:13" hidden="1">
      <c r="A3580" s="40">
        <f t="shared" si="59"/>
        <v>3579</v>
      </c>
      <c r="B3580" s="34" t="s">
        <v>8</v>
      </c>
      <c r="C3580" s="34" t="s">
        <v>12406</v>
      </c>
      <c r="D3580" s="8" t="s">
        <v>12754</v>
      </c>
      <c r="E3580" s="8" t="s">
        <v>12540</v>
      </c>
      <c r="F3580" s="8" t="s">
        <v>12751</v>
      </c>
      <c r="G3580" s="34" t="s">
        <v>14</v>
      </c>
      <c r="H3580" s="34" t="str">
        <f>IFERROR(VLOOKUP(Table2[[#This Row], [Ticket]],Okey!A:B,2,0),"")</f>
        <v/>
      </c>
      <c r="I3580" s="34"/>
      <c r="J3580" s="34" t="str">
        <f>VLOOKUP(Table2[[#This Row],[Author]],People!A:B,2,0)</f>
        <v>HC</v>
      </c>
      <c r="K3580" s="34" t="s">
        <v>12787</v>
      </c>
      <c r="L3580" s="34"/>
      <c r="M3580" s="34" t="s">
        <v>9000</v>
      </c>
    </row>
    <row r="3581" spans="1:13" hidden="1">
      <c r="A3581" s="40">
        <f t="shared" si="59"/>
        <v>3580</v>
      </c>
      <c r="B3581" s="34" t="s">
        <v>8</v>
      </c>
      <c r="C3581" s="34" t="s">
        <v>12406</v>
      </c>
      <c r="D3581" s="8" t="s">
        <v>12755</v>
      </c>
      <c r="E3581" s="8" t="s">
        <v>12541</v>
      </c>
      <c r="F3581" s="8" t="s">
        <v>12751</v>
      </c>
      <c r="G3581" s="34" t="s">
        <v>14</v>
      </c>
      <c r="H3581" s="34" t="str">
        <f>IFERROR(VLOOKUP(Table2[[#This Row], [Ticket]],Okey!A:B,2,0),"")</f>
        <v/>
      </c>
      <c r="I3581" s="34"/>
      <c r="J3581" s="34" t="str">
        <f>VLOOKUP(Table2[[#This Row],[Author]],People!A:B,2,0)</f>
        <v>HC</v>
      </c>
      <c r="K3581" s="34" t="s">
        <v>12787</v>
      </c>
      <c r="L3581" s="34"/>
      <c r="M3581" s="34" t="s">
        <v>9000</v>
      </c>
    </row>
    <row r="3582" spans="1:13" hidden="1">
      <c r="A3582" s="40">
        <f t="shared" ref="A3582:A3645" si="60">1+A3581</f>
        <v>3581</v>
      </c>
      <c r="B3582" s="34" t="s">
        <v>8</v>
      </c>
      <c r="C3582" s="34" t="s">
        <v>12406</v>
      </c>
      <c r="D3582" s="8" t="s">
        <v>12756</v>
      </c>
      <c r="E3582" s="8" t="s">
        <v>12542</v>
      </c>
      <c r="F3582" s="8" t="s">
        <v>12751</v>
      </c>
      <c r="G3582" s="34" t="s">
        <v>14</v>
      </c>
      <c r="H3582" s="34" t="str">
        <f>IFERROR(VLOOKUP(Table2[[#This Row], [Ticket]],Okey!A:B,2,0),"")</f>
        <v/>
      </c>
      <c r="I3582" s="34"/>
      <c r="J3582" s="34" t="str">
        <f>VLOOKUP(Table2[[#This Row],[Author]],People!A:B,2,0)</f>
        <v>HC</v>
      </c>
      <c r="K3582" s="34" t="s">
        <v>12787</v>
      </c>
      <c r="L3582" s="34"/>
      <c r="M3582" s="34" t="s">
        <v>9000</v>
      </c>
    </row>
    <row r="3583" spans="1:13" hidden="1">
      <c r="A3583" s="40">
        <f t="shared" si="60"/>
        <v>3582</v>
      </c>
      <c r="B3583" s="34" t="s">
        <v>8</v>
      </c>
      <c r="C3583" s="34" t="s">
        <v>12406</v>
      </c>
      <c r="D3583" s="8" t="s">
        <v>12757</v>
      </c>
      <c r="E3583" s="8" t="s">
        <v>12543</v>
      </c>
      <c r="F3583" s="8" t="s">
        <v>12751</v>
      </c>
      <c r="G3583" s="34" t="s">
        <v>14</v>
      </c>
      <c r="H3583" s="34" t="str">
        <f>IFERROR(VLOOKUP(Table2[[#This Row], [Ticket]],Okey!A:B,2,0),"")</f>
        <v/>
      </c>
      <c r="I3583" s="34"/>
      <c r="J3583" s="34" t="str">
        <f>VLOOKUP(Table2[[#This Row],[Author]],People!A:B,2,0)</f>
        <v>HC</v>
      </c>
      <c r="K3583" s="34" t="s">
        <v>12787</v>
      </c>
      <c r="L3583" s="34"/>
      <c r="M3583" s="34" t="s">
        <v>9000</v>
      </c>
    </row>
    <row r="3584" spans="1:13" hidden="1">
      <c r="A3584" s="40">
        <f t="shared" si="60"/>
        <v>3583</v>
      </c>
      <c r="B3584" s="34" t="s">
        <v>8</v>
      </c>
      <c r="C3584" s="34" t="s">
        <v>12406</v>
      </c>
      <c r="D3584" s="8" t="s">
        <v>12758</v>
      </c>
      <c r="E3584" s="8" t="s">
        <v>12540</v>
      </c>
      <c r="F3584" s="8" t="s">
        <v>12752</v>
      </c>
      <c r="G3584" s="34" t="s">
        <v>14</v>
      </c>
      <c r="H3584" s="34" t="str">
        <f>IFERROR(VLOOKUP(Table2[[#This Row], [Ticket]],Okey!A:B,2,0),"")</f>
        <v/>
      </c>
      <c r="I3584" s="34"/>
      <c r="J3584" s="34" t="str">
        <f>VLOOKUP(Table2[[#This Row],[Author]],People!A:B,2,0)</f>
        <v>HC</v>
      </c>
      <c r="K3584" s="34" t="s">
        <v>12787</v>
      </c>
      <c r="L3584" s="34"/>
      <c r="M3584" s="34" t="s">
        <v>9000</v>
      </c>
    </row>
    <row r="3585" spans="1:13" hidden="1">
      <c r="A3585" s="40">
        <f t="shared" si="60"/>
        <v>3584</v>
      </c>
      <c r="B3585" s="34" t="s">
        <v>8</v>
      </c>
      <c r="C3585" s="34" t="s">
        <v>12406</v>
      </c>
      <c r="D3585" s="8" t="s">
        <v>12759</v>
      </c>
      <c r="E3585" s="8" t="s">
        <v>12541</v>
      </c>
      <c r="F3585" s="8" t="s">
        <v>12752</v>
      </c>
      <c r="G3585" s="34" t="s">
        <v>14</v>
      </c>
      <c r="H3585" s="34" t="str">
        <f>IFERROR(VLOOKUP(Table2[[#This Row], [Ticket]],Okey!A:B,2,0),"")</f>
        <v/>
      </c>
      <c r="I3585" s="34"/>
      <c r="J3585" s="34" t="str">
        <f>VLOOKUP(Table2[[#This Row],[Author]],People!A:B,2,0)</f>
        <v>HC</v>
      </c>
      <c r="K3585" s="34" t="s">
        <v>12787</v>
      </c>
      <c r="L3585" s="34"/>
      <c r="M3585" s="34" t="s">
        <v>9000</v>
      </c>
    </row>
    <row r="3586" spans="1:13" hidden="1">
      <c r="A3586" s="40">
        <f t="shared" si="60"/>
        <v>3585</v>
      </c>
      <c r="B3586" s="34" t="s">
        <v>8</v>
      </c>
      <c r="C3586" s="34" t="s">
        <v>12406</v>
      </c>
      <c r="D3586" s="8" t="s">
        <v>12760</v>
      </c>
      <c r="E3586" s="8" t="s">
        <v>12542</v>
      </c>
      <c r="F3586" s="8" t="s">
        <v>12752</v>
      </c>
      <c r="G3586" s="34" t="s">
        <v>14</v>
      </c>
      <c r="H3586" s="34" t="str">
        <f>IFERROR(VLOOKUP(Table2[[#This Row], [Ticket]],Okey!A:B,2,0),"")</f>
        <v/>
      </c>
      <c r="I3586" s="34"/>
      <c r="J3586" s="34" t="str">
        <f>VLOOKUP(Table2[[#This Row],[Author]],People!A:B,2,0)</f>
        <v>HC</v>
      </c>
      <c r="K3586" s="34" t="s">
        <v>12787</v>
      </c>
      <c r="L3586" s="34"/>
      <c r="M3586" s="34" t="s">
        <v>9000</v>
      </c>
    </row>
    <row r="3587" spans="1:13" hidden="1">
      <c r="A3587" s="40">
        <f t="shared" si="60"/>
        <v>3586</v>
      </c>
      <c r="B3587" s="34" t="s">
        <v>8</v>
      </c>
      <c r="C3587" s="34" t="s">
        <v>12406</v>
      </c>
      <c r="D3587" s="8" t="s">
        <v>12761</v>
      </c>
      <c r="E3587" s="8" t="s">
        <v>12543</v>
      </c>
      <c r="F3587" s="8" t="s">
        <v>12752</v>
      </c>
      <c r="G3587" s="34" t="s">
        <v>14</v>
      </c>
      <c r="H3587" s="34" t="str">
        <f>IFERROR(VLOOKUP(Table2[[#This Row], [Ticket]],Okey!A:B,2,0),"")</f>
        <v/>
      </c>
      <c r="I3587" s="34"/>
      <c r="J3587" s="34" t="str">
        <f>VLOOKUP(Table2[[#This Row],[Author]],People!A:B,2,0)</f>
        <v>HC</v>
      </c>
      <c r="K3587" s="34" t="s">
        <v>12787</v>
      </c>
      <c r="L3587" s="34"/>
      <c r="M3587" s="34" t="s">
        <v>9000</v>
      </c>
    </row>
    <row r="3588" spans="1:13" hidden="1">
      <c r="A3588" s="40">
        <f t="shared" si="60"/>
        <v>3587</v>
      </c>
      <c r="B3588" s="34" t="s">
        <v>8</v>
      </c>
      <c r="C3588" s="34" t="s">
        <v>12406</v>
      </c>
      <c r="D3588" s="8" t="s">
        <v>12762</v>
      </c>
      <c r="E3588" s="8" t="s">
        <v>12540</v>
      </c>
      <c r="F3588" s="8" t="s">
        <v>12753</v>
      </c>
      <c r="G3588" s="34" t="s">
        <v>14</v>
      </c>
      <c r="H3588" s="34" t="str">
        <f>IFERROR(VLOOKUP(Table2[[#This Row], [Ticket]],Okey!A:B,2,0),"")</f>
        <v/>
      </c>
      <c r="I3588" s="34"/>
      <c r="J3588" s="34" t="str">
        <f>VLOOKUP(Table2[[#This Row],[Author]],People!A:B,2,0)</f>
        <v>HC</v>
      </c>
      <c r="K3588" s="34" t="s">
        <v>12787</v>
      </c>
      <c r="L3588" s="34"/>
      <c r="M3588" s="34" t="s">
        <v>9000</v>
      </c>
    </row>
    <row r="3589" spans="1:13" hidden="1">
      <c r="A3589" s="40">
        <f t="shared" si="60"/>
        <v>3588</v>
      </c>
      <c r="B3589" s="34" t="s">
        <v>8</v>
      </c>
      <c r="C3589" s="34" t="s">
        <v>12406</v>
      </c>
      <c r="D3589" s="8" t="s">
        <v>12763</v>
      </c>
      <c r="E3589" s="8" t="s">
        <v>12541</v>
      </c>
      <c r="F3589" s="8" t="s">
        <v>12753</v>
      </c>
      <c r="G3589" s="34" t="s">
        <v>14</v>
      </c>
      <c r="H3589" s="34" t="str">
        <f>IFERROR(VLOOKUP(Table2[[#This Row], [Ticket]],Okey!A:B,2,0),"")</f>
        <v/>
      </c>
      <c r="I3589" s="34"/>
      <c r="J3589" s="34" t="str">
        <f>VLOOKUP(Table2[[#This Row],[Author]],People!A:B,2,0)</f>
        <v>HC</v>
      </c>
      <c r="K3589" s="34" t="s">
        <v>12787</v>
      </c>
      <c r="L3589" s="34"/>
      <c r="M3589" s="34" t="s">
        <v>9000</v>
      </c>
    </row>
    <row r="3590" spans="1:13" hidden="1">
      <c r="A3590" s="40">
        <f t="shared" si="60"/>
        <v>3589</v>
      </c>
      <c r="B3590" s="34" t="s">
        <v>8</v>
      </c>
      <c r="C3590" s="34" t="s">
        <v>12406</v>
      </c>
      <c r="D3590" s="8" t="s">
        <v>12764</v>
      </c>
      <c r="E3590" s="8" t="s">
        <v>12542</v>
      </c>
      <c r="F3590" s="8" t="s">
        <v>12753</v>
      </c>
      <c r="G3590" s="34" t="s">
        <v>14</v>
      </c>
      <c r="H3590" s="34" t="str">
        <f>IFERROR(VLOOKUP(Table2[[#This Row], [Ticket]],Okey!A:B,2,0),"")</f>
        <v/>
      </c>
      <c r="I3590" s="34"/>
      <c r="J3590" s="34" t="str">
        <f>VLOOKUP(Table2[[#This Row],[Author]],People!A:B,2,0)</f>
        <v>HC</v>
      </c>
      <c r="K3590" s="34" t="s">
        <v>12787</v>
      </c>
      <c r="L3590" s="34"/>
      <c r="M3590" s="34" t="s">
        <v>9000</v>
      </c>
    </row>
    <row r="3591" spans="1:13" hidden="1">
      <c r="A3591" s="40">
        <f t="shared" si="60"/>
        <v>3590</v>
      </c>
      <c r="B3591" s="34" t="s">
        <v>8</v>
      </c>
      <c r="C3591" s="34" t="s">
        <v>12406</v>
      </c>
      <c r="D3591" s="8" t="s">
        <v>12765</v>
      </c>
      <c r="E3591" s="8" t="s">
        <v>12543</v>
      </c>
      <c r="F3591" s="8" t="s">
        <v>12753</v>
      </c>
      <c r="G3591" s="34" t="s">
        <v>14</v>
      </c>
      <c r="H3591" s="34" t="str">
        <f>IFERROR(VLOOKUP(Table2[[#This Row], [Ticket]],Okey!A:B,2,0),"")</f>
        <v/>
      </c>
      <c r="I3591" s="34"/>
      <c r="J3591" s="34" t="str">
        <f>VLOOKUP(Table2[[#This Row],[Author]],People!A:B,2,0)</f>
        <v>HC</v>
      </c>
      <c r="K3591" s="34" t="s">
        <v>12787</v>
      </c>
      <c r="L3591" s="34"/>
      <c r="M3591" s="34" t="s">
        <v>9000</v>
      </c>
    </row>
    <row r="3592" spans="1:13" hidden="1">
      <c r="A3592" s="40">
        <f t="shared" si="60"/>
        <v>3591</v>
      </c>
      <c r="B3592" s="34" t="s">
        <v>8</v>
      </c>
      <c r="C3592" s="34" t="s">
        <v>12406</v>
      </c>
      <c r="D3592" s="8" t="s">
        <v>12766</v>
      </c>
      <c r="E3592" s="8" t="s">
        <v>12544</v>
      </c>
      <c r="F3592" s="8" t="s">
        <v>12523</v>
      </c>
      <c r="G3592" s="34" t="s">
        <v>14</v>
      </c>
      <c r="H3592" s="34" t="str">
        <f>IFERROR(VLOOKUP(Table2[[#This Row], [Ticket]],Okey!A:B,2,0),"")</f>
        <v/>
      </c>
      <c r="I3592" s="34"/>
      <c r="J3592" s="34" t="str">
        <f>VLOOKUP(Table2[[#This Row],[Author]],People!A:B,2,0)</f>
        <v>HC</v>
      </c>
      <c r="K3592" s="34" t="s">
        <v>12787</v>
      </c>
      <c r="L3592" s="34"/>
      <c r="M3592" s="34" t="s">
        <v>9000</v>
      </c>
    </row>
    <row r="3593" spans="1:13" hidden="1">
      <c r="A3593" s="40">
        <f t="shared" si="60"/>
        <v>3592</v>
      </c>
      <c r="B3593" s="34" t="s">
        <v>8</v>
      </c>
      <c r="C3593" s="34" t="s">
        <v>12406</v>
      </c>
      <c r="D3593" s="8" t="s">
        <v>12767</v>
      </c>
      <c r="E3593" s="8" t="s">
        <v>12545</v>
      </c>
      <c r="F3593" s="8" t="s">
        <v>1123</v>
      </c>
      <c r="G3593" s="34" t="s">
        <v>14</v>
      </c>
      <c r="H3593" s="34" t="str">
        <f>IFERROR(VLOOKUP(Table2[[#This Row], [Ticket]],Okey!A:B,2,0),"")</f>
        <v/>
      </c>
      <c r="I3593" s="34"/>
      <c r="J3593" s="34" t="str">
        <f>VLOOKUP(Table2[[#This Row],[Author]],People!A:B,2,0)</f>
        <v>HC</v>
      </c>
      <c r="K3593" s="34" t="s">
        <v>12787</v>
      </c>
      <c r="L3593" s="34"/>
      <c r="M3593" s="34" t="s">
        <v>9000</v>
      </c>
    </row>
    <row r="3594" spans="1:13" hidden="1">
      <c r="A3594" s="40">
        <f t="shared" si="60"/>
        <v>3593</v>
      </c>
      <c r="B3594" s="34" t="s">
        <v>8</v>
      </c>
      <c r="C3594" s="34" t="s">
        <v>12406</v>
      </c>
      <c r="D3594" s="8" t="s">
        <v>12768</v>
      </c>
      <c r="E3594" s="8" t="s">
        <v>12546</v>
      </c>
      <c r="F3594" s="8" t="s">
        <v>12767</v>
      </c>
      <c r="G3594" s="34" t="s">
        <v>14</v>
      </c>
      <c r="H3594" s="34" t="str">
        <f>IFERROR(VLOOKUP(Table2[[#This Row], [Ticket]],Okey!A:B,2,0),"")</f>
        <v/>
      </c>
      <c r="I3594" s="34"/>
      <c r="J3594" s="34" t="str">
        <f>VLOOKUP(Table2[[#This Row],[Author]],People!A:B,2,0)</f>
        <v>HC</v>
      </c>
      <c r="K3594" s="34" t="s">
        <v>12787</v>
      </c>
      <c r="L3594" s="34"/>
      <c r="M3594" s="34" t="s">
        <v>9000</v>
      </c>
    </row>
    <row r="3595" spans="1:13" hidden="1">
      <c r="A3595" s="40">
        <f t="shared" si="60"/>
        <v>3594</v>
      </c>
      <c r="B3595" s="34" t="s">
        <v>8</v>
      </c>
      <c r="C3595" s="34" t="s">
        <v>12406</v>
      </c>
      <c r="D3595" s="8" t="s">
        <v>12769</v>
      </c>
      <c r="E3595" s="8" t="s">
        <v>12547</v>
      </c>
      <c r="F3595" s="8" t="s">
        <v>12767</v>
      </c>
      <c r="G3595" s="34" t="s">
        <v>14</v>
      </c>
      <c r="H3595" s="34" t="str">
        <f>IFERROR(VLOOKUP(Table2[[#This Row], [Ticket]],Okey!A:B,2,0),"")</f>
        <v/>
      </c>
      <c r="I3595" s="34"/>
      <c r="J3595" s="34" t="str">
        <f>VLOOKUP(Table2[[#This Row],[Author]],People!A:B,2,0)</f>
        <v>HC</v>
      </c>
      <c r="K3595" s="34" t="s">
        <v>12787</v>
      </c>
      <c r="L3595" s="34"/>
      <c r="M3595" s="34" t="s">
        <v>9000</v>
      </c>
    </row>
    <row r="3596" spans="1:13" hidden="1">
      <c r="A3596" s="40">
        <f t="shared" si="60"/>
        <v>3595</v>
      </c>
      <c r="B3596" s="34" t="s">
        <v>8</v>
      </c>
      <c r="C3596" s="34" t="s">
        <v>12406</v>
      </c>
      <c r="D3596" s="8" t="s">
        <v>12770</v>
      </c>
      <c r="E3596" s="8" t="s">
        <v>12548</v>
      </c>
      <c r="F3596" s="8" t="s">
        <v>12767</v>
      </c>
      <c r="G3596" s="34" t="s">
        <v>14</v>
      </c>
      <c r="H3596" s="34" t="str">
        <f>IFERROR(VLOOKUP(Table2[[#This Row], [Ticket]],Okey!A:B,2,0),"")</f>
        <v/>
      </c>
      <c r="I3596" s="34"/>
      <c r="J3596" s="34" t="str">
        <f>VLOOKUP(Table2[[#This Row],[Author]],People!A:B,2,0)</f>
        <v>HC</v>
      </c>
      <c r="K3596" s="34" t="s">
        <v>12787</v>
      </c>
      <c r="L3596" s="34"/>
      <c r="M3596" s="34" t="s">
        <v>9000</v>
      </c>
    </row>
    <row r="3597" spans="1:13" hidden="1">
      <c r="A3597" s="40">
        <f t="shared" si="60"/>
        <v>3596</v>
      </c>
      <c r="B3597" s="34" t="s">
        <v>8</v>
      </c>
      <c r="C3597" s="34" t="s">
        <v>12406</v>
      </c>
      <c r="D3597" s="8" t="s">
        <v>12771</v>
      </c>
      <c r="E3597" s="8" t="s">
        <v>12549</v>
      </c>
      <c r="F3597" s="8" t="s">
        <v>12767</v>
      </c>
      <c r="G3597" s="34" t="s">
        <v>14</v>
      </c>
      <c r="H3597" s="34" t="str">
        <f>IFERROR(VLOOKUP(Table2[[#This Row], [Ticket]],Okey!A:B,2,0),"")</f>
        <v/>
      </c>
      <c r="I3597" s="34"/>
      <c r="J3597" s="34" t="str">
        <f>VLOOKUP(Table2[[#This Row],[Author]],People!A:B,2,0)</f>
        <v>HC</v>
      </c>
      <c r="K3597" s="34" t="s">
        <v>12787</v>
      </c>
      <c r="L3597" s="34"/>
      <c r="M3597" s="34" t="s">
        <v>9000</v>
      </c>
    </row>
    <row r="3598" spans="1:13" hidden="1">
      <c r="A3598" s="40">
        <f t="shared" si="60"/>
        <v>3597</v>
      </c>
      <c r="B3598" s="34" t="s">
        <v>8</v>
      </c>
      <c r="C3598" s="34" t="s">
        <v>12406</v>
      </c>
      <c r="D3598" s="8" t="s">
        <v>12772</v>
      </c>
      <c r="E3598" s="8" t="s">
        <v>12550</v>
      </c>
      <c r="F3598" s="8" t="s">
        <v>12767</v>
      </c>
      <c r="G3598" s="34" t="s">
        <v>14</v>
      </c>
      <c r="H3598" s="34" t="str">
        <f>IFERROR(VLOOKUP(Table2[[#This Row], [Ticket]],Okey!A:B,2,0),"")</f>
        <v/>
      </c>
      <c r="I3598" s="34"/>
      <c r="J3598" s="34" t="str">
        <f>VLOOKUP(Table2[[#This Row],[Author]],People!A:B,2,0)</f>
        <v>HC</v>
      </c>
      <c r="K3598" s="34" t="s">
        <v>12787</v>
      </c>
      <c r="L3598" s="34"/>
      <c r="M3598" s="34" t="s">
        <v>9000</v>
      </c>
    </row>
    <row r="3599" spans="1:13" hidden="1">
      <c r="A3599" s="40">
        <f t="shared" si="60"/>
        <v>3598</v>
      </c>
      <c r="B3599" s="34" t="s">
        <v>8</v>
      </c>
      <c r="C3599" s="34" t="s">
        <v>12406</v>
      </c>
      <c r="D3599" s="8" t="s">
        <v>12773</v>
      </c>
      <c r="E3599" s="8" t="s">
        <v>12551</v>
      </c>
      <c r="F3599" s="8" t="s">
        <v>12768</v>
      </c>
      <c r="G3599" s="34" t="s">
        <v>14</v>
      </c>
      <c r="H3599" s="34" t="str">
        <f>IFERROR(VLOOKUP(Table2[[#This Row], [Ticket]],Okey!A:B,2,0),"")</f>
        <v/>
      </c>
      <c r="I3599" s="34"/>
      <c r="J3599" s="34" t="str">
        <f>VLOOKUP(Table2[[#This Row],[Author]],People!A:B,2,0)</f>
        <v>HC</v>
      </c>
      <c r="K3599" s="34" t="s">
        <v>12787</v>
      </c>
      <c r="L3599" s="34"/>
      <c r="M3599" s="34" t="s">
        <v>9000</v>
      </c>
    </row>
    <row r="3600" spans="1:13" hidden="1">
      <c r="A3600" s="40">
        <f t="shared" si="60"/>
        <v>3599</v>
      </c>
      <c r="B3600" s="34" t="s">
        <v>8</v>
      </c>
      <c r="C3600" s="34" t="s">
        <v>12406</v>
      </c>
      <c r="D3600" s="8" t="s">
        <v>12774</v>
      </c>
      <c r="E3600" s="8" t="s">
        <v>12552</v>
      </c>
      <c r="F3600" s="8" t="s">
        <v>12769</v>
      </c>
      <c r="G3600" s="34" t="s">
        <v>14</v>
      </c>
      <c r="H3600" s="34" t="str">
        <f>IFERROR(VLOOKUP(Table2[[#This Row], [Ticket]],Okey!A:B,2,0),"")</f>
        <v/>
      </c>
      <c r="I3600" s="34"/>
      <c r="J3600" s="34" t="str">
        <f>VLOOKUP(Table2[[#This Row],[Author]],People!A:B,2,0)</f>
        <v>HC</v>
      </c>
      <c r="K3600" s="34" t="s">
        <v>12787</v>
      </c>
      <c r="L3600" s="34"/>
      <c r="M3600" s="34" t="s">
        <v>9000</v>
      </c>
    </row>
    <row r="3601" spans="1:13" hidden="1">
      <c r="A3601" s="40">
        <f t="shared" si="60"/>
        <v>3600</v>
      </c>
      <c r="B3601" s="34" t="s">
        <v>8</v>
      </c>
      <c r="C3601" s="34" t="s">
        <v>12406</v>
      </c>
      <c r="D3601" s="8" t="s">
        <v>12775</v>
      </c>
      <c r="E3601" s="8" t="s">
        <v>12553</v>
      </c>
      <c r="F3601" s="8" t="s">
        <v>12769</v>
      </c>
      <c r="G3601" s="34" t="s">
        <v>14</v>
      </c>
      <c r="H3601" s="34" t="str">
        <f>IFERROR(VLOOKUP(Table2[[#This Row], [Ticket]],Okey!A:B,2,0),"")</f>
        <v/>
      </c>
      <c r="I3601" s="34"/>
      <c r="J3601" s="34" t="str">
        <f>VLOOKUP(Table2[[#This Row],[Author]],People!A:B,2,0)</f>
        <v>HC</v>
      </c>
      <c r="K3601" s="34" t="s">
        <v>12787</v>
      </c>
      <c r="L3601" s="34"/>
      <c r="M3601" s="34" t="s">
        <v>9000</v>
      </c>
    </row>
    <row r="3602" spans="1:13" hidden="1">
      <c r="A3602" s="40">
        <f t="shared" si="60"/>
        <v>3601</v>
      </c>
      <c r="B3602" s="34" t="s">
        <v>8</v>
      </c>
      <c r="C3602" s="34" t="s">
        <v>12406</v>
      </c>
      <c r="D3602" s="8" t="s">
        <v>12776</v>
      </c>
      <c r="E3602" s="8" t="s">
        <v>12554</v>
      </c>
      <c r="F3602" s="8" t="s">
        <v>12769</v>
      </c>
      <c r="G3602" s="34" t="s">
        <v>14</v>
      </c>
      <c r="H3602" s="34" t="str">
        <f>IFERROR(VLOOKUP(Table2[[#This Row], [Ticket]],Okey!A:B,2,0),"")</f>
        <v/>
      </c>
      <c r="I3602" s="34"/>
      <c r="J3602" s="34" t="str">
        <f>VLOOKUP(Table2[[#This Row],[Author]],People!A:B,2,0)</f>
        <v>HC</v>
      </c>
      <c r="K3602" s="34" t="s">
        <v>12787</v>
      </c>
      <c r="L3602" s="34"/>
      <c r="M3602" s="34" t="s">
        <v>9000</v>
      </c>
    </row>
    <row r="3603" spans="1:13" hidden="1">
      <c r="A3603" s="40">
        <f t="shared" si="60"/>
        <v>3602</v>
      </c>
      <c r="B3603" s="34" t="s">
        <v>8</v>
      </c>
      <c r="C3603" s="34" t="s">
        <v>12406</v>
      </c>
      <c r="D3603" s="8" t="s">
        <v>12777</v>
      </c>
      <c r="E3603" s="8" t="s">
        <v>12555</v>
      </c>
      <c r="F3603" s="8" t="s">
        <v>12771</v>
      </c>
      <c r="G3603" s="34" t="s">
        <v>14</v>
      </c>
      <c r="H3603" s="34" t="str">
        <f>IFERROR(VLOOKUP(Table2[[#This Row], [Ticket]],Okey!A:B,2,0),"")</f>
        <v/>
      </c>
      <c r="I3603" s="34"/>
      <c r="J3603" s="34" t="str">
        <f>VLOOKUP(Table2[[#This Row],[Author]],People!A:B,2,0)</f>
        <v>HC</v>
      </c>
      <c r="K3603" s="34" t="s">
        <v>12787</v>
      </c>
      <c r="L3603" s="34"/>
      <c r="M3603" s="34" t="s">
        <v>9000</v>
      </c>
    </row>
    <row r="3604" spans="1:13" hidden="1">
      <c r="A3604" s="40">
        <f t="shared" si="60"/>
        <v>3603</v>
      </c>
      <c r="B3604" s="34" t="s">
        <v>8</v>
      </c>
      <c r="C3604" s="34" t="s">
        <v>12406</v>
      </c>
      <c r="D3604" s="8" t="s">
        <v>12778</v>
      </c>
      <c r="E3604" s="8" t="s">
        <v>12556</v>
      </c>
      <c r="F3604" s="8" t="s">
        <v>12771</v>
      </c>
      <c r="G3604" s="34" t="s">
        <v>14</v>
      </c>
      <c r="H3604" s="34" t="str">
        <f>IFERROR(VLOOKUP(Table2[[#This Row], [Ticket]],Okey!A:B,2,0),"")</f>
        <v/>
      </c>
      <c r="I3604" s="34"/>
      <c r="J3604" s="34" t="str">
        <f>VLOOKUP(Table2[[#This Row],[Author]],People!A:B,2,0)</f>
        <v>HC</v>
      </c>
      <c r="K3604" s="34" t="s">
        <v>12787</v>
      </c>
      <c r="L3604" s="34"/>
      <c r="M3604" s="34" t="s">
        <v>9000</v>
      </c>
    </row>
    <row r="3605" spans="1:13" hidden="1">
      <c r="A3605" s="40">
        <f t="shared" si="60"/>
        <v>3604</v>
      </c>
      <c r="B3605" s="34" t="s">
        <v>8</v>
      </c>
      <c r="C3605" s="34" t="s">
        <v>12406</v>
      </c>
      <c r="D3605" s="8" t="s">
        <v>12779</v>
      </c>
      <c r="E3605" s="8" t="s">
        <v>12557</v>
      </c>
      <c r="F3605" s="8" t="s">
        <v>12770</v>
      </c>
      <c r="G3605" s="34" t="s">
        <v>14</v>
      </c>
      <c r="H3605" s="34" t="str">
        <f>IFERROR(VLOOKUP(Table2[[#This Row], [Ticket]],Okey!A:B,2,0),"")</f>
        <v/>
      </c>
      <c r="I3605" s="34"/>
      <c r="J3605" s="34" t="str">
        <f>VLOOKUP(Table2[[#This Row],[Author]],People!A:B,2,0)</f>
        <v>HC</v>
      </c>
      <c r="K3605" s="34" t="s">
        <v>12787</v>
      </c>
      <c r="L3605" s="34"/>
      <c r="M3605" s="34" t="s">
        <v>9000</v>
      </c>
    </row>
    <row r="3606" spans="1:13" hidden="1">
      <c r="A3606" s="40">
        <f t="shared" si="60"/>
        <v>3605</v>
      </c>
      <c r="B3606" s="34" t="s">
        <v>8</v>
      </c>
      <c r="C3606" s="34" t="s">
        <v>12406</v>
      </c>
      <c r="D3606" s="8" t="s">
        <v>12780</v>
      </c>
      <c r="E3606" s="8" t="s">
        <v>12558</v>
      </c>
      <c r="F3606" s="8" t="s">
        <v>12773</v>
      </c>
      <c r="G3606" s="34" t="s">
        <v>14</v>
      </c>
      <c r="H3606" s="34" t="str">
        <f>IFERROR(VLOOKUP(Table2[[#This Row], [Ticket]],Okey!A:B,2,0),"")</f>
        <v/>
      </c>
      <c r="I3606" s="34"/>
      <c r="J3606" s="34" t="str">
        <f>VLOOKUP(Table2[[#This Row],[Author]],People!A:B,2,0)</f>
        <v>HC</v>
      </c>
      <c r="K3606" s="34" t="s">
        <v>12787</v>
      </c>
      <c r="L3606" s="34"/>
      <c r="M3606" s="34" t="s">
        <v>9000</v>
      </c>
    </row>
    <row r="3607" spans="1:13" hidden="1">
      <c r="A3607" s="40">
        <f t="shared" si="60"/>
        <v>3606</v>
      </c>
      <c r="B3607" s="34" t="s">
        <v>8</v>
      </c>
      <c r="C3607" s="34" t="s">
        <v>12406</v>
      </c>
      <c r="D3607" s="8" t="s">
        <v>12781</v>
      </c>
      <c r="E3607" s="8" t="s">
        <v>12559</v>
      </c>
      <c r="F3607" s="8" t="s">
        <v>12773</v>
      </c>
      <c r="G3607" s="34" t="s">
        <v>14</v>
      </c>
      <c r="H3607" s="34" t="str">
        <f>IFERROR(VLOOKUP(Table2[[#This Row], [Ticket]],Okey!A:B,2,0),"")</f>
        <v/>
      </c>
      <c r="I3607" s="34"/>
      <c r="J3607" s="34" t="str">
        <f>VLOOKUP(Table2[[#This Row],[Author]],People!A:B,2,0)</f>
        <v>HC</v>
      </c>
      <c r="K3607" s="34" t="s">
        <v>12787</v>
      </c>
      <c r="L3607" s="34"/>
      <c r="M3607" s="34" t="s">
        <v>9000</v>
      </c>
    </row>
    <row r="3608" spans="1:13" hidden="1">
      <c r="A3608" s="40">
        <f t="shared" si="60"/>
        <v>3607</v>
      </c>
      <c r="B3608" s="34" t="s">
        <v>8</v>
      </c>
      <c r="C3608" s="34" t="s">
        <v>12406</v>
      </c>
      <c r="D3608" s="8" t="s">
        <v>12782</v>
      </c>
      <c r="E3608" s="8" t="s">
        <v>12560</v>
      </c>
      <c r="F3608" s="8" t="s">
        <v>12780</v>
      </c>
      <c r="G3608" s="34" t="s">
        <v>14</v>
      </c>
      <c r="H3608" s="34" t="str">
        <f>IFERROR(VLOOKUP(Table2[[#This Row], [Ticket]],Okey!A:B,2,0),"")</f>
        <v/>
      </c>
      <c r="I3608" s="34"/>
      <c r="J3608" s="34" t="str">
        <f>VLOOKUP(Table2[[#This Row],[Author]],People!A:B,2,0)</f>
        <v>HC</v>
      </c>
      <c r="K3608" s="34" t="s">
        <v>12787</v>
      </c>
      <c r="L3608" s="34"/>
      <c r="M3608" s="34" t="s">
        <v>9000</v>
      </c>
    </row>
    <row r="3609" spans="1:13" hidden="1">
      <c r="A3609" s="40">
        <f t="shared" si="60"/>
        <v>3608</v>
      </c>
      <c r="B3609" s="34" t="s">
        <v>8</v>
      </c>
      <c r="C3609" s="34" t="s">
        <v>12406</v>
      </c>
      <c r="D3609" s="8" t="s">
        <v>12783</v>
      </c>
      <c r="E3609" s="8" t="s">
        <v>12561</v>
      </c>
      <c r="F3609" s="8" t="s">
        <v>12780</v>
      </c>
      <c r="G3609" s="34" t="s">
        <v>14</v>
      </c>
      <c r="H3609" s="34" t="str">
        <f>IFERROR(VLOOKUP(Table2[[#This Row], [Ticket]],Okey!A:B,2,0),"")</f>
        <v/>
      </c>
      <c r="I3609" s="34"/>
      <c r="J3609" s="34" t="str">
        <f>VLOOKUP(Table2[[#This Row],[Author]],People!A:B,2,0)</f>
        <v>HC</v>
      </c>
      <c r="K3609" s="34" t="s">
        <v>12787</v>
      </c>
      <c r="L3609" s="34"/>
      <c r="M3609" s="34" t="s">
        <v>9000</v>
      </c>
    </row>
    <row r="3610" spans="1:13" hidden="1">
      <c r="A3610" s="40">
        <f t="shared" si="60"/>
        <v>3609</v>
      </c>
      <c r="B3610" s="34" t="s">
        <v>8</v>
      </c>
      <c r="C3610" s="34" t="s">
        <v>12406</v>
      </c>
      <c r="D3610" s="8" t="s">
        <v>12784</v>
      </c>
      <c r="E3610" s="8" t="s">
        <v>12562</v>
      </c>
      <c r="F3610" s="8" t="s">
        <v>12780</v>
      </c>
      <c r="G3610" s="34" t="s">
        <v>14</v>
      </c>
      <c r="H3610" s="34" t="str">
        <f>IFERROR(VLOOKUP(Table2[[#This Row], [Ticket]],Okey!A:B,2,0),"")</f>
        <v/>
      </c>
      <c r="I3610" s="34"/>
      <c r="J3610" s="34" t="str">
        <f>VLOOKUP(Table2[[#This Row],[Author]],People!A:B,2,0)</f>
        <v>HC</v>
      </c>
      <c r="K3610" s="34" t="s">
        <v>12787</v>
      </c>
      <c r="L3610" s="34"/>
      <c r="M3610" s="34" t="s">
        <v>9000</v>
      </c>
    </row>
    <row r="3611" spans="1:13" hidden="1">
      <c r="A3611" s="40">
        <f t="shared" si="60"/>
        <v>3610</v>
      </c>
      <c r="B3611" s="34" t="s">
        <v>8</v>
      </c>
      <c r="C3611" s="34" t="s">
        <v>12406</v>
      </c>
      <c r="D3611" s="8" t="s">
        <v>12785</v>
      </c>
      <c r="E3611" s="8" t="s">
        <v>12563</v>
      </c>
      <c r="F3611" s="8" t="s">
        <v>12780</v>
      </c>
      <c r="G3611" s="34" t="s">
        <v>14</v>
      </c>
      <c r="H3611" s="34" t="str">
        <f>IFERROR(VLOOKUP(Table2[[#This Row], [Ticket]],Okey!A:B,2,0),"")</f>
        <v/>
      </c>
      <c r="I3611" s="34"/>
      <c r="J3611" s="34" t="str">
        <f>VLOOKUP(Table2[[#This Row],[Author]],People!A:B,2,0)</f>
        <v>HC</v>
      </c>
      <c r="K3611" s="34" t="s">
        <v>12787</v>
      </c>
      <c r="L3611" s="34"/>
      <c r="M3611" s="34" t="s">
        <v>9000</v>
      </c>
    </row>
    <row r="3612" spans="1:13" hidden="1">
      <c r="A3612" s="40">
        <f t="shared" si="60"/>
        <v>3611</v>
      </c>
      <c r="B3612" s="34" t="s">
        <v>8</v>
      </c>
      <c r="C3612" s="34" t="s">
        <v>12406</v>
      </c>
      <c r="D3612" s="8" t="s">
        <v>12786</v>
      </c>
      <c r="E3612" s="8" t="s">
        <v>12564</v>
      </c>
      <c r="F3612" s="8" t="s">
        <v>1123</v>
      </c>
      <c r="G3612" s="34" t="s">
        <v>14</v>
      </c>
      <c r="H3612" s="34" t="str">
        <f>IFERROR(VLOOKUP(Table2[[#This Row], [Ticket]],Okey!A:B,2,0),"")</f>
        <v/>
      </c>
      <c r="I3612" s="34"/>
      <c r="J3612" s="34" t="str">
        <f>VLOOKUP(Table2[[#This Row],[Author]],People!A:B,2,0)</f>
        <v>HC</v>
      </c>
      <c r="K3612" s="34" t="s">
        <v>12787</v>
      </c>
      <c r="L3612" s="34"/>
      <c r="M3612" s="34" t="s">
        <v>9000</v>
      </c>
    </row>
    <row r="3613" spans="1:13" hidden="1">
      <c r="A3613" s="40">
        <f t="shared" si="60"/>
        <v>3612</v>
      </c>
      <c r="B3613" s="34" t="s">
        <v>8</v>
      </c>
      <c r="C3613" s="8" t="s">
        <v>12565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12298</v>
      </c>
      <c r="J3613" s="34" t="str">
        <f>VLOOKUP(Table2[[#This Row],[Author]],People!A:B,2,0)</f>
        <v>LS</v>
      </c>
      <c r="K3613" s="34" t="s">
        <v>12788</v>
      </c>
      <c r="L3613" s="34"/>
      <c r="M3613" s="34" t="s">
        <v>12404</v>
      </c>
    </row>
    <row r="3614" spans="1:13" hidden="1">
      <c r="A3614" s="40">
        <f t="shared" si="60"/>
        <v>3613</v>
      </c>
      <c r="B3614" s="34" t="s">
        <v>8</v>
      </c>
      <c r="C3614" s="34" t="s">
        <v>12565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12298</v>
      </c>
      <c r="J3614" s="34" t="str">
        <f>VLOOKUP(Table2[[#This Row],[Author]],People!A:B,2,0)</f>
        <v>LS</v>
      </c>
      <c r="K3614" s="34" t="s">
        <v>12788</v>
      </c>
      <c r="L3614" s="34"/>
      <c r="M3614" s="34" t="s">
        <v>12404</v>
      </c>
    </row>
    <row r="3615" spans="1:13" hidden="1">
      <c r="A3615" s="40">
        <f t="shared" si="60"/>
        <v>3614</v>
      </c>
      <c r="B3615" s="34" t="s">
        <v>8</v>
      </c>
      <c r="C3615" s="34" t="s">
        <v>12565</v>
      </c>
      <c r="D3615" s="8" t="s">
        <v>12390</v>
      </c>
      <c r="G3615" s="34" t="s">
        <v>8537</v>
      </c>
      <c r="H3615" s="34" t="str">
        <f>IFERROR(VLOOKUP(Table2[[#This Row], [Ticket]],Okey!A:B,2,0),"")</f>
        <v>ok</v>
      </c>
      <c r="I3615" s="34" t="s">
        <v>12298</v>
      </c>
      <c r="J3615" s="34" t="str">
        <f>VLOOKUP(Table2[[#This Row],[Author]],People!A:B,2,0)</f>
        <v>LS</v>
      </c>
      <c r="K3615" s="34" t="s">
        <v>12788</v>
      </c>
      <c r="L3615" s="34"/>
      <c r="M3615" s="34" t="s">
        <v>12404</v>
      </c>
    </row>
    <row r="3616" spans="1:13" hidden="1">
      <c r="A3616" s="40">
        <f t="shared" si="60"/>
        <v>3615</v>
      </c>
      <c r="B3616" s="34" t="s">
        <v>8</v>
      </c>
      <c r="C3616" s="34" t="s">
        <v>12565</v>
      </c>
      <c r="D3616" s="8" t="s">
        <v>12391</v>
      </c>
      <c r="G3616" s="34" t="s">
        <v>8537</v>
      </c>
      <c r="H3616" s="34" t="str">
        <f>IFERROR(VLOOKUP(Table2[[#This Row], [Ticket]],Okey!A:B,2,0),"")</f>
        <v>ok</v>
      </c>
      <c r="I3616" s="34" t="s">
        <v>12298</v>
      </c>
      <c r="J3616" s="34" t="str">
        <f>VLOOKUP(Table2[[#This Row],[Author]],People!A:B,2,0)</f>
        <v>LS</v>
      </c>
      <c r="K3616" s="34" t="s">
        <v>12788</v>
      </c>
      <c r="L3616" s="34"/>
      <c r="M3616" s="34" t="s">
        <v>12404</v>
      </c>
    </row>
    <row r="3617" spans="1:13" hidden="1">
      <c r="A3617" s="40">
        <f t="shared" si="60"/>
        <v>3616</v>
      </c>
      <c r="B3617" s="34" t="s">
        <v>8</v>
      </c>
      <c r="C3617" s="34" t="s">
        <v>12565</v>
      </c>
      <c r="D3617" s="8" t="s">
        <v>12392</v>
      </c>
      <c r="G3617" s="34" t="s">
        <v>8537</v>
      </c>
      <c r="H3617" s="34" t="str">
        <f>IFERROR(VLOOKUP(Table2[[#This Row], [Ticket]],Okey!A:B,2,0),"")</f>
        <v>ok</v>
      </c>
      <c r="I3617" s="34" t="s">
        <v>12298</v>
      </c>
      <c r="J3617" s="34" t="str">
        <f>VLOOKUP(Table2[[#This Row],[Author]],People!A:B,2,0)</f>
        <v>LS</v>
      </c>
      <c r="K3617" s="34" t="s">
        <v>12788</v>
      </c>
      <c r="L3617" s="34"/>
      <c r="M3617" s="34" t="s">
        <v>12404</v>
      </c>
    </row>
    <row r="3618" spans="1:13" hidden="1">
      <c r="A3618" s="40">
        <f t="shared" si="60"/>
        <v>3617</v>
      </c>
      <c r="B3618" s="34" t="s">
        <v>8</v>
      </c>
      <c r="C3618" s="34" t="s">
        <v>12565</v>
      </c>
      <c r="D3618" s="8" t="s">
        <v>12393</v>
      </c>
      <c r="G3618" s="34" t="s">
        <v>8537</v>
      </c>
      <c r="H3618" s="34" t="str">
        <f>IFERROR(VLOOKUP(Table2[[#This Row], [Ticket]],Okey!A:B,2,0),"")</f>
        <v>ok</v>
      </c>
      <c r="I3618" s="34" t="s">
        <v>12298</v>
      </c>
      <c r="J3618" s="34" t="str">
        <f>VLOOKUP(Table2[[#This Row],[Author]],People!A:B,2,0)</f>
        <v>LS</v>
      </c>
      <c r="K3618" s="34" t="s">
        <v>12788</v>
      </c>
      <c r="L3618" s="34"/>
      <c r="M3618" s="34" t="s">
        <v>12404</v>
      </c>
    </row>
    <row r="3619" spans="1:13" hidden="1">
      <c r="A3619" s="40">
        <f t="shared" si="60"/>
        <v>3618</v>
      </c>
      <c r="B3619" s="34" t="s">
        <v>8</v>
      </c>
      <c r="C3619" s="34" t="s">
        <v>12565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12298</v>
      </c>
      <c r="J3619" s="34" t="str">
        <f>VLOOKUP(Table2[[#This Row],[Author]],People!A:B,2,0)</f>
        <v>LS</v>
      </c>
      <c r="K3619" s="34" t="s">
        <v>12788</v>
      </c>
      <c r="L3619" s="34"/>
      <c r="M3619" s="34" t="s">
        <v>12404</v>
      </c>
    </row>
    <row r="3620" spans="1:13" hidden="1">
      <c r="A3620" s="40">
        <f t="shared" si="60"/>
        <v>3619</v>
      </c>
      <c r="B3620" s="34" t="s">
        <v>8</v>
      </c>
      <c r="C3620" s="34" t="s">
        <v>12565</v>
      </c>
      <c r="D3620" s="8" t="s">
        <v>12394</v>
      </c>
      <c r="G3620" s="34" t="s">
        <v>8537</v>
      </c>
      <c r="H3620" s="34" t="str">
        <f>IFERROR(VLOOKUP(Table2[[#This Row], [Ticket]],Okey!A:B,2,0),"")</f>
        <v>ok</v>
      </c>
      <c r="I3620" s="34" t="s">
        <v>12298</v>
      </c>
      <c r="J3620" s="34" t="str">
        <f>VLOOKUP(Table2[[#This Row],[Author]],People!A:B,2,0)</f>
        <v>LS</v>
      </c>
      <c r="K3620" s="34" t="s">
        <v>12788</v>
      </c>
      <c r="L3620" s="34"/>
      <c r="M3620" s="34" t="s">
        <v>12404</v>
      </c>
    </row>
    <row r="3621" spans="1:13" hidden="1">
      <c r="A3621" s="40">
        <f t="shared" si="60"/>
        <v>3620</v>
      </c>
      <c r="B3621" s="34" t="s">
        <v>8</v>
      </c>
      <c r="C3621" s="34" t="s">
        <v>12565</v>
      </c>
      <c r="D3621" s="8" t="s">
        <v>12395</v>
      </c>
      <c r="G3621" s="34" t="s">
        <v>8537</v>
      </c>
      <c r="H3621" s="34" t="str">
        <f>IFERROR(VLOOKUP(Table2[[#This Row], [Ticket]],Okey!A:B,2,0),"")</f>
        <v>ok</v>
      </c>
      <c r="I3621" s="34" t="s">
        <v>12298</v>
      </c>
      <c r="J3621" s="34" t="str">
        <f>VLOOKUP(Table2[[#This Row],[Author]],People!A:B,2,0)</f>
        <v>LS</v>
      </c>
      <c r="K3621" s="34" t="s">
        <v>12788</v>
      </c>
      <c r="L3621" s="34"/>
      <c r="M3621" s="34" t="s">
        <v>12404</v>
      </c>
    </row>
    <row r="3622" spans="1:13" hidden="1">
      <c r="A3622" s="40">
        <f t="shared" si="60"/>
        <v>3621</v>
      </c>
      <c r="B3622" s="34" t="s">
        <v>8</v>
      </c>
      <c r="C3622" s="34" t="s">
        <v>12565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12298</v>
      </c>
      <c r="J3622" s="34" t="str">
        <f>VLOOKUP(Table2[[#This Row],[Author]],People!A:B,2,0)</f>
        <v>LS</v>
      </c>
      <c r="K3622" s="34" t="s">
        <v>12788</v>
      </c>
      <c r="L3622" s="34"/>
      <c r="M3622" s="34" t="s">
        <v>12404</v>
      </c>
    </row>
    <row r="3623" spans="1:13" hidden="1">
      <c r="A3623" s="40">
        <f t="shared" si="60"/>
        <v>3622</v>
      </c>
      <c r="B3623" s="34" t="s">
        <v>8</v>
      </c>
      <c r="C3623" s="34" t="s">
        <v>12565</v>
      </c>
      <c r="D3623" s="8" t="s">
        <v>12396</v>
      </c>
      <c r="G3623" s="34" t="s">
        <v>8537</v>
      </c>
      <c r="H3623" s="34" t="str">
        <f>IFERROR(VLOOKUP(Table2[[#This Row], [Ticket]],Okey!A:B,2,0),"")</f>
        <v>ok</v>
      </c>
      <c r="I3623" s="34" t="s">
        <v>12298</v>
      </c>
      <c r="J3623" s="34" t="str">
        <f>VLOOKUP(Table2[[#This Row],[Author]],People!A:B,2,0)</f>
        <v>LS</v>
      </c>
      <c r="K3623" s="34" t="s">
        <v>12788</v>
      </c>
      <c r="L3623" s="34"/>
      <c r="M3623" s="34" t="s">
        <v>12404</v>
      </c>
    </row>
    <row r="3624" spans="1:13" hidden="1">
      <c r="A3624" s="40">
        <f t="shared" si="60"/>
        <v>3623</v>
      </c>
      <c r="B3624" s="34" t="s">
        <v>8</v>
      </c>
      <c r="C3624" s="34" t="s">
        <v>12565</v>
      </c>
      <c r="D3624" s="8" t="s">
        <v>8303</v>
      </c>
      <c r="E3624" s="8" t="s">
        <v>12398</v>
      </c>
      <c r="G3624" s="8" t="s">
        <v>15</v>
      </c>
      <c r="H3624" s="34" t="str">
        <f>IFERROR(VLOOKUP(Table2[[#This Row], [Ticket]],Okey!A:B,2,0),"")</f>
        <v>ok</v>
      </c>
      <c r="I3624" s="34" t="s">
        <v>12298</v>
      </c>
      <c r="J3624" s="34" t="str">
        <f>VLOOKUP(Table2[[#This Row],[Author]],People!A:B,2,0)</f>
        <v>LS</v>
      </c>
      <c r="K3624" s="34" t="s">
        <v>12788</v>
      </c>
      <c r="L3624" s="34"/>
      <c r="M3624" s="34" t="s">
        <v>12404</v>
      </c>
    </row>
    <row r="3625" spans="1:13" hidden="1">
      <c r="A3625" s="40">
        <f t="shared" si="60"/>
        <v>3624</v>
      </c>
      <c r="B3625" s="34" t="s">
        <v>8</v>
      </c>
      <c r="C3625" s="34" t="s">
        <v>12565</v>
      </c>
      <c r="D3625" s="8" t="s">
        <v>8426</v>
      </c>
      <c r="E3625" s="8" t="s">
        <v>12399</v>
      </c>
      <c r="G3625" s="34" t="s">
        <v>15</v>
      </c>
      <c r="H3625" s="34" t="str">
        <f>IFERROR(VLOOKUP(Table2[[#This Row], [Ticket]],Okey!A:B,2,0),"")</f>
        <v>ok</v>
      </c>
      <c r="I3625" s="34" t="s">
        <v>12298</v>
      </c>
      <c r="J3625" s="34" t="str">
        <f>VLOOKUP(Table2[[#This Row],[Author]],People!A:B,2,0)</f>
        <v>LS</v>
      </c>
      <c r="K3625" s="34" t="s">
        <v>12788</v>
      </c>
      <c r="L3625" s="34"/>
      <c r="M3625" s="34" t="s">
        <v>12404</v>
      </c>
    </row>
    <row r="3626" spans="1:13" hidden="1">
      <c r="A3626" s="40">
        <f t="shared" si="60"/>
        <v>3625</v>
      </c>
      <c r="B3626" s="34" t="s">
        <v>8</v>
      </c>
      <c r="C3626" s="34" t="s">
        <v>12565</v>
      </c>
      <c r="D3626" s="8" t="s">
        <v>8595</v>
      </c>
      <c r="E3626" s="8" t="s">
        <v>12400</v>
      </c>
      <c r="G3626" s="34" t="s">
        <v>15</v>
      </c>
      <c r="H3626" s="34" t="str">
        <f>IFERROR(VLOOKUP(Table2[[#This Row], [Ticket]],Okey!A:B,2,0),"")</f>
        <v>ok</v>
      </c>
      <c r="I3626" s="34" t="s">
        <v>12298</v>
      </c>
      <c r="J3626" s="34" t="str">
        <f>VLOOKUP(Table2[[#This Row],[Author]],People!A:B,2,0)</f>
        <v>LS</v>
      </c>
      <c r="K3626" s="34" t="s">
        <v>12788</v>
      </c>
      <c r="L3626" s="34"/>
      <c r="M3626" s="34" t="s">
        <v>12404</v>
      </c>
    </row>
    <row r="3627" spans="1:13" hidden="1">
      <c r="A3627" s="40">
        <f t="shared" si="60"/>
        <v>3626</v>
      </c>
      <c r="B3627" s="34" t="s">
        <v>8</v>
      </c>
      <c r="C3627" s="34" t="s">
        <v>12565</v>
      </c>
      <c r="D3627" s="8" t="s">
        <v>8596</v>
      </c>
      <c r="E3627" s="8" t="s">
        <v>12401</v>
      </c>
      <c r="G3627" s="34" t="s">
        <v>15</v>
      </c>
      <c r="H3627" s="34" t="str">
        <f>IFERROR(VLOOKUP(Table2[[#This Row], [Ticket]],Okey!A:B,2,0),"")</f>
        <v>ok</v>
      </c>
      <c r="I3627" s="34" t="s">
        <v>12298</v>
      </c>
      <c r="J3627" s="34" t="str">
        <f>VLOOKUP(Table2[[#This Row],[Author]],People!A:B,2,0)</f>
        <v>LS</v>
      </c>
      <c r="K3627" s="34" t="s">
        <v>12788</v>
      </c>
      <c r="L3627" s="34"/>
      <c r="M3627" s="34" t="s">
        <v>12404</v>
      </c>
    </row>
    <row r="3628" spans="1:13" hidden="1">
      <c r="A3628" s="40">
        <f t="shared" si="60"/>
        <v>3627</v>
      </c>
      <c r="B3628" s="34" t="s">
        <v>8</v>
      </c>
      <c r="C3628" s="34" t="s">
        <v>12565</v>
      </c>
      <c r="D3628" s="8" t="s">
        <v>8599</v>
      </c>
      <c r="E3628" s="8" t="s">
        <v>12402</v>
      </c>
      <c r="G3628" s="34" t="s">
        <v>15</v>
      </c>
      <c r="H3628" s="34" t="str">
        <f>IFERROR(VLOOKUP(Table2[[#This Row], [Ticket]],Okey!A:B,2,0),"")</f>
        <v>ok</v>
      </c>
      <c r="I3628" s="34" t="s">
        <v>12298</v>
      </c>
      <c r="J3628" s="34" t="str">
        <f>VLOOKUP(Table2[[#This Row],[Author]],People!A:B,2,0)</f>
        <v>LS</v>
      </c>
      <c r="K3628" s="34" t="s">
        <v>12788</v>
      </c>
      <c r="L3628" s="34"/>
      <c r="M3628" s="34" t="s">
        <v>12404</v>
      </c>
    </row>
    <row r="3629" spans="1:13" hidden="1">
      <c r="A3629" s="40">
        <f t="shared" si="60"/>
        <v>3628</v>
      </c>
      <c r="B3629" s="34" t="s">
        <v>8</v>
      </c>
      <c r="C3629" s="34" t="s">
        <v>12565</v>
      </c>
      <c r="D3629" s="8" t="s">
        <v>12397</v>
      </c>
      <c r="E3629" s="8" t="s">
        <v>12403</v>
      </c>
      <c r="G3629" s="34" t="s">
        <v>15</v>
      </c>
      <c r="H3629" s="34" t="str">
        <f>IFERROR(VLOOKUP(Table2[[#This Row], [Ticket]],Okey!A:B,2,0),"")</f>
        <v>ok</v>
      </c>
      <c r="I3629" s="34" t="s">
        <v>12298</v>
      </c>
      <c r="J3629" s="34" t="str">
        <f>VLOOKUP(Table2[[#This Row],[Author]],People!A:B,2,0)</f>
        <v>LS</v>
      </c>
      <c r="K3629" s="34" t="s">
        <v>12788</v>
      </c>
      <c r="L3629" s="34"/>
      <c r="M3629" s="34" t="s">
        <v>12404</v>
      </c>
    </row>
    <row r="3630" spans="1:13" hidden="1">
      <c r="A3630" s="40">
        <f t="shared" si="60"/>
        <v>3629</v>
      </c>
      <c r="B3630" s="34" t="s">
        <v>8</v>
      </c>
      <c r="C3630" s="34" t="s">
        <v>12578</v>
      </c>
      <c r="D3630" s="8" t="s">
        <v>12566</v>
      </c>
      <c r="E3630" s="8" t="s">
        <v>12567</v>
      </c>
      <c r="F3630" s="34" t="s">
        <v>2464</v>
      </c>
      <c r="G3630" s="34" t="s">
        <v>14</v>
      </c>
      <c r="H3630" s="34" t="str">
        <f>IFERROR(VLOOKUP(Table2[[#This Row], [Ticket]],Okey!A:B,2,0),"")</f>
        <v/>
      </c>
      <c r="I3630" s="34"/>
      <c r="J3630" s="34" t="str">
        <f>VLOOKUP(Table2[[#This Row],[Author]],People!A:B,2,0)</f>
        <v>EL</v>
      </c>
      <c r="K3630" s="34" t="s">
        <v>12787</v>
      </c>
      <c r="L3630" s="34"/>
      <c r="M3630" s="34" t="s">
        <v>8007</v>
      </c>
    </row>
    <row r="3631" spans="1:13" hidden="1">
      <c r="A3631" s="40">
        <f t="shared" si="60"/>
        <v>3630</v>
      </c>
      <c r="B3631" s="34" t="s">
        <v>8</v>
      </c>
      <c r="C3631" s="34" t="s">
        <v>12578</v>
      </c>
      <c r="D3631" s="8" t="s">
        <v>12568</v>
      </c>
      <c r="E3631" s="8" t="s">
        <v>12569</v>
      </c>
      <c r="F3631" s="34" t="s">
        <v>2492</v>
      </c>
      <c r="G3631" s="34" t="s">
        <v>14</v>
      </c>
      <c r="H3631" s="34" t="str">
        <f>IFERROR(VLOOKUP(Table2[[#This Row], [Ticket]],Okey!A:B,2,0),"")</f>
        <v/>
      </c>
      <c r="I3631" s="34"/>
      <c r="J3631" s="34" t="str">
        <f>VLOOKUP(Table2[[#This Row],[Author]],People!A:B,2,0)</f>
        <v>EL</v>
      </c>
      <c r="K3631" s="34" t="s">
        <v>12787</v>
      </c>
      <c r="L3631" s="34"/>
      <c r="M3631" s="34" t="s">
        <v>8007</v>
      </c>
    </row>
    <row r="3632" spans="1:13" hidden="1">
      <c r="A3632" s="40">
        <f t="shared" si="60"/>
        <v>3631</v>
      </c>
      <c r="B3632" s="34" t="s">
        <v>8</v>
      </c>
      <c r="C3632" s="34" t="s">
        <v>12578</v>
      </c>
      <c r="D3632" s="8" t="s">
        <v>12570</v>
      </c>
      <c r="E3632" s="8" t="s">
        <v>12571</v>
      </c>
      <c r="F3632" s="34" t="s">
        <v>2094</v>
      </c>
      <c r="G3632" s="34" t="s">
        <v>14</v>
      </c>
      <c r="H3632" s="34" t="str">
        <f>IFERROR(VLOOKUP(Table2[[#This Row], [Ticket]],Okey!A:B,2,0),"")</f>
        <v/>
      </c>
      <c r="I3632" s="34"/>
      <c r="J3632" s="34" t="str">
        <f>VLOOKUP(Table2[[#This Row],[Author]],People!A:B,2,0)</f>
        <v>EL</v>
      </c>
      <c r="K3632" s="34" t="s">
        <v>12787</v>
      </c>
      <c r="L3632" s="34"/>
      <c r="M3632" s="34" t="s">
        <v>8007</v>
      </c>
    </row>
    <row r="3633" spans="1:13" hidden="1">
      <c r="A3633" s="40">
        <f t="shared" si="60"/>
        <v>3632</v>
      </c>
      <c r="B3633" s="34" t="s">
        <v>8</v>
      </c>
      <c r="C3633" s="34" t="s">
        <v>12578</v>
      </c>
      <c r="D3633" s="8" t="s">
        <v>12572</v>
      </c>
      <c r="E3633" s="8" t="s">
        <v>12573</v>
      </c>
      <c r="F3633" s="34" t="s">
        <v>12165</v>
      </c>
      <c r="G3633" s="34" t="s">
        <v>14</v>
      </c>
      <c r="H3633" s="34" t="str">
        <f>IFERROR(VLOOKUP(Table2[[#This Row], [Ticket]],Okey!A:B,2,0),"")</f>
        <v/>
      </c>
      <c r="I3633" s="34"/>
      <c r="J3633" s="34" t="str">
        <f>VLOOKUP(Table2[[#This Row],[Author]],People!A:B,2,0)</f>
        <v>EL</v>
      </c>
      <c r="K3633" s="34" t="s">
        <v>12787</v>
      </c>
      <c r="L3633" s="34"/>
      <c r="M3633" s="34" t="s">
        <v>8007</v>
      </c>
    </row>
    <row r="3634" spans="1:13" hidden="1">
      <c r="A3634" s="40">
        <f t="shared" si="60"/>
        <v>3633</v>
      </c>
      <c r="B3634" s="34" t="s">
        <v>8</v>
      </c>
      <c r="C3634" s="34" t="s">
        <v>12578</v>
      </c>
      <c r="D3634" s="8" t="s">
        <v>12574</v>
      </c>
      <c r="E3634" s="8" t="s">
        <v>12575</v>
      </c>
      <c r="F3634" s="34" t="s">
        <v>8042</v>
      </c>
      <c r="G3634" s="34" t="s">
        <v>14</v>
      </c>
      <c r="H3634" s="34" t="str">
        <f>IFERROR(VLOOKUP(Table2[[#This Row], [Ticket]],Okey!A:B,2,0),"")</f>
        <v/>
      </c>
      <c r="I3634" s="34"/>
      <c r="J3634" s="34" t="str">
        <f>VLOOKUP(Table2[[#This Row],[Author]],People!A:B,2,0)</f>
        <v>EL</v>
      </c>
      <c r="K3634" s="34" t="s">
        <v>12787</v>
      </c>
      <c r="L3634" s="34"/>
      <c r="M3634" s="34" t="s">
        <v>8007</v>
      </c>
    </row>
    <row r="3635" spans="1:13" hidden="1">
      <c r="A3635" s="40">
        <f t="shared" si="60"/>
        <v>3634</v>
      </c>
      <c r="B3635" s="34" t="s">
        <v>8</v>
      </c>
      <c r="C3635" s="34" t="s">
        <v>12578</v>
      </c>
      <c r="D3635" s="8" t="s">
        <v>12576</v>
      </c>
      <c r="E3635" s="8" t="s">
        <v>12577</v>
      </c>
      <c r="F3635" s="34" t="s">
        <v>2686</v>
      </c>
      <c r="G3635" s="34" t="s">
        <v>14</v>
      </c>
      <c r="H3635" s="34" t="str">
        <f>IFERROR(VLOOKUP(Table2[[#This Row], [Ticket]],Okey!A:B,2,0),"")</f>
        <v/>
      </c>
      <c r="I3635" s="34"/>
      <c r="J3635" s="34" t="str">
        <f>VLOOKUP(Table2[[#This Row],[Author]],People!A:B,2,0)</f>
        <v>EL</v>
      </c>
      <c r="K3635" s="34" t="s">
        <v>12787</v>
      </c>
      <c r="L3635" s="34"/>
      <c r="M3635" s="34" t="s">
        <v>8007</v>
      </c>
    </row>
    <row r="3636" spans="1:13">
      <c r="A3636" s="40">
        <f t="shared" si="60"/>
        <v>3635</v>
      </c>
      <c r="B3636" s="34" t="s">
        <v>8</v>
      </c>
      <c r="C3636" s="8" t="s">
        <v>12789</v>
      </c>
      <c r="D3636" s="8" t="s">
        <v>11466</v>
      </c>
      <c r="E3636" s="8" t="s">
        <v>11291</v>
      </c>
      <c r="G3636" s="34" t="s">
        <v>15</v>
      </c>
      <c r="H3636" s="34" t="str">
        <f>IFERROR(VLOOKUP(Table2[[#This Row], [Ticket]],Okey!A:B,2,0),"")</f>
        <v/>
      </c>
      <c r="I3636" s="34"/>
      <c r="J3636" s="34" t="str">
        <f>VLOOKUP(Table2[[#This Row],[Author]],People!A:B,2,0)</f>
        <v>MGF</v>
      </c>
      <c r="L3636" s="34"/>
      <c r="M3636" s="34" t="s">
        <v>4778</v>
      </c>
    </row>
    <row r="3637" spans="1:13">
      <c r="A3637" s="40">
        <f t="shared" si="60"/>
        <v>3636</v>
      </c>
      <c r="B3637" s="34" t="s">
        <v>8</v>
      </c>
      <c r="C3637" s="8" t="s">
        <v>12790</v>
      </c>
      <c r="D3637" s="8" t="s">
        <v>12791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/>
      </c>
      <c r="I3637" s="34"/>
      <c r="J3637" s="34" t="str">
        <f>VLOOKUP(Table2[[#This Row],[Author]],People!A:B,2,0)</f>
        <v>LS</v>
      </c>
      <c r="L3637" s="34"/>
      <c r="M3637" s="34" t="s">
        <v>6348</v>
      </c>
    </row>
    <row r="3638" spans="1:13">
      <c r="A3638" s="40">
        <f t="shared" si="60"/>
        <v>3637</v>
      </c>
      <c r="B3638" s="34" t="s">
        <v>8</v>
      </c>
      <c r="C3638" s="34" t="s">
        <v>12790</v>
      </c>
      <c r="D3638" s="8" t="s">
        <v>12792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/>
      </c>
      <c r="I3638" s="34"/>
      <c r="J3638" s="34" t="str">
        <f>VLOOKUP(Table2[[#This Row],[Author]],People!A:B,2,0)</f>
        <v>LS</v>
      </c>
      <c r="L3638" s="34"/>
      <c r="M3638" s="34" t="s">
        <v>6348</v>
      </c>
    </row>
    <row r="3639" spans="1:13">
      <c r="A3639" s="40">
        <f t="shared" si="60"/>
        <v>3638</v>
      </c>
      <c r="B3639" s="34" t="s">
        <v>8</v>
      </c>
      <c r="C3639" s="34" t="s">
        <v>12790</v>
      </c>
      <c r="D3639" s="8" t="s">
        <v>12793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/>
      </c>
      <c r="I3639" s="34"/>
      <c r="J3639" s="34" t="str">
        <f>VLOOKUP(Table2[[#This Row],[Author]],People!A:B,2,0)</f>
        <v>LS</v>
      </c>
      <c r="L3639" s="34"/>
      <c r="M3639" s="34" t="s">
        <v>6348</v>
      </c>
    </row>
    <row r="3640" spans="1:13">
      <c r="A3640" s="40">
        <f t="shared" si="60"/>
        <v>3639</v>
      </c>
      <c r="B3640" s="34" t="s">
        <v>8</v>
      </c>
      <c r="C3640" s="34" t="s">
        <v>12790</v>
      </c>
      <c r="D3640" s="8" t="s">
        <v>12794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/>
      </c>
      <c r="I3640" s="34"/>
      <c r="J3640" s="34" t="str">
        <f>VLOOKUP(Table2[[#This Row],[Author]],People!A:B,2,0)</f>
        <v>LS</v>
      </c>
      <c r="L3640" s="34"/>
      <c r="M3640" s="34" t="s">
        <v>6348</v>
      </c>
    </row>
    <row r="3641" spans="1:13">
      <c r="A3641" s="40">
        <f t="shared" si="60"/>
        <v>3640</v>
      </c>
      <c r="B3641" s="34" t="s">
        <v>8</v>
      </c>
      <c r="C3641" s="34" t="s">
        <v>12790</v>
      </c>
      <c r="D3641" s="8" t="s">
        <v>12795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/>
      </c>
      <c r="I3641" s="34"/>
      <c r="J3641" s="34" t="str">
        <f>VLOOKUP(Table2[[#This Row],[Author]],People!A:B,2,0)</f>
        <v>LS</v>
      </c>
      <c r="L3641" s="34"/>
      <c r="M3641" s="34" t="s">
        <v>6348</v>
      </c>
    </row>
    <row r="3642" spans="1:13">
      <c r="A3642" s="40">
        <f t="shared" si="60"/>
        <v>3641</v>
      </c>
      <c r="B3642" s="34" t="s">
        <v>8</v>
      </c>
      <c r="C3642" s="34" t="s">
        <v>12790</v>
      </c>
      <c r="D3642" s="8" t="s">
        <v>12796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/>
      </c>
      <c r="I3642" s="34"/>
      <c r="J3642" s="34" t="str">
        <f>VLOOKUP(Table2[[#This Row],[Author]],People!A:B,2,0)</f>
        <v>LS</v>
      </c>
      <c r="L3642" s="34"/>
      <c r="M3642" s="34" t="s">
        <v>6348</v>
      </c>
    </row>
    <row r="3643" spans="1:13">
      <c r="A3643" s="40">
        <f t="shared" si="60"/>
        <v>3642</v>
      </c>
      <c r="B3643" s="34" t="s">
        <v>8</v>
      </c>
      <c r="C3643" s="34" t="s">
        <v>12790</v>
      </c>
      <c r="D3643" s="8" t="s">
        <v>12797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/>
      </c>
      <c r="I3643" s="34"/>
      <c r="J3643" s="34" t="str">
        <f>VLOOKUP(Table2[[#This Row],[Author]],People!A:B,2,0)</f>
        <v>LS</v>
      </c>
      <c r="L3643" s="34"/>
      <c r="M3643" s="34" t="s">
        <v>6348</v>
      </c>
    </row>
    <row r="3644" spans="1:13">
      <c r="A3644" s="40">
        <f t="shared" si="60"/>
        <v>3643</v>
      </c>
      <c r="B3644" s="34" t="s">
        <v>8</v>
      </c>
      <c r="C3644" s="34" t="s">
        <v>12790</v>
      </c>
      <c r="D3644" s="8" t="s">
        <v>12798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/>
      </c>
      <c r="I3644" s="34"/>
      <c r="J3644" s="34" t="str">
        <f>VLOOKUP(Table2[[#This Row],[Author]],People!A:B,2,0)</f>
        <v>LS</v>
      </c>
      <c r="L3644" s="34"/>
      <c r="M3644" s="34" t="s">
        <v>6348</v>
      </c>
    </row>
    <row r="3645" spans="1:13">
      <c r="A3645" s="40">
        <f t="shared" si="60"/>
        <v>3644</v>
      </c>
      <c r="B3645" s="34" t="s">
        <v>8</v>
      </c>
      <c r="C3645" s="34" t="s">
        <v>12790</v>
      </c>
      <c r="D3645" s="8" t="s">
        <v>12799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/>
      </c>
      <c r="I3645" s="34"/>
      <c r="J3645" s="34" t="str">
        <f>VLOOKUP(Table2[[#This Row],[Author]],People!A:B,2,0)</f>
        <v>LS</v>
      </c>
      <c r="L3645" s="34"/>
      <c r="M3645" s="34" t="s">
        <v>6348</v>
      </c>
    </row>
    <row r="3646" spans="1:13">
      <c r="A3646" s="40">
        <f t="shared" ref="A3646:A3686" si="61">1+A3645</f>
        <v>3645</v>
      </c>
      <c r="B3646" s="34" t="s">
        <v>8</v>
      </c>
      <c r="C3646" s="34" t="s">
        <v>12790</v>
      </c>
      <c r="D3646" s="8" t="s">
        <v>12800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/>
      </c>
      <c r="I3646" s="34"/>
      <c r="J3646" s="34" t="str">
        <f>VLOOKUP(Table2[[#This Row],[Author]],People!A:B,2,0)</f>
        <v>LS</v>
      </c>
      <c r="L3646" s="34"/>
      <c r="M3646" s="34" t="s">
        <v>6348</v>
      </c>
    </row>
    <row r="3647" spans="1:13">
      <c r="A3647" s="40">
        <f t="shared" si="61"/>
        <v>3646</v>
      </c>
      <c r="B3647" s="34" t="s">
        <v>8</v>
      </c>
      <c r="C3647" s="34" t="s">
        <v>12790</v>
      </c>
      <c r="D3647" s="8" t="s">
        <v>12801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/>
      </c>
      <c r="I3647" s="34"/>
      <c r="J3647" s="34" t="str">
        <f>VLOOKUP(Table2[[#This Row],[Author]],People!A:B,2,0)</f>
        <v>LS</v>
      </c>
      <c r="L3647" s="34"/>
      <c r="M3647" s="34" t="s">
        <v>6348</v>
      </c>
    </row>
    <row r="3648" spans="1:13">
      <c r="A3648" s="40">
        <f t="shared" si="61"/>
        <v>3647</v>
      </c>
      <c r="B3648" s="34" t="s">
        <v>8</v>
      </c>
      <c r="C3648" s="34" t="s">
        <v>12790</v>
      </c>
      <c r="D3648" s="8" t="s">
        <v>12802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/>
      </c>
      <c r="I3648" s="34"/>
      <c r="J3648" s="34" t="str">
        <f>VLOOKUP(Table2[[#This Row],[Author]],People!A:B,2,0)</f>
        <v>LS</v>
      </c>
      <c r="L3648" s="34"/>
      <c r="M3648" s="34" t="s">
        <v>6348</v>
      </c>
    </row>
    <row r="3649" spans="1:13">
      <c r="A3649" s="40">
        <f t="shared" si="61"/>
        <v>3648</v>
      </c>
      <c r="B3649" s="34" t="s">
        <v>8</v>
      </c>
      <c r="C3649" s="34" t="s">
        <v>12790</v>
      </c>
      <c r="D3649" s="8" t="s">
        <v>12803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/>
      </c>
      <c r="I3649" s="34"/>
      <c r="J3649" s="34" t="str">
        <f>VLOOKUP(Table2[[#This Row],[Author]],People!A:B,2,0)</f>
        <v>LS</v>
      </c>
      <c r="L3649" s="34"/>
      <c r="M3649" s="34" t="s">
        <v>6348</v>
      </c>
    </row>
    <row r="3650" spans="1:13">
      <c r="A3650" s="40">
        <f t="shared" si="61"/>
        <v>3649</v>
      </c>
      <c r="B3650" s="34" t="s">
        <v>8</v>
      </c>
      <c r="C3650" s="34" t="s">
        <v>12790</v>
      </c>
      <c r="D3650" s="8" t="s">
        <v>12804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/>
      </c>
      <c r="I3650" s="34"/>
      <c r="J3650" s="34" t="str">
        <f>VLOOKUP(Table2[[#This Row],[Author]],People!A:B,2,0)</f>
        <v>LS</v>
      </c>
      <c r="L3650" s="34"/>
      <c r="M3650" s="34" t="s">
        <v>6348</v>
      </c>
    </row>
    <row r="3651" spans="1:13">
      <c r="A3651" s="40">
        <f t="shared" si="61"/>
        <v>3650</v>
      </c>
      <c r="B3651" s="34" t="s">
        <v>8</v>
      </c>
      <c r="C3651" s="34" t="s">
        <v>12790</v>
      </c>
      <c r="D3651" s="8" t="s">
        <v>12805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/>
      </c>
      <c r="I3651" s="34"/>
      <c r="J3651" s="34" t="str">
        <f>VLOOKUP(Table2[[#This Row],[Author]],People!A:B,2,0)</f>
        <v>LS</v>
      </c>
      <c r="L3651" s="34"/>
      <c r="M3651" s="34" t="s">
        <v>6348</v>
      </c>
    </row>
    <row r="3652" spans="1:13">
      <c r="A3652" s="40">
        <f t="shared" si="61"/>
        <v>3651</v>
      </c>
      <c r="B3652" s="34" t="s">
        <v>8</v>
      </c>
      <c r="C3652" s="34" t="s">
        <v>12790</v>
      </c>
      <c r="D3652" s="8" t="s">
        <v>12806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/>
      </c>
      <c r="I3652" s="34"/>
      <c r="J3652" s="34" t="str">
        <f>VLOOKUP(Table2[[#This Row],[Author]],People!A:B,2,0)</f>
        <v>LS</v>
      </c>
      <c r="L3652" s="34"/>
      <c r="M3652" s="34" t="s">
        <v>6348</v>
      </c>
    </row>
    <row r="3653" spans="1:13">
      <c r="A3653" s="40">
        <f t="shared" si="61"/>
        <v>3652</v>
      </c>
      <c r="B3653" s="34" t="s">
        <v>8</v>
      </c>
      <c r="C3653" s="34" t="s">
        <v>12790</v>
      </c>
      <c r="D3653" s="8" t="s">
        <v>12807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/>
      </c>
      <c r="I3653" s="34"/>
      <c r="J3653" s="34" t="str">
        <f>VLOOKUP(Table2[[#This Row],[Author]],People!A:B,2,0)</f>
        <v>LS</v>
      </c>
      <c r="L3653" s="34"/>
      <c r="M3653" s="34" t="s">
        <v>6348</v>
      </c>
    </row>
    <row r="3654" spans="1:13">
      <c r="A3654" s="40">
        <f t="shared" si="61"/>
        <v>3653</v>
      </c>
      <c r="B3654" s="34" t="s">
        <v>8</v>
      </c>
      <c r="C3654" s="34" t="s">
        <v>12790</v>
      </c>
      <c r="D3654" s="8" t="s">
        <v>12808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/>
      </c>
      <c r="I3654" s="34"/>
      <c r="J3654" s="34" t="str">
        <f>VLOOKUP(Table2[[#This Row],[Author]],People!A:B,2,0)</f>
        <v>LS</v>
      </c>
      <c r="L3654" s="34"/>
      <c r="M3654" s="34" t="s">
        <v>6348</v>
      </c>
    </row>
    <row r="3655" spans="1:13">
      <c r="A3655" s="40">
        <f t="shared" si="61"/>
        <v>3654</v>
      </c>
      <c r="B3655" s="34" t="s">
        <v>8</v>
      </c>
      <c r="C3655" s="34" t="s">
        <v>12790</v>
      </c>
      <c r="D3655" s="8" t="s">
        <v>12809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/>
      </c>
      <c r="I3655" s="34"/>
      <c r="J3655" s="34" t="str">
        <f>VLOOKUP(Table2[[#This Row],[Author]],People!A:B,2,0)</f>
        <v>LS</v>
      </c>
      <c r="L3655" s="34"/>
      <c r="M3655" s="34" t="s">
        <v>6348</v>
      </c>
    </row>
    <row r="3656" spans="1:13">
      <c r="A3656" s="40">
        <f t="shared" si="61"/>
        <v>3655</v>
      </c>
      <c r="B3656" s="34" t="s">
        <v>8</v>
      </c>
      <c r="C3656" s="34" t="s">
        <v>12790</v>
      </c>
      <c r="D3656" s="8" t="s">
        <v>12810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/>
      </c>
      <c r="I3656" s="34"/>
      <c r="J3656" s="34" t="str">
        <f>VLOOKUP(Table2[[#This Row],[Author]],People!A:B,2,0)</f>
        <v>LS</v>
      </c>
      <c r="L3656" s="34"/>
      <c r="M3656" s="34" t="s">
        <v>6348</v>
      </c>
    </row>
    <row r="3657" spans="1:13">
      <c r="A3657" s="40">
        <f t="shared" si="61"/>
        <v>3656</v>
      </c>
      <c r="B3657" s="34" t="s">
        <v>8</v>
      </c>
      <c r="C3657" s="34" t="s">
        <v>12790</v>
      </c>
      <c r="D3657" s="8" t="s">
        <v>12811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/>
      </c>
      <c r="I3657" s="34"/>
      <c r="J3657" s="34" t="str">
        <f>VLOOKUP(Table2[[#This Row],[Author]],People!A:B,2,0)</f>
        <v>LS</v>
      </c>
      <c r="L3657" s="34"/>
      <c r="M3657" s="34" t="s">
        <v>6348</v>
      </c>
    </row>
    <row r="3658" spans="1:13">
      <c r="A3658" s="40">
        <f t="shared" si="61"/>
        <v>3657</v>
      </c>
      <c r="B3658" s="34" t="s">
        <v>8</v>
      </c>
      <c r="C3658" s="34" t="s">
        <v>12790</v>
      </c>
      <c r="D3658" s="8" t="s">
        <v>12812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/>
      </c>
      <c r="I3658" s="34"/>
      <c r="J3658" s="34" t="str">
        <f>VLOOKUP(Table2[[#This Row],[Author]],People!A:B,2,0)</f>
        <v>LS</v>
      </c>
      <c r="L3658" s="34"/>
      <c r="M3658" s="34" t="s">
        <v>6348</v>
      </c>
    </row>
    <row r="3659" spans="1:13">
      <c r="A3659" s="40">
        <f t="shared" si="61"/>
        <v>3658</v>
      </c>
      <c r="B3659" s="34" t="s">
        <v>8</v>
      </c>
      <c r="C3659" s="34" t="s">
        <v>12790</v>
      </c>
      <c r="D3659" s="8" t="s">
        <v>12813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/>
      </c>
      <c r="I3659" s="34"/>
      <c r="J3659" s="34" t="str">
        <f>VLOOKUP(Table2[[#This Row],[Author]],People!A:B,2,0)</f>
        <v>LS</v>
      </c>
      <c r="L3659" s="34"/>
      <c r="M3659" s="34" t="s">
        <v>6348</v>
      </c>
    </row>
    <row r="3660" spans="1:13">
      <c r="A3660" s="40">
        <f t="shared" si="61"/>
        <v>3659</v>
      </c>
      <c r="B3660" s="34" t="s">
        <v>8</v>
      </c>
      <c r="C3660" s="34" t="s">
        <v>12790</v>
      </c>
      <c r="D3660" s="8" t="s">
        <v>12814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/>
      </c>
      <c r="I3660" s="34"/>
      <c r="J3660" s="34" t="str">
        <f>VLOOKUP(Table2[[#This Row],[Author]],People!A:B,2,0)</f>
        <v>LS</v>
      </c>
      <c r="L3660" s="34"/>
      <c r="M3660" s="34" t="s">
        <v>6348</v>
      </c>
    </row>
    <row r="3661" spans="1:13">
      <c r="A3661" s="40">
        <f t="shared" si="61"/>
        <v>3660</v>
      </c>
      <c r="B3661" s="34" t="s">
        <v>8</v>
      </c>
      <c r="C3661" s="34" t="s">
        <v>12790</v>
      </c>
      <c r="D3661" s="8" t="s">
        <v>12815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/>
      </c>
      <c r="I3661" s="34"/>
      <c r="J3661" s="34" t="str">
        <f>VLOOKUP(Table2[[#This Row],[Author]],People!A:B,2,0)</f>
        <v>LS</v>
      </c>
      <c r="L3661" s="34"/>
      <c r="M3661" s="34" t="s">
        <v>6348</v>
      </c>
    </row>
    <row r="3662" spans="1:13">
      <c r="A3662" s="40">
        <f t="shared" si="61"/>
        <v>3661</v>
      </c>
      <c r="B3662" s="34" t="s">
        <v>8</v>
      </c>
      <c r="C3662" s="34" t="s">
        <v>12790</v>
      </c>
      <c r="D3662" s="8" t="s">
        <v>12816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/>
      </c>
      <c r="I3662" s="34"/>
      <c r="J3662" s="34" t="str">
        <f>VLOOKUP(Table2[[#This Row],[Author]],People!A:B,2,0)</f>
        <v>LS</v>
      </c>
      <c r="L3662" s="34"/>
      <c r="M3662" s="34" t="s">
        <v>6348</v>
      </c>
    </row>
    <row r="3663" spans="1:13">
      <c r="A3663" s="40">
        <f t="shared" si="61"/>
        <v>3662</v>
      </c>
      <c r="B3663" s="34" t="s">
        <v>8</v>
      </c>
      <c r="C3663" s="34" t="s">
        <v>12790</v>
      </c>
      <c r="D3663" s="8" t="s">
        <v>12817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/>
      </c>
      <c r="I3663" s="34"/>
      <c r="J3663" s="34" t="str">
        <f>VLOOKUP(Table2[[#This Row],[Author]],People!A:B,2,0)</f>
        <v>LS</v>
      </c>
      <c r="L3663" s="34"/>
      <c r="M3663" s="34" t="s">
        <v>6348</v>
      </c>
    </row>
    <row r="3664" spans="1:13">
      <c r="A3664" s="40">
        <f t="shared" si="61"/>
        <v>3663</v>
      </c>
      <c r="B3664" s="34" t="s">
        <v>8</v>
      </c>
      <c r="C3664" s="34" t="s">
        <v>12790</v>
      </c>
      <c r="D3664" s="8" t="s">
        <v>12818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/>
      </c>
      <c r="I3664" s="34"/>
      <c r="J3664" s="34" t="str">
        <f>VLOOKUP(Table2[[#This Row],[Author]],People!A:B,2,0)</f>
        <v>LS</v>
      </c>
      <c r="L3664" s="34"/>
      <c r="M3664" s="34" t="s">
        <v>6348</v>
      </c>
    </row>
    <row r="3665" spans="1:13">
      <c r="A3665" s="40">
        <f t="shared" si="61"/>
        <v>3664</v>
      </c>
      <c r="B3665" s="34" t="s">
        <v>8</v>
      </c>
      <c r="C3665" s="34" t="s">
        <v>12790</v>
      </c>
      <c r="D3665" s="8" t="s">
        <v>12819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/>
      </c>
      <c r="I3665" s="34"/>
      <c r="J3665" s="34" t="str">
        <f>VLOOKUP(Table2[[#This Row],[Author]],People!A:B,2,0)</f>
        <v>LS</v>
      </c>
      <c r="L3665" s="34"/>
      <c r="M3665" s="34" t="s">
        <v>6348</v>
      </c>
    </row>
    <row r="3666" spans="1:13">
      <c r="A3666" s="40">
        <f t="shared" si="61"/>
        <v>3665</v>
      </c>
      <c r="B3666" s="34" t="s">
        <v>8</v>
      </c>
      <c r="C3666" s="34" t="s">
        <v>12790</v>
      </c>
      <c r="D3666" s="8" t="s">
        <v>12820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/>
      </c>
      <c r="I3666" s="34"/>
      <c r="J3666" s="34" t="str">
        <f>VLOOKUP(Table2[[#This Row],[Author]],People!A:B,2,0)</f>
        <v>LS</v>
      </c>
      <c r="L3666" s="34"/>
      <c r="M3666" s="34" t="s">
        <v>6348</v>
      </c>
    </row>
    <row r="3667" spans="1:13">
      <c r="A3667" s="40">
        <f t="shared" si="61"/>
        <v>3666</v>
      </c>
      <c r="B3667" s="34" t="s">
        <v>8</v>
      </c>
      <c r="C3667" s="34" t="s">
        <v>12790</v>
      </c>
      <c r="D3667" s="8" t="s">
        <v>12821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/>
      </c>
      <c r="I3667" s="34"/>
      <c r="J3667" s="34" t="str">
        <f>VLOOKUP(Table2[[#This Row],[Author]],People!A:B,2,0)</f>
        <v>LS</v>
      </c>
      <c r="L3667" s="34"/>
      <c r="M3667" s="34" t="s">
        <v>6348</v>
      </c>
    </row>
    <row r="3668" spans="1:13">
      <c r="A3668" s="40">
        <f t="shared" si="61"/>
        <v>3667</v>
      </c>
      <c r="B3668" s="34" t="s">
        <v>8</v>
      </c>
      <c r="C3668" s="34" t="s">
        <v>12790</v>
      </c>
      <c r="D3668" s="8" t="s">
        <v>12822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/>
      </c>
      <c r="I3668" s="34"/>
      <c r="J3668" s="34" t="str">
        <f>VLOOKUP(Table2[[#This Row],[Author]],People!A:B,2,0)</f>
        <v>LS</v>
      </c>
      <c r="L3668" s="34"/>
      <c r="M3668" s="34" t="s">
        <v>6348</v>
      </c>
    </row>
    <row r="3669" spans="1:13">
      <c r="A3669" s="40">
        <f t="shared" si="61"/>
        <v>3668</v>
      </c>
      <c r="B3669" s="34" t="s">
        <v>8</v>
      </c>
      <c r="C3669" s="34" t="s">
        <v>12790</v>
      </c>
      <c r="D3669" s="8" t="s">
        <v>12823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/>
      </c>
      <c r="I3669" s="34"/>
      <c r="J3669" s="34" t="str">
        <f>VLOOKUP(Table2[[#This Row],[Author]],People!A:B,2,0)</f>
        <v>LS</v>
      </c>
      <c r="L3669" s="34"/>
      <c r="M3669" s="34" t="s">
        <v>6348</v>
      </c>
    </row>
    <row r="3670" spans="1:13">
      <c r="A3670" s="40">
        <f t="shared" si="61"/>
        <v>3669</v>
      </c>
      <c r="B3670" s="34" t="s">
        <v>8</v>
      </c>
      <c r="C3670" s="34" t="s">
        <v>12790</v>
      </c>
      <c r="D3670" s="8" t="s">
        <v>12824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/>
      </c>
      <c r="I3670" s="34"/>
      <c r="J3670" s="34" t="str">
        <f>VLOOKUP(Table2[[#This Row],[Author]],People!A:B,2,0)</f>
        <v>LS</v>
      </c>
      <c r="L3670" s="34"/>
      <c r="M3670" s="34" t="s">
        <v>6348</v>
      </c>
    </row>
    <row r="3671" spans="1:13">
      <c r="A3671" s="40">
        <f t="shared" si="61"/>
        <v>3670</v>
      </c>
      <c r="B3671" s="34" t="s">
        <v>8</v>
      </c>
      <c r="C3671" s="34" t="s">
        <v>12790</v>
      </c>
      <c r="D3671" s="8" t="s">
        <v>12825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/>
      </c>
      <c r="I3671" s="34"/>
      <c r="J3671" s="34" t="str">
        <f>VLOOKUP(Table2[[#This Row],[Author]],People!A:B,2,0)</f>
        <v>LS</v>
      </c>
      <c r="L3671" s="34"/>
      <c r="M3671" s="34" t="s">
        <v>6348</v>
      </c>
    </row>
    <row r="3672" spans="1:13">
      <c r="A3672" s="40">
        <f t="shared" si="61"/>
        <v>3671</v>
      </c>
      <c r="B3672" s="34" t="s">
        <v>8</v>
      </c>
      <c r="C3672" s="34" t="s">
        <v>12790</v>
      </c>
      <c r="D3672" s="8" t="s">
        <v>12826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/>
      </c>
      <c r="I3672" s="34"/>
      <c r="J3672" s="34" t="str">
        <f>VLOOKUP(Table2[[#This Row],[Author]],People!A:B,2,0)</f>
        <v>LS</v>
      </c>
      <c r="L3672" s="34"/>
      <c r="M3672" s="34" t="s">
        <v>6348</v>
      </c>
    </row>
    <row r="3673" spans="1:13">
      <c r="A3673" s="40">
        <f t="shared" si="61"/>
        <v>3672</v>
      </c>
      <c r="B3673" s="34" t="s">
        <v>8</v>
      </c>
      <c r="C3673" s="34" t="s">
        <v>12790</v>
      </c>
      <c r="D3673" s="8" t="s">
        <v>12827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/>
      </c>
      <c r="I3673" s="34"/>
      <c r="J3673" s="34" t="str">
        <f>VLOOKUP(Table2[[#This Row],[Author]],People!A:B,2,0)</f>
        <v>LS</v>
      </c>
      <c r="L3673" s="34"/>
      <c r="M3673" s="34" t="s">
        <v>6348</v>
      </c>
    </row>
    <row r="3674" spans="1:13">
      <c r="A3674" s="40">
        <f t="shared" si="61"/>
        <v>3673</v>
      </c>
      <c r="B3674" s="34" t="s">
        <v>8</v>
      </c>
      <c r="C3674" s="34" t="s">
        <v>12790</v>
      </c>
      <c r="D3674" s="8" t="s">
        <v>12828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/>
      </c>
      <c r="I3674" s="34"/>
      <c r="J3674" s="34" t="str">
        <f>VLOOKUP(Table2[[#This Row],[Author]],People!A:B,2,0)</f>
        <v>LS</v>
      </c>
      <c r="L3674" s="34"/>
      <c r="M3674" s="34" t="s">
        <v>6348</v>
      </c>
    </row>
    <row r="3675" spans="1:13">
      <c r="A3675" s="40">
        <f t="shared" si="61"/>
        <v>3674</v>
      </c>
      <c r="B3675" s="34" t="s">
        <v>8</v>
      </c>
      <c r="C3675" s="34" t="s">
        <v>12790</v>
      </c>
      <c r="D3675" s="8" t="s">
        <v>12829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/>
      </c>
      <c r="I3675" s="34"/>
      <c r="J3675" s="34" t="str">
        <f>VLOOKUP(Table2[[#This Row],[Author]],People!A:B,2,0)</f>
        <v>LS</v>
      </c>
      <c r="L3675" s="34"/>
      <c r="M3675" s="34" t="s">
        <v>6348</v>
      </c>
    </row>
    <row r="3676" spans="1:13">
      <c r="A3676" s="40">
        <f t="shared" si="61"/>
        <v>3675</v>
      </c>
      <c r="B3676" s="34" t="s">
        <v>8</v>
      </c>
      <c r="C3676" s="34" t="s">
        <v>12790</v>
      </c>
      <c r="D3676" s="8" t="s">
        <v>12830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/>
      </c>
      <c r="I3676" s="34"/>
      <c r="J3676" s="34" t="str">
        <f>VLOOKUP(Table2[[#This Row],[Author]],People!A:B,2,0)</f>
        <v>LS</v>
      </c>
      <c r="L3676" s="34"/>
      <c r="M3676" s="34" t="s">
        <v>6348</v>
      </c>
    </row>
    <row r="3677" spans="1:13">
      <c r="A3677" s="40">
        <f t="shared" si="61"/>
        <v>3676</v>
      </c>
      <c r="B3677" s="34" t="s">
        <v>8</v>
      </c>
      <c r="C3677" s="34" t="s">
        <v>12790</v>
      </c>
      <c r="D3677" s="8" t="s">
        <v>12831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/>
      </c>
      <c r="I3677" s="34"/>
      <c r="J3677" s="34" t="str">
        <f>VLOOKUP(Table2[[#This Row],[Author]],People!A:B,2,0)</f>
        <v>LS</v>
      </c>
      <c r="L3677" s="34"/>
      <c r="M3677" s="34" t="s">
        <v>6348</v>
      </c>
    </row>
    <row r="3678" spans="1:13">
      <c r="A3678" s="40">
        <f t="shared" si="61"/>
        <v>3677</v>
      </c>
      <c r="B3678" s="34" t="s">
        <v>8</v>
      </c>
      <c r="C3678" s="34" t="s">
        <v>12790</v>
      </c>
      <c r="D3678" s="8" t="s">
        <v>12832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/>
      </c>
      <c r="I3678" s="34"/>
      <c r="J3678" s="34" t="str">
        <f>VLOOKUP(Table2[[#This Row],[Author]],People!A:B,2,0)</f>
        <v>LS</v>
      </c>
      <c r="L3678" s="34"/>
      <c r="M3678" s="34" t="s">
        <v>6348</v>
      </c>
    </row>
    <row r="3679" spans="1:13">
      <c r="A3679" s="40">
        <f t="shared" si="61"/>
        <v>3678</v>
      </c>
      <c r="B3679" s="34" t="s">
        <v>8</v>
      </c>
      <c r="C3679" s="34" t="s">
        <v>12790</v>
      </c>
      <c r="D3679" s="8" t="s">
        <v>12833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/>
      </c>
      <c r="I3679" s="34"/>
      <c r="J3679" s="34" t="str">
        <f>VLOOKUP(Table2[[#This Row],[Author]],People!A:B,2,0)</f>
        <v>LS</v>
      </c>
      <c r="L3679" s="34"/>
      <c r="M3679" s="34" t="s">
        <v>6348</v>
      </c>
    </row>
    <row r="3680" spans="1:13">
      <c r="A3680" s="40">
        <f t="shared" si="61"/>
        <v>3679</v>
      </c>
      <c r="B3680" s="34" t="s">
        <v>8</v>
      </c>
      <c r="C3680" s="34" t="s">
        <v>12790</v>
      </c>
      <c r="D3680" s="8" t="s">
        <v>12834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/>
      </c>
      <c r="I3680" s="34"/>
      <c r="J3680" s="34" t="str">
        <f>VLOOKUP(Table2[[#This Row],[Author]],People!A:B,2,0)</f>
        <v>LS</v>
      </c>
      <c r="L3680" s="34"/>
      <c r="M3680" s="34" t="s">
        <v>6348</v>
      </c>
    </row>
    <row r="3681" spans="1:13">
      <c r="A3681" s="40">
        <f t="shared" si="61"/>
        <v>3680</v>
      </c>
      <c r="B3681" s="34" t="s">
        <v>8</v>
      </c>
      <c r="C3681" s="34" t="s">
        <v>12790</v>
      </c>
      <c r="D3681" s="8" t="s">
        <v>12835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/>
      </c>
      <c r="I3681" s="34"/>
      <c r="J3681" s="34" t="str">
        <f>VLOOKUP(Table2[[#This Row],[Author]],People!A:B,2,0)</f>
        <v>LS</v>
      </c>
      <c r="L3681" s="34"/>
      <c r="M3681" s="34" t="s">
        <v>6348</v>
      </c>
    </row>
    <row r="3682" spans="1:13">
      <c r="A3682" s="40">
        <f t="shared" si="61"/>
        <v>3681</v>
      </c>
      <c r="B3682" s="34" t="s">
        <v>8</v>
      </c>
      <c r="C3682" s="34" t="s">
        <v>12790</v>
      </c>
      <c r="D3682" s="8" t="s">
        <v>12836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/>
      </c>
      <c r="I3682" s="34"/>
      <c r="J3682" s="34" t="str">
        <f>VLOOKUP(Table2[[#This Row],[Author]],People!A:B,2,0)</f>
        <v>LS</v>
      </c>
      <c r="L3682" s="34"/>
      <c r="M3682" s="34" t="s">
        <v>6348</v>
      </c>
    </row>
    <row r="3683" spans="1:13">
      <c r="A3683" s="40">
        <f t="shared" si="61"/>
        <v>3682</v>
      </c>
      <c r="B3683" s="34" t="s">
        <v>8</v>
      </c>
      <c r="C3683" s="34" t="s">
        <v>12790</v>
      </c>
      <c r="D3683" s="8" t="s">
        <v>12837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/>
      </c>
      <c r="I3683" s="34"/>
      <c r="J3683" s="34" t="str">
        <f>VLOOKUP(Table2[[#This Row],[Author]],People!A:B,2,0)</f>
        <v>LS</v>
      </c>
      <c r="L3683" s="34"/>
      <c r="M3683" s="34" t="s">
        <v>6348</v>
      </c>
    </row>
    <row r="3684" spans="1:13">
      <c r="A3684" s="40">
        <f t="shared" si="61"/>
        <v>3683</v>
      </c>
      <c r="B3684" s="34" t="s">
        <v>8</v>
      </c>
      <c r="C3684" s="34" t="s">
        <v>12790</v>
      </c>
      <c r="D3684" s="8" t="s">
        <v>12838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/>
      </c>
      <c r="I3684" s="34"/>
      <c r="J3684" s="34" t="str">
        <f>VLOOKUP(Table2[[#This Row],[Author]],People!A:B,2,0)</f>
        <v>LS</v>
      </c>
      <c r="L3684" s="34"/>
      <c r="M3684" s="34" t="s">
        <v>6348</v>
      </c>
    </row>
    <row r="3685" spans="1:13">
      <c r="A3685" s="40">
        <f t="shared" si="61"/>
        <v>3684</v>
      </c>
      <c r="B3685" s="34" t="s">
        <v>8</v>
      </c>
      <c r="C3685" s="34" t="s">
        <v>12790</v>
      </c>
      <c r="D3685" s="8" t="s">
        <v>12839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/>
      </c>
      <c r="I3685" s="34"/>
      <c r="J3685" s="34" t="str">
        <f>VLOOKUP(Table2[[#This Row],[Author]],People!A:B,2,0)</f>
        <v>LS</v>
      </c>
      <c r="L3685" s="34"/>
      <c r="M3685" s="34" t="s">
        <v>6348</v>
      </c>
    </row>
    <row r="3686" spans="1:13">
      <c r="A3686" s="40">
        <f t="shared" si="61"/>
        <v>3685</v>
      </c>
      <c r="B3686" s="34" t="s">
        <v>8</v>
      </c>
      <c r="C3686" s="34" t="s">
        <v>12790</v>
      </c>
      <c r="D3686" s="8" t="s">
        <v>12840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/>
      </c>
      <c r="I3686" s="34"/>
      <c r="J3686" s="34" t="str">
        <f>VLOOKUP(Table2[[#This Row],[Author]],People!A:B,2,0)</f>
        <v>LS</v>
      </c>
      <c r="L3686" s="34"/>
      <c r="M3686" s="34" t="s">
        <v>6348</v>
      </c>
    </row>
  </sheetData>
  <phoneticPr fontId="23" type="noConversion"/>
  <conditionalFormatting sqref="D2:D866 D869:D872">
    <cfRule type="duplicateValues" dxfId="86" priority="82"/>
  </conditionalFormatting>
  <conditionalFormatting sqref="K866:K868">
    <cfRule type="duplicateValues" dxfId="85" priority="81"/>
  </conditionalFormatting>
  <conditionalFormatting sqref="K867">
    <cfRule type="duplicateValues" dxfId="84" priority="80"/>
  </conditionalFormatting>
  <conditionalFormatting sqref="K868">
    <cfRule type="duplicateValues" dxfId="83" priority="79"/>
  </conditionalFormatting>
  <conditionalFormatting sqref="F867">
    <cfRule type="duplicateValues" dxfId="82" priority="78"/>
  </conditionalFormatting>
  <conditionalFormatting sqref="F868">
    <cfRule type="duplicateValues" dxfId="81" priority="77"/>
  </conditionalFormatting>
  <conditionalFormatting sqref="F872">
    <cfRule type="duplicateValues" dxfId="80" priority="76"/>
  </conditionalFormatting>
  <conditionalFormatting sqref="D867">
    <cfRule type="duplicateValues" dxfId="79" priority="75"/>
  </conditionalFormatting>
  <conditionalFormatting sqref="D868">
    <cfRule type="duplicateValues" dxfId="78" priority="74"/>
  </conditionalFormatting>
  <conditionalFormatting sqref="D873">
    <cfRule type="duplicateValues" dxfId="77" priority="73"/>
  </conditionalFormatting>
  <conditionalFormatting sqref="D889">
    <cfRule type="duplicateValues" dxfId="76" priority="72"/>
  </conditionalFormatting>
  <conditionalFormatting sqref="K889 K873">
    <cfRule type="duplicateValues" dxfId="75" priority="71"/>
  </conditionalFormatting>
  <conditionalFormatting sqref="D1356">
    <cfRule type="duplicateValues" dxfId="74" priority="70"/>
  </conditionalFormatting>
  <conditionalFormatting sqref="F1459">
    <cfRule type="duplicateValues" dxfId="73" priority="68"/>
  </conditionalFormatting>
  <conditionalFormatting sqref="F1460">
    <cfRule type="duplicateValues" dxfId="72" priority="67"/>
  </conditionalFormatting>
  <conditionalFormatting sqref="F1461">
    <cfRule type="duplicateValues" dxfId="71" priority="66"/>
  </conditionalFormatting>
  <conditionalFormatting sqref="F1463">
    <cfRule type="duplicateValues" dxfId="70" priority="65"/>
  </conditionalFormatting>
  <conditionalFormatting sqref="F1464">
    <cfRule type="duplicateValues" dxfId="69" priority="64"/>
  </conditionalFormatting>
  <conditionalFormatting sqref="F1473">
    <cfRule type="duplicateValues" dxfId="68" priority="63"/>
  </conditionalFormatting>
  <conditionalFormatting sqref="F1491">
    <cfRule type="duplicateValues" dxfId="67" priority="62"/>
  </conditionalFormatting>
  <conditionalFormatting sqref="F1492">
    <cfRule type="duplicateValues" dxfId="66" priority="61"/>
  </conditionalFormatting>
  <conditionalFormatting sqref="F1493">
    <cfRule type="duplicateValues" dxfId="65" priority="60"/>
  </conditionalFormatting>
  <conditionalFormatting sqref="F1494">
    <cfRule type="duplicateValues" dxfId="64" priority="59"/>
  </conditionalFormatting>
  <conditionalFormatting sqref="F1496">
    <cfRule type="duplicateValues" dxfId="63" priority="58"/>
  </conditionalFormatting>
  <conditionalFormatting sqref="F1497">
    <cfRule type="duplicateValues" dxfId="62" priority="57"/>
  </conditionalFormatting>
  <conditionalFormatting sqref="F1498">
    <cfRule type="duplicateValues" dxfId="61" priority="56"/>
  </conditionalFormatting>
  <conditionalFormatting sqref="F1499">
    <cfRule type="duplicateValues" dxfId="60" priority="55"/>
  </conditionalFormatting>
  <conditionalFormatting sqref="F1501">
    <cfRule type="duplicateValues" dxfId="59" priority="54"/>
  </conditionalFormatting>
  <conditionalFormatting sqref="F1502">
    <cfRule type="duplicateValues" dxfId="58" priority="53"/>
  </conditionalFormatting>
  <conditionalFormatting sqref="F1503">
    <cfRule type="duplicateValues" dxfId="57" priority="52"/>
  </conditionalFormatting>
  <conditionalFormatting sqref="F1504">
    <cfRule type="duplicateValues" dxfId="56" priority="51"/>
  </conditionalFormatting>
  <conditionalFormatting sqref="F1505">
    <cfRule type="duplicateValues" dxfId="55" priority="50"/>
  </conditionalFormatting>
  <conditionalFormatting sqref="F1506">
    <cfRule type="duplicateValues" dxfId="54" priority="49"/>
  </conditionalFormatting>
  <conditionalFormatting sqref="F1507">
    <cfRule type="duplicateValues" dxfId="53" priority="48"/>
  </conditionalFormatting>
  <conditionalFormatting sqref="F1508">
    <cfRule type="duplicateValues" dxfId="52" priority="47"/>
  </conditionalFormatting>
  <conditionalFormatting sqref="F1509">
    <cfRule type="duplicateValues" dxfId="51" priority="46"/>
  </conditionalFormatting>
  <conditionalFormatting sqref="F1510">
    <cfRule type="duplicateValues" dxfId="50" priority="45"/>
  </conditionalFormatting>
  <conditionalFormatting sqref="F1511">
    <cfRule type="duplicateValues" dxfId="49" priority="44"/>
  </conditionalFormatting>
  <conditionalFormatting sqref="F1512">
    <cfRule type="duplicateValues" dxfId="48" priority="43"/>
  </conditionalFormatting>
  <conditionalFormatting sqref="F1514">
    <cfRule type="duplicateValues" dxfId="47" priority="42"/>
  </conditionalFormatting>
  <conditionalFormatting sqref="F1515">
    <cfRule type="duplicateValues" dxfId="46" priority="41"/>
  </conditionalFormatting>
  <conditionalFormatting sqref="F1516">
    <cfRule type="duplicateValues" dxfId="45" priority="40"/>
  </conditionalFormatting>
  <conditionalFormatting sqref="F1517">
    <cfRule type="duplicateValues" dxfId="44" priority="39"/>
  </conditionalFormatting>
  <conditionalFormatting sqref="F1630">
    <cfRule type="duplicateValues" dxfId="43" priority="38"/>
  </conditionalFormatting>
  <conditionalFormatting sqref="F1631">
    <cfRule type="duplicateValues" dxfId="42" priority="37"/>
  </conditionalFormatting>
  <conditionalFormatting sqref="F1632">
    <cfRule type="duplicateValues" dxfId="41" priority="36"/>
  </conditionalFormatting>
  <conditionalFormatting sqref="F1633">
    <cfRule type="duplicateValues" dxfId="40" priority="35"/>
  </conditionalFormatting>
  <conditionalFormatting sqref="F1634">
    <cfRule type="duplicateValues" dxfId="39" priority="34"/>
  </conditionalFormatting>
  <conditionalFormatting sqref="D1639">
    <cfRule type="duplicateValues" dxfId="38" priority="33"/>
  </conditionalFormatting>
  <conditionalFormatting sqref="F1712">
    <cfRule type="duplicateValues" dxfId="37" priority="32"/>
  </conditionalFormatting>
  <conditionalFormatting sqref="F1713">
    <cfRule type="duplicateValues" dxfId="36" priority="31"/>
  </conditionalFormatting>
  <conditionalFormatting sqref="F1714">
    <cfRule type="duplicateValues" dxfId="35" priority="30"/>
  </conditionalFormatting>
  <conditionalFormatting sqref="F2508">
    <cfRule type="duplicateValues" dxfId="34" priority="29"/>
  </conditionalFormatting>
  <conditionalFormatting sqref="F2509">
    <cfRule type="duplicateValues" dxfId="33" priority="28"/>
  </conditionalFormatting>
  <conditionalFormatting sqref="F2524">
    <cfRule type="duplicateValues" dxfId="32" priority="27"/>
  </conditionalFormatting>
  <conditionalFormatting sqref="F2525">
    <cfRule type="duplicateValues" dxfId="31" priority="26"/>
  </conditionalFormatting>
  <conditionalFormatting sqref="F2533">
    <cfRule type="duplicateValues" dxfId="30" priority="25"/>
  </conditionalFormatting>
  <conditionalFormatting sqref="F2534">
    <cfRule type="duplicateValues" dxfId="29" priority="24"/>
  </conditionalFormatting>
  <conditionalFormatting sqref="F2543">
    <cfRule type="duplicateValues" dxfId="28" priority="23"/>
  </conditionalFormatting>
  <conditionalFormatting sqref="F2544">
    <cfRule type="duplicateValues" dxfId="27" priority="22"/>
  </conditionalFormatting>
  <conditionalFormatting sqref="F2558">
    <cfRule type="duplicateValues" dxfId="26" priority="21"/>
  </conditionalFormatting>
  <conditionalFormatting sqref="F2559">
    <cfRule type="duplicateValues" dxfId="25" priority="20"/>
  </conditionalFormatting>
  <conditionalFormatting sqref="F2572">
    <cfRule type="duplicateValues" dxfId="24" priority="19"/>
  </conditionalFormatting>
  <conditionalFormatting sqref="F2573">
    <cfRule type="duplicateValues" dxfId="23" priority="18"/>
  </conditionalFormatting>
  <conditionalFormatting sqref="F2581">
    <cfRule type="duplicateValues" dxfId="22" priority="17"/>
  </conditionalFormatting>
  <conditionalFormatting sqref="F2582">
    <cfRule type="duplicateValues" dxfId="21" priority="16"/>
  </conditionalFormatting>
  <conditionalFormatting sqref="F2593">
    <cfRule type="duplicateValues" dxfId="20" priority="15"/>
  </conditionalFormatting>
  <conditionalFormatting sqref="F2594">
    <cfRule type="duplicateValues" dxfId="19" priority="14"/>
  </conditionalFormatting>
  <conditionalFormatting sqref="F2790">
    <cfRule type="duplicateValues" dxfId="18" priority="13"/>
  </conditionalFormatting>
  <conditionalFormatting sqref="F2792">
    <cfRule type="duplicateValues" dxfId="17" priority="12"/>
  </conditionalFormatting>
  <conditionalFormatting sqref="D2:D3331">
    <cfRule type="duplicateValues" dxfId="16" priority="87"/>
  </conditionalFormatting>
  <conditionalFormatting sqref="F2846">
    <cfRule type="duplicateValues" dxfId="15" priority="11"/>
  </conditionalFormatting>
  <conditionalFormatting sqref="F3322">
    <cfRule type="duplicateValues" dxfId="14" priority="9"/>
  </conditionalFormatting>
  <conditionalFormatting sqref="F3324">
    <cfRule type="duplicateValues" dxfId="13" priority="8"/>
  </conditionalFormatting>
  <conditionalFormatting sqref="D3332">
    <cfRule type="duplicateValues" dxfId="12" priority="7"/>
  </conditionalFormatting>
  <conditionalFormatting sqref="D3333">
    <cfRule type="duplicateValues" dxfId="11" priority="6"/>
  </conditionalFormatting>
  <conditionalFormatting sqref="D3334">
    <cfRule type="duplicateValues" dxfId="10" priority="5"/>
  </conditionalFormatting>
  <conditionalFormatting sqref="D3335">
    <cfRule type="duplicateValues" dxfId="9" priority="4"/>
  </conditionalFormatting>
  <conditionalFormatting sqref="D3336">
    <cfRule type="duplicateValues" dxfId="8" priority="3"/>
  </conditionalFormatting>
  <conditionalFormatting sqref="D3343">
    <cfRule type="duplicateValues" dxfId="7" priority="2"/>
  </conditionalFormatting>
  <conditionalFormatting sqref="F3344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C076D-3739-455A-A75D-EB077C62C8B5}">
  <dimension ref="A1:N52"/>
  <sheetViews>
    <sheetView tabSelected="1" workbookViewId="0">
      <selection activeCell="L2" sqref="L2"/>
    </sheetView>
  </sheetViews>
  <sheetFormatPr defaultRowHeight="15"/>
  <cols>
    <col min="1" max="1" width="11.28515625" bestFit="1" customWidth="1"/>
    <col min="2" max="2" width="40.5703125" bestFit="1" customWidth="1"/>
    <col min="3" max="7" width="2.140625" bestFit="1" customWidth="1"/>
  </cols>
  <sheetData>
    <row r="1" spans="1:14">
      <c r="A1">
        <v>1000</v>
      </c>
      <c r="B1" t="s">
        <v>12353</v>
      </c>
      <c r="I1">
        <v>1000</v>
      </c>
      <c r="J1" t="s">
        <v>12353</v>
      </c>
      <c r="L1" t="s">
        <v>12355</v>
      </c>
      <c r="M1" t="s">
        <v>12353</v>
      </c>
    </row>
    <row r="2" spans="1:14">
      <c r="A2" t="s">
        <v>11466</v>
      </c>
      <c r="B2" t="s">
        <v>11291</v>
      </c>
      <c r="C2" t="s">
        <v>12354</v>
      </c>
      <c r="D2" t="s">
        <v>12354</v>
      </c>
      <c r="E2" t="s">
        <v>12354</v>
      </c>
      <c r="F2" t="s">
        <v>12354</v>
      </c>
      <c r="G2" t="s">
        <v>12354</v>
      </c>
      <c r="I2" t="s">
        <v>10993</v>
      </c>
      <c r="J2" t="s">
        <v>12791</v>
      </c>
      <c r="L2" t="s">
        <v>11466</v>
      </c>
      <c r="M2" t="s">
        <v>11291</v>
      </c>
      <c r="N2" t="s">
        <v>12354</v>
      </c>
    </row>
    <row r="3" spans="1:14">
      <c r="A3" t="s">
        <v>12791</v>
      </c>
      <c r="B3" t="s">
        <v>10861</v>
      </c>
      <c r="C3" t="s">
        <v>12354</v>
      </c>
      <c r="D3" t="s">
        <v>12354</v>
      </c>
      <c r="E3" t="s">
        <v>12354</v>
      </c>
      <c r="F3" t="s">
        <v>12354</v>
      </c>
      <c r="G3" t="s">
        <v>12354</v>
      </c>
      <c r="I3" t="s">
        <v>10994</v>
      </c>
      <c r="J3" t="s">
        <v>12792</v>
      </c>
    </row>
    <row r="4" spans="1:14">
      <c r="A4" t="s">
        <v>12792</v>
      </c>
      <c r="B4" t="s">
        <v>10863</v>
      </c>
      <c r="C4" t="s">
        <v>12354</v>
      </c>
      <c r="D4" t="s">
        <v>12354</v>
      </c>
      <c r="E4" t="s">
        <v>12354</v>
      </c>
      <c r="F4" t="s">
        <v>12354</v>
      </c>
      <c r="G4" t="s">
        <v>12354</v>
      </c>
      <c r="I4" t="s">
        <v>10995</v>
      </c>
      <c r="J4" t="s">
        <v>12793</v>
      </c>
    </row>
    <row r="5" spans="1:14">
      <c r="A5" t="s">
        <v>12793</v>
      </c>
      <c r="B5" t="s">
        <v>10864</v>
      </c>
      <c r="C5" t="s">
        <v>12354</v>
      </c>
      <c r="D5" t="s">
        <v>12354</v>
      </c>
      <c r="E5" t="s">
        <v>12354</v>
      </c>
      <c r="F5" t="s">
        <v>12354</v>
      </c>
      <c r="G5" t="s">
        <v>12354</v>
      </c>
      <c r="I5" t="s">
        <v>10996</v>
      </c>
      <c r="J5" t="s">
        <v>12794</v>
      </c>
    </row>
    <row r="6" spans="1:14">
      <c r="A6" t="s">
        <v>12794</v>
      </c>
      <c r="B6" t="s">
        <v>10865</v>
      </c>
      <c r="C6" t="s">
        <v>12354</v>
      </c>
      <c r="D6" t="s">
        <v>12354</v>
      </c>
      <c r="E6" t="s">
        <v>12354</v>
      </c>
      <c r="F6" t="s">
        <v>12354</v>
      </c>
      <c r="G6" t="s">
        <v>12354</v>
      </c>
      <c r="I6" t="s">
        <v>10997</v>
      </c>
      <c r="J6" t="s">
        <v>12795</v>
      </c>
    </row>
    <row r="7" spans="1:14">
      <c r="A7" t="s">
        <v>12795</v>
      </c>
      <c r="B7" t="s">
        <v>10866</v>
      </c>
      <c r="C7" t="s">
        <v>12354</v>
      </c>
      <c r="D7" t="s">
        <v>12354</v>
      </c>
      <c r="E7" t="s">
        <v>12354</v>
      </c>
      <c r="F7" t="s">
        <v>12354</v>
      </c>
      <c r="G7" t="s">
        <v>12354</v>
      </c>
      <c r="I7" t="s">
        <v>10998</v>
      </c>
      <c r="J7" t="s">
        <v>12796</v>
      </c>
    </row>
    <row r="8" spans="1:14">
      <c r="A8" t="s">
        <v>12796</v>
      </c>
      <c r="B8" t="s">
        <v>10867</v>
      </c>
      <c r="C8" t="s">
        <v>12354</v>
      </c>
      <c r="D8" t="s">
        <v>12354</v>
      </c>
      <c r="E8" t="s">
        <v>12354</v>
      </c>
      <c r="F8" t="s">
        <v>12354</v>
      </c>
      <c r="G8" t="s">
        <v>12354</v>
      </c>
      <c r="I8" t="s">
        <v>10999</v>
      </c>
      <c r="J8" t="s">
        <v>12797</v>
      </c>
    </row>
    <row r="9" spans="1:14">
      <c r="A9" t="s">
        <v>12797</v>
      </c>
      <c r="B9" t="s">
        <v>10868</v>
      </c>
      <c r="C9" t="s">
        <v>12354</v>
      </c>
      <c r="D9" t="s">
        <v>12354</v>
      </c>
      <c r="E9" t="s">
        <v>12354</v>
      </c>
      <c r="F9" t="s">
        <v>12354</v>
      </c>
      <c r="G9" t="s">
        <v>12354</v>
      </c>
      <c r="I9" t="s">
        <v>11000</v>
      </c>
      <c r="J9" t="s">
        <v>12798</v>
      </c>
    </row>
    <row r="10" spans="1:14">
      <c r="A10" t="s">
        <v>12798</v>
      </c>
      <c r="B10" t="s">
        <v>10869</v>
      </c>
      <c r="C10" t="s">
        <v>12354</v>
      </c>
      <c r="D10" t="s">
        <v>12354</v>
      </c>
      <c r="E10" t="s">
        <v>12354</v>
      </c>
      <c r="F10" t="s">
        <v>12354</v>
      </c>
      <c r="G10" t="s">
        <v>12354</v>
      </c>
      <c r="I10" t="s">
        <v>11002</v>
      </c>
      <c r="J10" t="s">
        <v>12799</v>
      </c>
    </row>
    <row r="11" spans="1:14">
      <c r="A11" t="s">
        <v>12799</v>
      </c>
      <c r="B11" t="s">
        <v>10870</v>
      </c>
      <c r="C11" t="s">
        <v>12354</v>
      </c>
      <c r="D11" t="s">
        <v>12354</v>
      </c>
      <c r="E11" t="s">
        <v>12354</v>
      </c>
      <c r="F11" t="s">
        <v>12354</v>
      </c>
      <c r="G11" t="s">
        <v>12354</v>
      </c>
      <c r="I11" t="s">
        <v>11003</v>
      </c>
      <c r="J11" t="s">
        <v>12800</v>
      </c>
    </row>
    <row r="12" spans="1:14">
      <c r="A12" t="s">
        <v>12800</v>
      </c>
      <c r="B12" t="s">
        <v>10872</v>
      </c>
      <c r="C12" t="s">
        <v>12354</v>
      </c>
      <c r="D12" t="s">
        <v>12354</v>
      </c>
      <c r="E12" t="s">
        <v>12354</v>
      </c>
      <c r="F12" t="s">
        <v>12354</v>
      </c>
      <c r="G12" t="s">
        <v>12354</v>
      </c>
      <c r="I12" t="s">
        <v>11004</v>
      </c>
      <c r="J12" t="s">
        <v>12801</v>
      </c>
    </row>
    <row r="13" spans="1:14">
      <c r="A13" t="s">
        <v>12801</v>
      </c>
      <c r="B13" t="s">
        <v>10873</v>
      </c>
      <c r="C13" t="s">
        <v>12354</v>
      </c>
      <c r="D13" t="s">
        <v>12354</v>
      </c>
      <c r="E13" t="s">
        <v>12354</v>
      </c>
      <c r="F13" t="s">
        <v>12354</v>
      </c>
      <c r="G13" t="s">
        <v>12354</v>
      </c>
      <c r="I13" t="s">
        <v>11005</v>
      </c>
      <c r="J13" t="s">
        <v>12802</v>
      </c>
    </row>
    <row r="14" spans="1:14">
      <c r="A14" t="s">
        <v>12802</v>
      </c>
      <c r="B14" t="s">
        <v>10874</v>
      </c>
      <c r="C14" t="s">
        <v>12354</v>
      </c>
      <c r="D14" t="s">
        <v>12354</v>
      </c>
      <c r="E14" t="s">
        <v>12354</v>
      </c>
      <c r="F14" t="s">
        <v>12354</v>
      </c>
      <c r="G14" t="s">
        <v>12354</v>
      </c>
      <c r="I14" t="s">
        <v>11006</v>
      </c>
      <c r="J14" t="s">
        <v>12803</v>
      </c>
    </row>
    <row r="15" spans="1:14">
      <c r="A15" t="s">
        <v>12803</v>
      </c>
      <c r="B15" t="s">
        <v>10875</v>
      </c>
      <c r="C15" t="s">
        <v>12354</v>
      </c>
      <c r="D15" t="s">
        <v>12354</v>
      </c>
      <c r="E15" t="s">
        <v>12354</v>
      </c>
      <c r="F15" t="s">
        <v>12354</v>
      </c>
      <c r="G15" t="s">
        <v>12354</v>
      </c>
      <c r="I15" t="s">
        <v>11007</v>
      </c>
      <c r="J15" t="s">
        <v>12804</v>
      </c>
    </row>
    <row r="16" spans="1:14">
      <c r="A16" t="s">
        <v>12804</v>
      </c>
      <c r="B16" t="s">
        <v>10876</v>
      </c>
      <c r="C16" t="s">
        <v>12354</v>
      </c>
      <c r="D16" t="s">
        <v>12354</v>
      </c>
      <c r="E16" t="s">
        <v>12354</v>
      </c>
      <c r="F16" t="s">
        <v>12354</v>
      </c>
      <c r="G16" t="s">
        <v>12354</v>
      </c>
      <c r="I16" t="s">
        <v>11008</v>
      </c>
      <c r="J16" t="s">
        <v>12805</v>
      </c>
    </row>
    <row r="17" spans="1:10">
      <c r="A17" t="s">
        <v>12805</v>
      </c>
      <c r="B17" t="s">
        <v>10877</v>
      </c>
      <c r="C17" t="s">
        <v>12354</v>
      </c>
      <c r="D17" t="s">
        <v>12354</v>
      </c>
      <c r="E17" t="s">
        <v>12354</v>
      </c>
      <c r="F17" t="s">
        <v>12354</v>
      </c>
      <c r="G17" t="s">
        <v>12354</v>
      </c>
      <c r="I17" t="s">
        <v>11010</v>
      </c>
      <c r="J17" t="s">
        <v>12806</v>
      </c>
    </row>
    <row r="18" spans="1:10">
      <c r="A18" t="s">
        <v>12806</v>
      </c>
      <c r="B18" t="s">
        <v>10878</v>
      </c>
      <c r="C18" t="s">
        <v>12354</v>
      </c>
      <c r="D18" t="s">
        <v>12354</v>
      </c>
      <c r="E18" t="s">
        <v>12354</v>
      </c>
      <c r="F18" t="s">
        <v>12354</v>
      </c>
      <c r="G18" t="s">
        <v>12354</v>
      </c>
      <c r="I18" t="s">
        <v>11011</v>
      </c>
      <c r="J18" t="s">
        <v>12807</v>
      </c>
    </row>
    <row r="19" spans="1:10">
      <c r="A19" t="s">
        <v>12807</v>
      </c>
      <c r="B19" t="s">
        <v>10880</v>
      </c>
      <c r="C19" t="s">
        <v>12354</v>
      </c>
      <c r="D19" t="s">
        <v>12354</v>
      </c>
      <c r="E19" t="s">
        <v>12354</v>
      </c>
      <c r="F19" t="s">
        <v>12354</v>
      </c>
      <c r="G19" t="s">
        <v>12354</v>
      </c>
      <c r="I19" t="s">
        <v>11012</v>
      </c>
      <c r="J19" t="s">
        <v>12808</v>
      </c>
    </row>
    <row r="20" spans="1:10">
      <c r="A20" t="s">
        <v>12808</v>
      </c>
      <c r="B20" t="s">
        <v>10881</v>
      </c>
      <c r="C20" t="s">
        <v>12354</v>
      </c>
      <c r="D20" t="s">
        <v>12354</v>
      </c>
      <c r="E20" t="s">
        <v>12354</v>
      </c>
      <c r="F20" t="s">
        <v>12354</v>
      </c>
      <c r="G20" t="s">
        <v>12354</v>
      </c>
      <c r="I20" t="s">
        <v>11013</v>
      </c>
      <c r="J20" t="s">
        <v>12809</v>
      </c>
    </row>
    <row r="21" spans="1:10">
      <c r="A21" t="s">
        <v>12809</v>
      </c>
      <c r="B21" t="s">
        <v>10882</v>
      </c>
      <c r="C21" t="s">
        <v>12354</v>
      </c>
      <c r="D21" t="s">
        <v>12354</v>
      </c>
      <c r="E21" t="s">
        <v>12354</v>
      </c>
      <c r="F21" t="s">
        <v>12354</v>
      </c>
      <c r="G21" t="s">
        <v>12354</v>
      </c>
      <c r="I21" t="s">
        <v>11014</v>
      </c>
      <c r="J21" t="s">
        <v>12810</v>
      </c>
    </row>
    <row r="22" spans="1:10">
      <c r="A22" t="s">
        <v>12810</v>
      </c>
      <c r="B22" t="s">
        <v>10883</v>
      </c>
      <c r="C22" t="s">
        <v>12354</v>
      </c>
      <c r="D22" t="s">
        <v>12354</v>
      </c>
      <c r="E22" t="s">
        <v>12354</v>
      </c>
      <c r="F22" t="s">
        <v>12354</v>
      </c>
      <c r="G22" t="s">
        <v>12354</v>
      </c>
      <c r="I22" t="s">
        <v>11015</v>
      </c>
      <c r="J22" t="s">
        <v>12811</v>
      </c>
    </row>
    <row r="23" spans="1:10">
      <c r="A23" t="s">
        <v>12811</v>
      </c>
      <c r="B23" t="s">
        <v>10884</v>
      </c>
      <c r="C23" t="s">
        <v>12354</v>
      </c>
      <c r="D23" t="s">
        <v>12354</v>
      </c>
      <c r="E23" t="s">
        <v>12354</v>
      </c>
      <c r="F23" t="s">
        <v>12354</v>
      </c>
      <c r="G23" t="s">
        <v>12354</v>
      </c>
      <c r="I23" t="s">
        <v>11016</v>
      </c>
      <c r="J23" t="s">
        <v>12812</v>
      </c>
    </row>
    <row r="24" spans="1:10">
      <c r="A24" t="s">
        <v>12812</v>
      </c>
      <c r="B24" t="s">
        <v>10885</v>
      </c>
      <c r="C24" t="s">
        <v>12354</v>
      </c>
      <c r="D24" t="s">
        <v>12354</v>
      </c>
      <c r="E24" t="s">
        <v>12354</v>
      </c>
      <c r="F24" t="s">
        <v>12354</v>
      </c>
      <c r="G24" t="s">
        <v>12354</v>
      </c>
      <c r="I24" t="s">
        <v>11017</v>
      </c>
      <c r="J24" t="s">
        <v>12813</v>
      </c>
    </row>
    <row r="25" spans="1:10">
      <c r="A25" t="s">
        <v>12813</v>
      </c>
      <c r="B25" t="s">
        <v>10886</v>
      </c>
      <c r="C25" t="s">
        <v>12354</v>
      </c>
      <c r="D25" t="s">
        <v>12354</v>
      </c>
      <c r="E25" t="s">
        <v>12354</v>
      </c>
      <c r="F25" t="s">
        <v>12354</v>
      </c>
      <c r="G25" t="s">
        <v>12354</v>
      </c>
      <c r="I25" t="s">
        <v>11018</v>
      </c>
      <c r="J25" t="s">
        <v>12814</v>
      </c>
    </row>
    <row r="26" spans="1:10">
      <c r="A26" t="s">
        <v>12814</v>
      </c>
      <c r="B26" t="s">
        <v>10887</v>
      </c>
      <c r="C26" t="s">
        <v>12354</v>
      </c>
      <c r="D26" t="s">
        <v>12354</v>
      </c>
      <c r="E26" t="s">
        <v>12354</v>
      </c>
      <c r="F26" t="s">
        <v>12354</v>
      </c>
      <c r="G26" t="s">
        <v>12354</v>
      </c>
      <c r="I26" t="s">
        <v>11020</v>
      </c>
      <c r="J26" t="s">
        <v>12815</v>
      </c>
    </row>
    <row r="27" spans="1:10">
      <c r="A27" t="s">
        <v>12815</v>
      </c>
      <c r="B27" t="s">
        <v>10888</v>
      </c>
      <c r="C27" t="s">
        <v>12354</v>
      </c>
      <c r="D27" t="s">
        <v>12354</v>
      </c>
      <c r="E27" t="s">
        <v>12354</v>
      </c>
      <c r="F27" t="s">
        <v>12354</v>
      </c>
      <c r="G27" t="s">
        <v>12354</v>
      </c>
      <c r="I27" t="s">
        <v>11021</v>
      </c>
      <c r="J27" t="s">
        <v>12816</v>
      </c>
    </row>
    <row r="28" spans="1:10">
      <c r="A28" t="s">
        <v>12816</v>
      </c>
      <c r="B28" t="s">
        <v>10890</v>
      </c>
      <c r="C28" t="s">
        <v>12354</v>
      </c>
      <c r="D28" t="s">
        <v>12354</v>
      </c>
      <c r="E28" t="s">
        <v>12354</v>
      </c>
      <c r="F28" t="s">
        <v>12354</v>
      </c>
      <c r="G28" t="s">
        <v>12354</v>
      </c>
      <c r="I28" t="s">
        <v>11022</v>
      </c>
      <c r="J28" t="s">
        <v>12817</v>
      </c>
    </row>
    <row r="29" spans="1:10">
      <c r="A29" t="s">
        <v>12817</v>
      </c>
      <c r="B29" t="s">
        <v>10891</v>
      </c>
      <c r="C29" t="s">
        <v>12354</v>
      </c>
      <c r="D29" t="s">
        <v>12354</v>
      </c>
      <c r="E29" t="s">
        <v>12354</v>
      </c>
      <c r="F29" t="s">
        <v>12354</v>
      </c>
      <c r="G29" t="s">
        <v>12354</v>
      </c>
      <c r="I29" t="s">
        <v>11023</v>
      </c>
      <c r="J29" t="s">
        <v>12818</v>
      </c>
    </row>
    <row r="30" spans="1:10">
      <c r="A30" t="s">
        <v>12818</v>
      </c>
      <c r="B30" t="s">
        <v>10892</v>
      </c>
      <c r="C30" t="s">
        <v>12354</v>
      </c>
      <c r="D30" t="s">
        <v>12354</v>
      </c>
      <c r="E30" t="s">
        <v>12354</v>
      </c>
      <c r="F30" t="s">
        <v>12354</v>
      </c>
      <c r="G30" t="s">
        <v>12354</v>
      </c>
      <c r="I30" t="s">
        <v>11024</v>
      </c>
      <c r="J30" t="s">
        <v>12819</v>
      </c>
    </row>
    <row r="31" spans="1:10">
      <c r="A31" t="s">
        <v>12819</v>
      </c>
      <c r="B31" t="s">
        <v>10893</v>
      </c>
      <c r="C31" t="s">
        <v>12354</v>
      </c>
      <c r="D31" t="s">
        <v>12354</v>
      </c>
      <c r="E31" t="s">
        <v>12354</v>
      </c>
      <c r="F31" t="s">
        <v>12354</v>
      </c>
      <c r="G31" t="s">
        <v>12354</v>
      </c>
      <c r="I31" t="s">
        <v>11025</v>
      </c>
      <c r="J31" t="s">
        <v>12820</v>
      </c>
    </row>
    <row r="32" spans="1:10">
      <c r="A32" t="s">
        <v>12820</v>
      </c>
      <c r="B32" t="s">
        <v>10894</v>
      </c>
      <c r="C32" t="s">
        <v>12354</v>
      </c>
      <c r="D32" t="s">
        <v>12354</v>
      </c>
      <c r="E32" t="s">
        <v>12354</v>
      </c>
      <c r="F32" t="s">
        <v>12354</v>
      </c>
      <c r="G32" t="s">
        <v>12354</v>
      </c>
      <c r="I32" t="s">
        <v>11026</v>
      </c>
      <c r="J32" t="s">
        <v>12821</v>
      </c>
    </row>
    <row r="33" spans="1:10">
      <c r="A33" t="s">
        <v>12821</v>
      </c>
      <c r="B33" t="s">
        <v>10895</v>
      </c>
      <c r="C33" t="s">
        <v>12354</v>
      </c>
      <c r="D33" t="s">
        <v>12354</v>
      </c>
      <c r="E33" t="s">
        <v>12354</v>
      </c>
      <c r="F33" t="s">
        <v>12354</v>
      </c>
      <c r="G33" t="s">
        <v>12354</v>
      </c>
      <c r="I33" t="s">
        <v>11027</v>
      </c>
      <c r="J33" t="s">
        <v>12822</v>
      </c>
    </row>
    <row r="34" spans="1:10">
      <c r="A34" t="s">
        <v>12822</v>
      </c>
      <c r="B34" t="s">
        <v>10896</v>
      </c>
      <c r="C34" t="s">
        <v>12354</v>
      </c>
      <c r="D34" t="s">
        <v>12354</v>
      </c>
      <c r="E34" t="s">
        <v>12354</v>
      </c>
      <c r="F34" t="s">
        <v>12354</v>
      </c>
      <c r="G34" t="s">
        <v>12354</v>
      </c>
      <c r="I34" t="s">
        <v>11028</v>
      </c>
      <c r="J34" t="s">
        <v>12823</v>
      </c>
    </row>
    <row r="35" spans="1:10">
      <c r="A35" t="s">
        <v>12823</v>
      </c>
      <c r="B35" t="s">
        <v>10897</v>
      </c>
      <c r="C35" t="s">
        <v>12354</v>
      </c>
      <c r="D35" t="s">
        <v>12354</v>
      </c>
      <c r="E35" t="s">
        <v>12354</v>
      </c>
      <c r="F35" t="s">
        <v>12354</v>
      </c>
      <c r="G35" t="s">
        <v>12354</v>
      </c>
      <c r="I35" t="s">
        <v>11030</v>
      </c>
      <c r="J35" t="s">
        <v>12824</v>
      </c>
    </row>
    <row r="36" spans="1:10">
      <c r="A36" t="s">
        <v>12824</v>
      </c>
      <c r="B36" t="s">
        <v>10898</v>
      </c>
      <c r="C36" t="s">
        <v>12354</v>
      </c>
      <c r="D36" t="s">
        <v>12354</v>
      </c>
      <c r="E36" t="s">
        <v>12354</v>
      </c>
      <c r="F36" t="s">
        <v>12354</v>
      </c>
      <c r="G36" t="s">
        <v>12354</v>
      </c>
      <c r="I36" t="s">
        <v>11031</v>
      </c>
      <c r="J36" t="s">
        <v>12825</v>
      </c>
    </row>
    <row r="37" spans="1:10">
      <c r="A37" t="s">
        <v>12825</v>
      </c>
      <c r="B37" t="s">
        <v>10900</v>
      </c>
      <c r="C37" t="s">
        <v>12354</v>
      </c>
      <c r="D37" t="s">
        <v>12354</v>
      </c>
      <c r="E37" t="s">
        <v>12354</v>
      </c>
      <c r="F37" t="s">
        <v>12354</v>
      </c>
      <c r="G37" t="s">
        <v>12354</v>
      </c>
      <c r="I37" t="s">
        <v>11032</v>
      </c>
      <c r="J37" t="s">
        <v>12826</v>
      </c>
    </row>
    <row r="38" spans="1:10">
      <c r="A38" t="s">
        <v>12826</v>
      </c>
      <c r="B38" t="s">
        <v>10901</v>
      </c>
      <c r="C38" t="s">
        <v>12354</v>
      </c>
      <c r="D38" t="s">
        <v>12354</v>
      </c>
      <c r="E38" t="s">
        <v>12354</v>
      </c>
      <c r="F38" t="s">
        <v>12354</v>
      </c>
      <c r="G38" t="s">
        <v>12354</v>
      </c>
      <c r="I38" t="s">
        <v>11033</v>
      </c>
      <c r="J38" t="s">
        <v>12827</v>
      </c>
    </row>
    <row r="39" spans="1:10">
      <c r="A39" t="s">
        <v>12827</v>
      </c>
      <c r="B39" t="s">
        <v>10902</v>
      </c>
      <c r="C39" t="s">
        <v>12354</v>
      </c>
      <c r="D39" t="s">
        <v>12354</v>
      </c>
      <c r="E39" t="s">
        <v>12354</v>
      </c>
      <c r="F39" t="s">
        <v>12354</v>
      </c>
      <c r="G39" t="s">
        <v>12354</v>
      </c>
      <c r="I39" t="s">
        <v>11034</v>
      </c>
      <c r="J39" t="s">
        <v>12828</v>
      </c>
    </row>
    <row r="40" spans="1:10">
      <c r="A40" t="s">
        <v>12828</v>
      </c>
      <c r="B40" t="s">
        <v>10903</v>
      </c>
      <c r="C40" t="s">
        <v>12354</v>
      </c>
      <c r="D40" t="s">
        <v>12354</v>
      </c>
      <c r="E40" t="s">
        <v>12354</v>
      </c>
      <c r="F40" t="s">
        <v>12354</v>
      </c>
      <c r="G40" t="s">
        <v>12354</v>
      </c>
      <c r="I40" t="s">
        <v>11035</v>
      </c>
      <c r="J40" t="s">
        <v>12829</v>
      </c>
    </row>
    <row r="41" spans="1:10">
      <c r="A41" t="s">
        <v>12829</v>
      </c>
      <c r="B41" t="s">
        <v>10904</v>
      </c>
      <c r="C41" t="s">
        <v>12354</v>
      </c>
      <c r="D41" t="s">
        <v>12354</v>
      </c>
      <c r="E41" t="s">
        <v>12354</v>
      </c>
      <c r="F41" t="s">
        <v>12354</v>
      </c>
      <c r="G41" t="s">
        <v>12354</v>
      </c>
      <c r="I41" t="s">
        <v>11037</v>
      </c>
      <c r="J41" t="s">
        <v>12830</v>
      </c>
    </row>
    <row r="42" spans="1:10">
      <c r="A42" t="s">
        <v>12830</v>
      </c>
      <c r="B42" t="s">
        <v>10905</v>
      </c>
      <c r="C42" t="s">
        <v>12354</v>
      </c>
      <c r="D42" t="s">
        <v>12354</v>
      </c>
      <c r="E42" t="s">
        <v>12354</v>
      </c>
      <c r="F42" t="s">
        <v>12354</v>
      </c>
      <c r="G42" t="s">
        <v>12354</v>
      </c>
      <c r="I42" t="s">
        <v>11038</v>
      </c>
      <c r="J42" t="s">
        <v>12831</v>
      </c>
    </row>
    <row r="43" spans="1:10">
      <c r="A43" t="s">
        <v>12831</v>
      </c>
      <c r="B43" t="s">
        <v>10907</v>
      </c>
      <c r="C43" t="s">
        <v>12354</v>
      </c>
      <c r="D43" t="s">
        <v>12354</v>
      </c>
      <c r="E43" t="s">
        <v>12354</v>
      </c>
      <c r="F43" t="s">
        <v>12354</v>
      </c>
      <c r="G43" t="s">
        <v>12354</v>
      </c>
      <c r="I43" t="s">
        <v>11039</v>
      </c>
      <c r="J43" t="s">
        <v>12832</v>
      </c>
    </row>
    <row r="44" spans="1:10">
      <c r="A44" t="s">
        <v>12832</v>
      </c>
      <c r="B44" t="s">
        <v>10908</v>
      </c>
      <c r="C44" t="s">
        <v>12354</v>
      </c>
      <c r="D44" t="s">
        <v>12354</v>
      </c>
      <c r="E44" t="s">
        <v>12354</v>
      </c>
      <c r="F44" t="s">
        <v>12354</v>
      </c>
      <c r="G44" t="s">
        <v>12354</v>
      </c>
      <c r="I44" t="s">
        <v>11040</v>
      </c>
      <c r="J44" t="s">
        <v>12833</v>
      </c>
    </row>
    <row r="45" spans="1:10">
      <c r="A45" t="s">
        <v>12833</v>
      </c>
      <c r="B45" t="s">
        <v>10909</v>
      </c>
      <c r="C45" t="s">
        <v>12354</v>
      </c>
      <c r="D45" t="s">
        <v>12354</v>
      </c>
      <c r="E45" t="s">
        <v>12354</v>
      </c>
      <c r="F45" t="s">
        <v>12354</v>
      </c>
      <c r="G45" t="s">
        <v>12354</v>
      </c>
      <c r="I45" t="s">
        <v>11041</v>
      </c>
      <c r="J45" t="s">
        <v>12834</v>
      </c>
    </row>
    <row r="46" spans="1:10">
      <c r="A46" t="s">
        <v>12834</v>
      </c>
      <c r="B46" t="s">
        <v>10910</v>
      </c>
      <c r="C46" t="s">
        <v>12354</v>
      </c>
      <c r="D46" t="s">
        <v>12354</v>
      </c>
      <c r="E46" t="s">
        <v>12354</v>
      </c>
      <c r="F46" t="s">
        <v>12354</v>
      </c>
      <c r="G46" t="s">
        <v>12354</v>
      </c>
      <c r="I46" t="s">
        <v>11042</v>
      </c>
      <c r="J46" t="s">
        <v>12835</v>
      </c>
    </row>
    <row r="47" spans="1:10">
      <c r="A47" t="s">
        <v>12835</v>
      </c>
      <c r="B47" t="s">
        <v>10911</v>
      </c>
      <c r="C47" t="s">
        <v>12354</v>
      </c>
      <c r="D47" t="s">
        <v>12354</v>
      </c>
      <c r="E47" t="s">
        <v>12354</v>
      </c>
      <c r="F47" t="s">
        <v>12354</v>
      </c>
      <c r="G47" t="s">
        <v>12354</v>
      </c>
      <c r="I47" t="s">
        <v>11044</v>
      </c>
      <c r="J47" t="s">
        <v>12836</v>
      </c>
    </row>
    <row r="48" spans="1:10">
      <c r="A48" t="s">
        <v>12836</v>
      </c>
      <c r="B48" t="s">
        <v>10912</v>
      </c>
      <c r="C48" t="s">
        <v>12354</v>
      </c>
      <c r="D48" t="s">
        <v>12354</v>
      </c>
      <c r="E48" t="s">
        <v>12354</v>
      </c>
      <c r="F48" t="s">
        <v>12354</v>
      </c>
      <c r="G48" t="s">
        <v>12354</v>
      </c>
      <c r="I48" t="s">
        <v>11045</v>
      </c>
      <c r="J48" t="s">
        <v>12837</v>
      </c>
    </row>
    <row r="49" spans="1:10">
      <c r="A49" t="s">
        <v>12837</v>
      </c>
      <c r="B49" t="s">
        <v>10914</v>
      </c>
      <c r="C49" t="s">
        <v>12354</v>
      </c>
      <c r="D49" t="s">
        <v>12354</v>
      </c>
      <c r="E49" t="s">
        <v>12354</v>
      </c>
      <c r="F49" t="s">
        <v>12354</v>
      </c>
      <c r="G49" t="s">
        <v>12354</v>
      </c>
      <c r="I49" t="s">
        <v>11046</v>
      </c>
      <c r="J49" t="s">
        <v>12838</v>
      </c>
    </row>
    <row r="50" spans="1:10">
      <c r="A50" t="s">
        <v>12838</v>
      </c>
      <c r="B50" t="s">
        <v>10915</v>
      </c>
      <c r="C50" t="s">
        <v>12354</v>
      </c>
      <c r="D50" t="s">
        <v>12354</v>
      </c>
      <c r="E50" t="s">
        <v>12354</v>
      </c>
      <c r="F50" t="s">
        <v>12354</v>
      </c>
      <c r="G50" t="s">
        <v>12354</v>
      </c>
      <c r="I50" t="s">
        <v>11047</v>
      </c>
      <c r="J50" t="s">
        <v>12839</v>
      </c>
    </row>
    <row r="51" spans="1:10">
      <c r="A51" t="s">
        <v>12839</v>
      </c>
      <c r="B51" t="s">
        <v>10916</v>
      </c>
      <c r="C51" t="s">
        <v>12354</v>
      </c>
      <c r="D51" t="s">
        <v>12354</v>
      </c>
      <c r="E51" t="s">
        <v>12354</v>
      </c>
      <c r="F51" t="s">
        <v>12354</v>
      </c>
      <c r="G51" t="s">
        <v>12354</v>
      </c>
      <c r="I51" t="s">
        <v>11048</v>
      </c>
      <c r="J51" t="s">
        <v>12840</v>
      </c>
    </row>
    <row r="52" spans="1:10">
      <c r="A52" t="s">
        <v>12840</v>
      </c>
      <c r="B52" t="s">
        <v>10917</v>
      </c>
      <c r="C52" t="s">
        <v>12354</v>
      </c>
      <c r="D52" t="s">
        <v>12354</v>
      </c>
      <c r="E52" t="s">
        <v>12354</v>
      </c>
      <c r="F52" t="s">
        <v>12354</v>
      </c>
      <c r="G52" t="s">
        <v>12354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D20F0-E3C9-456A-80F3-8C01130D4286}">
  <dimension ref="A1:A3"/>
  <sheetViews>
    <sheetView workbookViewId="0"/>
  </sheetViews>
  <sheetFormatPr defaultRowHeight="15"/>
  <sheetData>
    <row r="1" spans="1:1">
      <c r="A1" s="45" t="s">
        <v>12389</v>
      </c>
    </row>
    <row r="2" spans="1:1">
      <c r="A2" s="45" t="s">
        <v>12405</v>
      </c>
    </row>
    <row r="3" spans="1:1">
      <c r="A3" s="45" t="s">
        <v>12565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72C39-13CE-478F-A8F8-4D2EC6A0A426}">
  <dimension ref="A1:M232"/>
  <sheetViews>
    <sheetView workbookViewId="0">
      <selection activeCell="L1" sqref="L1:M5"/>
    </sheetView>
  </sheetViews>
  <sheetFormatPr defaultRowHeight="15"/>
  <cols>
    <col min="1" max="1" width="12.28515625" bestFit="1" customWidth="1"/>
    <col min="2" max="2" width="44.28515625" bestFit="1" customWidth="1"/>
    <col min="3" max="7" width="2.140625" bestFit="1" customWidth="1"/>
    <col min="9" max="9" width="11.28515625" bestFit="1" customWidth="1"/>
    <col min="10" max="10" width="12.28515625" bestFit="1" customWidth="1"/>
    <col min="12" max="12" width="11.42578125" bestFit="1" customWidth="1"/>
    <col min="13" max="13" width="11.28515625" bestFit="1" customWidth="1"/>
  </cols>
  <sheetData>
    <row r="1" spans="1:13">
      <c r="A1">
        <v>1000</v>
      </c>
      <c r="I1">
        <v>1000</v>
      </c>
      <c r="J1" t="s">
        <v>12353</v>
      </c>
      <c r="L1">
        <v>1000</v>
      </c>
      <c r="M1" t="s">
        <v>12353</v>
      </c>
    </row>
    <row r="2" spans="1:13">
      <c r="A2" t="s">
        <v>724</v>
      </c>
      <c r="B2" t="s">
        <v>12365</v>
      </c>
      <c r="C2" t="s">
        <v>12354</v>
      </c>
      <c r="D2" t="s">
        <v>12354</v>
      </c>
      <c r="E2" t="s">
        <v>12354</v>
      </c>
      <c r="F2" t="s">
        <v>12354</v>
      </c>
      <c r="G2" t="s">
        <v>12354</v>
      </c>
      <c r="I2" t="s">
        <v>1129</v>
      </c>
      <c r="J2" t="s">
        <v>12579</v>
      </c>
      <c r="L2" t="s">
        <v>3827</v>
      </c>
      <c r="M2" t="s">
        <v>6271</v>
      </c>
    </row>
    <row r="3" spans="1:13">
      <c r="A3" t="s">
        <v>726</v>
      </c>
      <c r="B3" t="s">
        <v>12366</v>
      </c>
      <c r="C3" t="s">
        <v>12354</v>
      </c>
      <c r="D3" t="s">
        <v>12354</v>
      </c>
      <c r="E3" t="s">
        <v>12354</v>
      </c>
      <c r="F3" t="s">
        <v>12354</v>
      </c>
      <c r="G3" t="s">
        <v>12354</v>
      </c>
      <c r="I3" t="s">
        <v>12579</v>
      </c>
      <c r="J3" t="s">
        <v>12580</v>
      </c>
      <c r="L3" t="s">
        <v>8133</v>
      </c>
      <c r="M3" t="s">
        <v>12137</v>
      </c>
    </row>
    <row r="4" spans="1:13">
      <c r="A4" t="s">
        <v>728</v>
      </c>
      <c r="B4" t="s">
        <v>12367</v>
      </c>
      <c r="C4" t="s">
        <v>12354</v>
      </c>
      <c r="D4" t="s">
        <v>12354</v>
      </c>
      <c r="E4" t="s">
        <v>12354</v>
      </c>
      <c r="F4" t="s">
        <v>12354</v>
      </c>
      <c r="G4" t="s">
        <v>12354</v>
      </c>
      <c r="I4" t="s">
        <v>12579</v>
      </c>
      <c r="J4" t="s">
        <v>12581</v>
      </c>
      <c r="L4" t="s">
        <v>8133</v>
      </c>
      <c r="M4" t="s">
        <v>12138</v>
      </c>
    </row>
    <row r="5" spans="1:13">
      <c r="A5" t="s">
        <v>730</v>
      </c>
      <c r="B5" t="s">
        <v>12368</v>
      </c>
      <c r="C5" t="s">
        <v>12354</v>
      </c>
      <c r="D5" t="s">
        <v>12354</v>
      </c>
      <c r="E5" t="s">
        <v>12354</v>
      </c>
      <c r="F5" t="s">
        <v>12354</v>
      </c>
      <c r="G5" t="s">
        <v>12354</v>
      </c>
      <c r="I5" t="s">
        <v>12579</v>
      </c>
      <c r="J5" t="s">
        <v>12582</v>
      </c>
      <c r="L5" t="s">
        <v>275</v>
      </c>
      <c r="M5" t="s">
        <v>12352</v>
      </c>
    </row>
    <row r="6" spans="1:13">
      <c r="A6" t="s">
        <v>756</v>
      </c>
      <c r="B6" t="s">
        <v>12369</v>
      </c>
      <c r="C6" t="s">
        <v>12354</v>
      </c>
      <c r="D6" t="s">
        <v>12354</v>
      </c>
      <c r="E6" t="s">
        <v>12354</v>
      </c>
      <c r="F6" t="s">
        <v>12354</v>
      </c>
      <c r="G6" t="s">
        <v>12354</v>
      </c>
      <c r="I6" t="s">
        <v>12579</v>
      </c>
      <c r="J6" t="s">
        <v>12583</v>
      </c>
    </row>
    <row r="7" spans="1:13">
      <c r="A7" t="s">
        <v>762</v>
      </c>
      <c r="B7" t="s">
        <v>12370</v>
      </c>
      <c r="C7" t="s">
        <v>12354</v>
      </c>
      <c r="D7" t="s">
        <v>12354</v>
      </c>
      <c r="E7" t="s">
        <v>12354</v>
      </c>
      <c r="F7" t="s">
        <v>12354</v>
      </c>
      <c r="G7" t="s">
        <v>12354</v>
      </c>
      <c r="I7" t="s">
        <v>12579</v>
      </c>
      <c r="J7" t="s">
        <v>12584</v>
      </c>
    </row>
    <row r="8" spans="1:13">
      <c r="A8" t="s">
        <v>770</v>
      </c>
      <c r="B8" t="s">
        <v>12371</v>
      </c>
      <c r="C8" t="s">
        <v>12354</v>
      </c>
      <c r="D8" t="s">
        <v>12354</v>
      </c>
      <c r="E8" t="s">
        <v>12354</v>
      </c>
      <c r="F8" t="s">
        <v>12354</v>
      </c>
      <c r="G8" t="s">
        <v>12354</v>
      </c>
      <c r="I8" t="s">
        <v>12580</v>
      </c>
      <c r="J8" t="s">
        <v>12585</v>
      </c>
    </row>
    <row r="9" spans="1:13">
      <c r="A9" t="s">
        <v>776</v>
      </c>
      <c r="B9" t="s">
        <v>12372</v>
      </c>
      <c r="C9" t="s">
        <v>12354</v>
      </c>
      <c r="D9" t="s">
        <v>12354</v>
      </c>
      <c r="E9" t="s">
        <v>12354</v>
      </c>
      <c r="F9" t="s">
        <v>12354</v>
      </c>
      <c r="G9" t="s">
        <v>12354</v>
      </c>
      <c r="I9" t="s">
        <v>12581</v>
      </c>
      <c r="J9" t="s">
        <v>12586</v>
      </c>
    </row>
    <row r="10" spans="1:13">
      <c r="A10" t="s">
        <v>784</v>
      </c>
      <c r="B10" t="s">
        <v>12373</v>
      </c>
      <c r="C10" t="s">
        <v>12354</v>
      </c>
      <c r="D10" t="s">
        <v>12354</v>
      </c>
      <c r="E10" t="s">
        <v>12354</v>
      </c>
      <c r="F10" t="s">
        <v>12354</v>
      </c>
      <c r="G10" t="s">
        <v>12354</v>
      </c>
      <c r="I10" t="s">
        <v>12581</v>
      </c>
      <c r="J10" t="s">
        <v>12587</v>
      </c>
    </row>
    <row r="11" spans="1:13">
      <c r="A11" t="s">
        <v>796</v>
      </c>
      <c r="B11" t="s">
        <v>12374</v>
      </c>
      <c r="C11" t="s">
        <v>12354</v>
      </c>
      <c r="D11" t="s">
        <v>12354</v>
      </c>
      <c r="E11" t="s">
        <v>12354</v>
      </c>
      <c r="F11" t="s">
        <v>12354</v>
      </c>
      <c r="G11" t="s">
        <v>12354</v>
      </c>
      <c r="I11" t="s">
        <v>12581</v>
      </c>
      <c r="J11" t="s">
        <v>12588</v>
      </c>
    </row>
    <row r="12" spans="1:13">
      <c r="A12" t="s">
        <v>798</v>
      </c>
      <c r="B12" t="s">
        <v>12375</v>
      </c>
      <c r="C12" t="s">
        <v>12354</v>
      </c>
      <c r="D12" t="s">
        <v>12354</v>
      </c>
      <c r="E12" t="s">
        <v>12354</v>
      </c>
      <c r="F12" t="s">
        <v>12354</v>
      </c>
      <c r="G12" t="s">
        <v>12354</v>
      </c>
      <c r="I12" t="s">
        <v>12582</v>
      </c>
      <c r="J12" t="s">
        <v>12589</v>
      </c>
    </row>
    <row r="13" spans="1:13">
      <c r="A13" t="s">
        <v>802</v>
      </c>
      <c r="B13" t="s">
        <v>12376</v>
      </c>
      <c r="C13" t="s">
        <v>12354</v>
      </c>
      <c r="D13" t="s">
        <v>12354</v>
      </c>
      <c r="E13" t="s">
        <v>12354</v>
      </c>
      <c r="F13" t="s">
        <v>12354</v>
      </c>
      <c r="G13" t="s">
        <v>12354</v>
      </c>
      <c r="I13" t="s">
        <v>12582</v>
      </c>
      <c r="J13" t="s">
        <v>12590</v>
      </c>
    </row>
    <row r="14" spans="1:13">
      <c r="A14" t="s">
        <v>806</v>
      </c>
      <c r="B14" t="s">
        <v>12377</v>
      </c>
      <c r="C14" t="s">
        <v>12354</v>
      </c>
      <c r="D14" t="s">
        <v>12354</v>
      </c>
      <c r="E14" t="s">
        <v>12354</v>
      </c>
      <c r="F14" t="s">
        <v>12354</v>
      </c>
      <c r="G14" t="s">
        <v>12354</v>
      </c>
      <c r="I14" t="s">
        <v>12583</v>
      </c>
      <c r="J14" t="s">
        <v>12591</v>
      </c>
    </row>
    <row r="15" spans="1:13">
      <c r="A15" t="s">
        <v>12356</v>
      </c>
      <c r="B15" t="s">
        <v>12378</v>
      </c>
      <c r="C15" t="s">
        <v>12354</v>
      </c>
      <c r="D15" t="s">
        <v>12354</v>
      </c>
      <c r="E15" t="s">
        <v>12354</v>
      </c>
      <c r="F15" t="s">
        <v>12354</v>
      </c>
      <c r="G15" t="s">
        <v>12354</v>
      </c>
      <c r="I15" t="s">
        <v>12583</v>
      </c>
      <c r="J15" t="s">
        <v>12592</v>
      </c>
    </row>
    <row r="16" spans="1:13">
      <c r="A16" t="s">
        <v>12357</v>
      </c>
      <c r="B16" t="s">
        <v>12379</v>
      </c>
      <c r="C16" t="s">
        <v>12354</v>
      </c>
      <c r="D16" t="s">
        <v>12354</v>
      </c>
      <c r="E16" t="s">
        <v>12354</v>
      </c>
      <c r="F16" t="s">
        <v>12354</v>
      </c>
      <c r="G16" t="s">
        <v>12354</v>
      </c>
      <c r="I16" t="s">
        <v>12585</v>
      </c>
      <c r="J16" t="s">
        <v>12593</v>
      </c>
    </row>
    <row r="17" spans="1:10">
      <c r="A17" t="s">
        <v>12358</v>
      </c>
      <c r="B17" t="s">
        <v>12380</v>
      </c>
      <c r="C17" t="s">
        <v>12354</v>
      </c>
      <c r="D17" t="s">
        <v>12354</v>
      </c>
      <c r="E17" t="s">
        <v>12354</v>
      </c>
      <c r="F17" t="s">
        <v>12354</v>
      </c>
      <c r="G17" t="s">
        <v>12354</v>
      </c>
      <c r="I17" t="s">
        <v>12593</v>
      </c>
      <c r="J17" t="s">
        <v>12594</v>
      </c>
    </row>
    <row r="18" spans="1:10">
      <c r="A18" t="s">
        <v>6271</v>
      </c>
      <c r="B18" t="s">
        <v>12351</v>
      </c>
      <c r="C18" t="s">
        <v>12354</v>
      </c>
      <c r="D18" t="s">
        <v>12354</v>
      </c>
      <c r="E18" t="s">
        <v>12354</v>
      </c>
      <c r="F18" t="s">
        <v>12354</v>
      </c>
      <c r="G18" t="s">
        <v>12354</v>
      </c>
      <c r="I18" t="s">
        <v>12593</v>
      </c>
      <c r="J18" t="s">
        <v>12595</v>
      </c>
    </row>
    <row r="19" spans="1:10">
      <c r="A19" t="s">
        <v>12579</v>
      </c>
      <c r="B19" t="s">
        <v>12407</v>
      </c>
      <c r="C19" t="s">
        <v>12354</v>
      </c>
      <c r="D19" t="s">
        <v>12354</v>
      </c>
      <c r="E19" t="s">
        <v>12354</v>
      </c>
      <c r="F19" t="s">
        <v>12354</v>
      </c>
      <c r="G19" t="s">
        <v>12354</v>
      </c>
      <c r="I19" t="s">
        <v>12593</v>
      </c>
      <c r="J19" t="s">
        <v>12596</v>
      </c>
    </row>
    <row r="20" spans="1:10">
      <c r="A20" t="s">
        <v>12580</v>
      </c>
      <c r="B20" t="s">
        <v>12408</v>
      </c>
      <c r="C20" t="s">
        <v>12354</v>
      </c>
      <c r="D20" t="s">
        <v>12354</v>
      </c>
      <c r="E20" t="s">
        <v>12354</v>
      </c>
      <c r="F20" t="s">
        <v>12354</v>
      </c>
      <c r="G20" t="s">
        <v>12354</v>
      </c>
      <c r="I20" t="s">
        <v>12593</v>
      </c>
      <c r="J20" t="s">
        <v>12597</v>
      </c>
    </row>
    <row r="21" spans="1:10">
      <c r="A21" t="s">
        <v>12581</v>
      </c>
      <c r="B21" t="s">
        <v>12409</v>
      </c>
      <c r="C21" t="s">
        <v>12354</v>
      </c>
      <c r="D21" t="s">
        <v>12354</v>
      </c>
      <c r="E21" t="s">
        <v>12354</v>
      </c>
      <c r="F21" t="s">
        <v>12354</v>
      </c>
      <c r="G21" t="s">
        <v>12354</v>
      </c>
      <c r="I21" t="s">
        <v>1129</v>
      </c>
      <c r="J21" t="s">
        <v>12598</v>
      </c>
    </row>
    <row r="22" spans="1:10">
      <c r="A22" t="s">
        <v>12582</v>
      </c>
      <c r="B22" t="s">
        <v>12410</v>
      </c>
      <c r="C22" t="s">
        <v>12354</v>
      </c>
      <c r="D22" t="s">
        <v>12354</v>
      </c>
      <c r="E22" t="s">
        <v>12354</v>
      </c>
      <c r="F22" t="s">
        <v>12354</v>
      </c>
      <c r="G22" t="s">
        <v>12354</v>
      </c>
      <c r="I22" t="s">
        <v>1127</v>
      </c>
      <c r="J22" t="s">
        <v>12599</v>
      </c>
    </row>
    <row r="23" spans="1:10">
      <c r="A23" t="s">
        <v>12583</v>
      </c>
      <c r="B23" t="s">
        <v>12411</v>
      </c>
      <c r="C23" t="s">
        <v>12354</v>
      </c>
      <c r="D23" t="s">
        <v>12354</v>
      </c>
      <c r="E23" t="s">
        <v>12354</v>
      </c>
      <c r="F23" t="s">
        <v>12354</v>
      </c>
      <c r="G23" t="s">
        <v>12354</v>
      </c>
      <c r="I23" t="s">
        <v>12599</v>
      </c>
      <c r="J23" t="s">
        <v>12600</v>
      </c>
    </row>
    <row r="24" spans="1:10">
      <c r="A24" t="s">
        <v>12584</v>
      </c>
      <c r="B24" t="s">
        <v>12412</v>
      </c>
      <c r="C24" t="s">
        <v>12354</v>
      </c>
      <c r="D24" t="s">
        <v>12354</v>
      </c>
      <c r="E24" t="s">
        <v>12354</v>
      </c>
      <c r="F24" t="s">
        <v>12354</v>
      </c>
      <c r="G24" t="s">
        <v>12354</v>
      </c>
      <c r="I24" t="s">
        <v>12599</v>
      </c>
      <c r="J24" t="s">
        <v>12601</v>
      </c>
    </row>
    <row r="25" spans="1:10">
      <c r="A25" t="s">
        <v>12585</v>
      </c>
      <c r="B25" t="s">
        <v>12413</v>
      </c>
      <c r="C25" t="s">
        <v>12354</v>
      </c>
      <c r="D25" t="s">
        <v>12354</v>
      </c>
      <c r="E25" t="s">
        <v>12354</v>
      </c>
      <c r="F25" t="s">
        <v>12354</v>
      </c>
      <c r="G25" t="s">
        <v>12354</v>
      </c>
      <c r="I25" t="s">
        <v>12599</v>
      </c>
      <c r="J25" t="s">
        <v>12602</v>
      </c>
    </row>
    <row r="26" spans="1:10">
      <c r="A26" t="s">
        <v>12586</v>
      </c>
      <c r="B26" t="s">
        <v>12414</v>
      </c>
      <c r="C26" t="s">
        <v>12354</v>
      </c>
      <c r="D26" t="s">
        <v>12354</v>
      </c>
      <c r="E26" t="s">
        <v>12354</v>
      </c>
      <c r="F26" t="s">
        <v>12354</v>
      </c>
      <c r="G26" t="s">
        <v>12354</v>
      </c>
      <c r="I26" t="s">
        <v>12599</v>
      </c>
      <c r="J26" t="s">
        <v>12603</v>
      </c>
    </row>
    <row r="27" spans="1:10">
      <c r="A27" t="s">
        <v>12587</v>
      </c>
      <c r="B27" t="s">
        <v>12415</v>
      </c>
      <c r="C27" t="s">
        <v>12354</v>
      </c>
      <c r="D27" t="s">
        <v>12354</v>
      </c>
      <c r="E27" t="s">
        <v>12354</v>
      </c>
      <c r="F27" t="s">
        <v>12354</v>
      </c>
      <c r="G27" t="s">
        <v>12354</v>
      </c>
      <c r="I27" t="s">
        <v>12599</v>
      </c>
      <c r="J27" t="s">
        <v>12604</v>
      </c>
    </row>
    <row r="28" spans="1:10">
      <c r="A28" t="s">
        <v>12588</v>
      </c>
      <c r="B28" t="s">
        <v>12416</v>
      </c>
      <c r="C28" t="s">
        <v>12354</v>
      </c>
      <c r="D28" t="s">
        <v>12354</v>
      </c>
      <c r="E28" t="s">
        <v>12354</v>
      </c>
      <c r="F28" t="s">
        <v>12354</v>
      </c>
      <c r="G28" t="s">
        <v>12354</v>
      </c>
      <c r="I28" t="s">
        <v>12600</v>
      </c>
      <c r="J28" t="s">
        <v>12605</v>
      </c>
    </row>
    <row r="29" spans="1:10">
      <c r="A29" t="s">
        <v>12589</v>
      </c>
      <c r="B29" t="s">
        <v>12417</v>
      </c>
      <c r="C29" t="s">
        <v>12354</v>
      </c>
      <c r="D29" t="s">
        <v>12354</v>
      </c>
      <c r="E29" t="s">
        <v>12354</v>
      </c>
      <c r="F29" t="s">
        <v>12354</v>
      </c>
      <c r="G29" t="s">
        <v>12354</v>
      </c>
      <c r="I29" t="s">
        <v>12600</v>
      </c>
      <c r="J29" t="s">
        <v>12606</v>
      </c>
    </row>
    <row r="30" spans="1:10">
      <c r="A30" t="s">
        <v>12590</v>
      </c>
      <c r="B30" t="s">
        <v>12418</v>
      </c>
      <c r="C30" t="s">
        <v>12354</v>
      </c>
      <c r="D30" t="s">
        <v>12354</v>
      </c>
      <c r="E30" t="s">
        <v>12354</v>
      </c>
      <c r="F30" t="s">
        <v>12354</v>
      </c>
      <c r="G30" t="s">
        <v>12354</v>
      </c>
      <c r="I30" t="s">
        <v>12601</v>
      </c>
      <c r="J30" t="s">
        <v>12607</v>
      </c>
    </row>
    <row r="31" spans="1:10">
      <c r="A31" t="s">
        <v>12591</v>
      </c>
      <c r="B31" t="s">
        <v>12419</v>
      </c>
      <c r="C31" t="s">
        <v>12354</v>
      </c>
      <c r="D31" t="s">
        <v>12354</v>
      </c>
      <c r="E31" t="s">
        <v>12354</v>
      </c>
      <c r="F31" t="s">
        <v>12354</v>
      </c>
      <c r="G31" t="s">
        <v>12354</v>
      </c>
      <c r="I31" t="s">
        <v>12601</v>
      </c>
      <c r="J31" t="s">
        <v>12608</v>
      </c>
    </row>
    <row r="32" spans="1:10">
      <c r="A32" t="s">
        <v>12592</v>
      </c>
      <c r="B32" t="s">
        <v>12420</v>
      </c>
      <c r="C32" t="s">
        <v>12354</v>
      </c>
      <c r="D32" t="s">
        <v>12354</v>
      </c>
      <c r="E32" t="s">
        <v>12354</v>
      </c>
      <c r="F32" t="s">
        <v>12354</v>
      </c>
      <c r="G32" t="s">
        <v>12354</v>
      </c>
      <c r="I32" t="s">
        <v>12601</v>
      </c>
      <c r="J32" t="s">
        <v>12609</v>
      </c>
    </row>
    <row r="33" spans="1:10">
      <c r="A33" t="s">
        <v>12593</v>
      </c>
      <c r="B33" t="s">
        <v>12421</v>
      </c>
      <c r="C33" t="s">
        <v>12354</v>
      </c>
      <c r="D33" t="s">
        <v>12354</v>
      </c>
      <c r="E33" t="s">
        <v>12354</v>
      </c>
      <c r="F33" t="s">
        <v>12354</v>
      </c>
      <c r="G33" t="s">
        <v>12354</v>
      </c>
      <c r="I33" t="s">
        <v>12602</v>
      </c>
      <c r="J33" t="s">
        <v>12610</v>
      </c>
    </row>
    <row r="34" spans="1:10">
      <c r="A34" t="s">
        <v>12594</v>
      </c>
      <c r="B34" t="s">
        <v>12422</v>
      </c>
      <c r="C34" t="s">
        <v>12354</v>
      </c>
      <c r="D34" t="s">
        <v>12354</v>
      </c>
      <c r="E34" t="s">
        <v>12354</v>
      </c>
      <c r="F34" t="s">
        <v>12354</v>
      </c>
      <c r="G34" t="s">
        <v>12354</v>
      </c>
      <c r="I34" t="s">
        <v>12602</v>
      </c>
      <c r="J34" t="s">
        <v>12611</v>
      </c>
    </row>
    <row r="35" spans="1:10">
      <c r="A35" t="s">
        <v>12595</v>
      </c>
      <c r="B35" t="s">
        <v>12423</v>
      </c>
      <c r="C35" t="s">
        <v>12354</v>
      </c>
      <c r="D35" t="s">
        <v>12354</v>
      </c>
      <c r="E35" t="s">
        <v>12354</v>
      </c>
      <c r="F35" t="s">
        <v>12354</v>
      </c>
      <c r="G35" t="s">
        <v>12354</v>
      </c>
      <c r="I35" t="s">
        <v>12602</v>
      </c>
      <c r="J35" t="s">
        <v>12612</v>
      </c>
    </row>
    <row r="36" spans="1:10">
      <c r="A36" t="s">
        <v>12596</v>
      </c>
      <c r="B36" t="s">
        <v>12424</v>
      </c>
      <c r="C36" t="s">
        <v>12354</v>
      </c>
      <c r="D36" t="s">
        <v>12354</v>
      </c>
      <c r="E36" t="s">
        <v>12354</v>
      </c>
      <c r="F36" t="s">
        <v>12354</v>
      </c>
      <c r="G36" t="s">
        <v>12354</v>
      </c>
      <c r="I36" t="s">
        <v>12603</v>
      </c>
      <c r="J36" t="s">
        <v>12613</v>
      </c>
    </row>
    <row r="37" spans="1:10">
      <c r="A37" t="s">
        <v>12597</v>
      </c>
      <c r="B37" t="s">
        <v>12425</v>
      </c>
      <c r="C37" t="s">
        <v>12354</v>
      </c>
      <c r="D37" t="s">
        <v>12354</v>
      </c>
      <c r="E37" t="s">
        <v>12354</v>
      </c>
      <c r="F37" t="s">
        <v>12354</v>
      </c>
      <c r="G37" t="s">
        <v>12354</v>
      </c>
      <c r="I37" t="s">
        <v>12603</v>
      </c>
      <c r="J37" t="s">
        <v>12614</v>
      </c>
    </row>
    <row r="38" spans="1:10">
      <c r="A38" t="s">
        <v>12598</v>
      </c>
      <c r="B38" t="s">
        <v>12426</v>
      </c>
      <c r="C38" t="s">
        <v>12354</v>
      </c>
      <c r="D38" t="s">
        <v>12354</v>
      </c>
      <c r="E38" t="s">
        <v>12354</v>
      </c>
      <c r="F38" t="s">
        <v>12354</v>
      </c>
      <c r="G38" t="s">
        <v>12354</v>
      </c>
      <c r="I38" t="s">
        <v>12605</v>
      </c>
      <c r="J38" t="s">
        <v>12615</v>
      </c>
    </row>
    <row r="39" spans="1:10">
      <c r="A39" t="s">
        <v>12599</v>
      </c>
      <c r="B39" t="s">
        <v>12427</v>
      </c>
      <c r="C39" t="s">
        <v>12354</v>
      </c>
      <c r="D39" t="s">
        <v>12354</v>
      </c>
      <c r="E39" t="s">
        <v>12354</v>
      </c>
      <c r="F39" t="s">
        <v>12354</v>
      </c>
      <c r="G39" t="s">
        <v>12354</v>
      </c>
      <c r="I39" t="s">
        <v>12605</v>
      </c>
      <c r="J39" t="s">
        <v>12616</v>
      </c>
    </row>
    <row r="40" spans="1:10">
      <c r="A40" t="s">
        <v>12600</v>
      </c>
      <c r="B40" t="s">
        <v>12428</v>
      </c>
      <c r="C40" t="s">
        <v>12354</v>
      </c>
      <c r="D40" t="s">
        <v>12354</v>
      </c>
      <c r="E40" t="s">
        <v>12354</v>
      </c>
      <c r="F40" t="s">
        <v>12354</v>
      </c>
      <c r="G40" t="s">
        <v>12354</v>
      </c>
      <c r="I40" t="s">
        <v>12606</v>
      </c>
      <c r="J40" t="s">
        <v>12617</v>
      </c>
    </row>
    <row r="41" spans="1:10">
      <c r="A41" t="s">
        <v>12601</v>
      </c>
      <c r="B41" t="s">
        <v>12429</v>
      </c>
      <c r="C41" t="s">
        <v>12354</v>
      </c>
      <c r="D41" t="s">
        <v>12354</v>
      </c>
      <c r="E41" t="s">
        <v>12354</v>
      </c>
      <c r="F41" t="s">
        <v>12354</v>
      </c>
      <c r="G41" t="s">
        <v>12354</v>
      </c>
      <c r="I41" t="s">
        <v>12615</v>
      </c>
      <c r="J41" t="s">
        <v>12618</v>
      </c>
    </row>
    <row r="42" spans="1:10">
      <c r="A42" t="s">
        <v>12602</v>
      </c>
      <c r="B42" t="s">
        <v>12430</v>
      </c>
      <c r="C42" t="s">
        <v>12354</v>
      </c>
      <c r="D42" t="s">
        <v>12354</v>
      </c>
      <c r="E42" t="s">
        <v>12354</v>
      </c>
      <c r="F42" t="s">
        <v>12354</v>
      </c>
      <c r="G42" t="s">
        <v>12354</v>
      </c>
      <c r="I42" t="s">
        <v>12615</v>
      </c>
      <c r="J42" t="s">
        <v>12619</v>
      </c>
    </row>
    <row r="43" spans="1:10">
      <c r="A43" t="s">
        <v>12603</v>
      </c>
      <c r="B43" t="s">
        <v>12431</v>
      </c>
      <c r="C43" t="s">
        <v>12354</v>
      </c>
      <c r="D43" t="s">
        <v>12354</v>
      </c>
      <c r="E43" t="s">
        <v>12354</v>
      </c>
      <c r="F43" t="s">
        <v>12354</v>
      </c>
      <c r="G43" t="s">
        <v>12354</v>
      </c>
      <c r="I43" t="s">
        <v>12615</v>
      </c>
      <c r="J43" t="s">
        <v>12620</v>
      </c>
    </row>
    <row r="44" spans="1:10">
      <c r="A44" t="s">
        <v>12604</v>
      </c>
      <c r="B44" t="s">
        <v>12432</v>
      </c>
      <c r="C44" t="s">
        <v>12354</v>
      </c>
      <c r="D44" t="s">
        <v>12354</v>
      </c>
      <c r="E44" t="s">
        <v>12354</v>
      </c>
      <c r="F44" t="s">
        <v>12354</v>
      </c>
      <c r="G44" t="s">
        <v>12354</v>
      </c>
      <c r="I44" t="s">
        <v>12615</v>
      </c>
      <c r="J44" t="s">
        <v>12621</v>
      </c>
    </row>
    <row r="45" spans="1:10">
      <c r="A45" t="s">
        <v>12605</v>
      </c>
      <c r="B45" t="s">
        <v>12433</v>
      </c>
      <c r="C45" t="s">
        <v>12354</v>
      </c>
      <c r="D45" t="s">
        <v>12354</v>
      </c>
      <c r="E45" t="s">
        <v>12354</v>
      </c>
      <c r="F45" t="s">
        <v>12354</v>
      </c>
      <c r="G45" t="s">
        <v>12354</v>
      </c>
      <c r="I45" t="s">
        <v>12616</v>
      </c>
      <c r="J45" t="s">
        <v>12622</v>
      </c>
    </row>
    <row r="46" spans="1:10">
      <c r="A46" t="s">
        <v>12606</v>
      </c>
      <c r="B46" t="s">
        <v>12434</v>
      </c>
      <c r="C46" t="s">
        <v>12354</v>
      </c>
      <c r="D46" t="s">
        <v>12354</v>
      </c>
      <c r="E46" t="s">
        <v>12354</v>
      </c>
      <c r="F46" t="s">
        <v>12354</v>
      </c>
      <c r="G46" t="s">
        <v>12354</v>
      </c>
      <c r="I46" t="s">
        <v>12616</v>
      </c>
      <c r="J46" t="s">
        <v>12623</v>
      </c>
    </row>
    <row r="47" spans="1:10">
      <c r="A47" t="s">
        <v>12607</v>
      </c>
      <c r="B47" t="s">
        <v>12435</v>
      </c>
      <c r="C47" t="s">
        <v>12354</v>
      </c>
      <c r="D47" t="s">
        <v>12354</v>
      </c>
      <c r="E47" t="s">
        <v>12354</v>
      </c>
      <c r="F47" t="s">
        <v>12354</v>
      </c>
      <c r="G47" t="s">
        <v>12354</v>
      </c>
      <c r="I47" t="s">
        <v>12616</v>
      </c>
      <c r="J47" t="s">
        <v>12624</v>
      </c>
    </row>
    <row r="48" spans="1:10">
      <c r="A48" t="s">
        <v>12608</v>
      </c>
      <c r="B48" t="s">
        <v>12436</v>
      </c>
      <c r="C48" t="s">
        <v>12354</v>
      </c>
      <c r="D48" t="s">
        <v>12354</v>
      </c>
      <c r="E48" t="s">
        <v>12354</v>
      </c>
      <c r="F48" t="s">
        <v>12354</v>
      </c>
      <c r="G48" t="s">
        <v>12354</v>
      </c>
      <c r="I48" t="s">
        <v>12616</v>
      </c>
      <c r="J48" t="s">
        <v>12625</v>
      </c>
    </row>
    <row r="49" spans="1:10">
      <c r="A49" t="s">
        <v>12609</v>
      </c>
      <c r="B49" t="s">
        <v>12437</v>
      </c>
      <c r="C49" t="s">
        <v>12354</v>
      </c>
      <c r="D49" t="s">
        <v>12354</v>
      </c>
      <c r="E49" t="s">
        <v>12354</v>
      </c>
      <c r="F49" t="s">
        <v>12354</v>
      </c>
      <c r="G49" t="s">
        <v>12354</v>
      </c>
      <c r="I49" t="s">
        <v>12617</v>
      </c>
      <c r="J49" t="s">
        <v>12626</v>
      </c>
    </row>
    <row r="50" spans="1:10">
      <c r="A50" t="s">
        <v>12610</v>
      </c>
      <c r="B50" t="s">
        <v>12438</v>
      </c>
      <c r="C50" t="s">
        <v>12354</v>
      </c>
      <c r="D50" t="s">
        <v>12354</v>
      </c>
      <c r="E50" t="s">
        <v>12354</v>
      </c>
      <c r="F50" t="s">
        <v>12354</v>
      </c>
      <c r="G50" t="s">
        <v>12354</v>
      </c>
      <c r="I50" t="s">
        <v>12617</v>
      </c>
      <c r="J50" t="s">
        <v>12627</v>
      </c>
    </row>
    <row r="51" spans="1:10">
      <c r="A51" t="s">
        <v>12611</v>
      </c>
      <c r="B51" t="s">
        <v>12439</v>
      </c>
      <c r="C51" t="s">
        <v>12354</v>
      </c>
      <c r="D51" t="s">
        <v>12354</v>
      </c>
      <c r="E51" t="s">
        <v>12354</v>
      </c>
      <c r="F51" t="s">
        <v>12354</v>
      </c>
      <c r="G51" t="s">
        <v>12354</v>
      </c>
      <c r="I51" t="s">
        <v>12617</v>
      </c>
      <c r="J51" t="s">
        <v>12628</v>
      </c>
    </row>
    <row r="52" spans="1:10">
      <c r="A52" t="s">
        <v>12612</v>
      </c>
      <c r="B52" t="s">
        <v>12440</v>
      </c>
      <c r="C52" t="s">
        <v>12354</v>
      </c>
      <c r="D52" t="s">
        <v>12354</v>
      </c>
      <c r="E52" t="s">
        <v>12354</v>
      </c>
      <c r="F52" t="s">
        <v>12354</v>
      </c>
      <c r="G52" t="s">
        <v>12354</v>
      </c>
      <c r="I52" t="s">
        <v>12617</v>
      </c>
      <c r="J52" t="s">
        <v>12629</v>
      </c>
    </row>
    <row r="53" spans="1:10">
      <c r="A53" t="s">
        <v>12613</v>
      </c>
      <c r="B53" t="s">
        <v>12441</v>
      </c>
      <c r="C53" t="s">
        <v>12354</v>
      </c>
      <c r="D53" t="s">
        <v>12354</v>
      </c>
      <c r="E53" t="s">
        <v>12354</v>
      </c>
      <c r="F53" t="s">
        <v>12354</v>
      </c>
      <c r="G53" t="s">
        <v>12354</v>
      </c>
      <c r="I53" t="s">
        <v>1127</v>
      </c>
      <c r="J53" t="s">
        <v>12630</v>
      </c>
    </row>
    <row r="54" spans="1:10">
      <c r="A54" t="s">
        <v>12614</v>
      </c>
      <c r="B54" t="s">
        <v>12442</v>
      </c>
      <c r="C54" t="s">
        <v>12354</v>
      </c>
      <c r="D54" t="s">
        <v>12354</v>
      </c>
      <c r="E54" t="s">
        <v>12354</v>
      </c>
      <c r="F54" t="s">
        <v>12354</v>
      </c>
      <c r="G54" t="s">
        <v>12354</v>
      </c>
      <c r="I54" t="s">
        <v>1149</v>
      </c>
      <c r="J54" t="s">
        <v>12631</v>
      </c>
    </row>
    <row r="55" spans="1:10">
      <c r="A55" t="s">
        <v>12615</v>
      </c>
      <c r="B55" t="s">
        <v>12443</v>
      </c>
      <c r="C55" t="s">
        <v>12354</v>
      </c>
      <c r="D55" t="s">
        <v>12354</v>
      </c>
      <c r="E55" t="s">
        <v>12354</v>
      </c>
      <c r="F55" t="s">
        <v>12354</v>
      </c>
      <c r="G55" t="s">
        <v>12354</v>
      </c>
      <c r="I55" t="s">
        <v>12631</v>
      </c>
      <c r="J55" t="s">
        <v>12632</v>
      </c>
    </row>
    <row r="56" spans="1:10">
      <c r="A56" t="s">
        <v>12616</v>
      </c>
      <c r="B56" t="s">
        <v>12444</v>
      </c>
      <c r="C56" t="s">
        <v>12354</v>
      </c>
      <c r="D56" t="s">
        <v>12354</v>
      </c>
      <c r="E56" t="s">
        <v>12354</v>
      </c>
      <c r="F56" t="s">
        <v>12354</v>
      </c>
      <c r="G56" t="s">
        <v>12354</v>
      </c>
      <c r="I56" t="s">
        <v>12631</v>
      </c>
      <c r="J56" t="s">
        <v>12633</v>
      </c>
    </row>
    <row r="57" spans="1:10">
      <c r="A57" t="s">
        <v>12617</v>
      </c>
      <c r="B57" t="s">
        <v>12445</v>
      </c>
      <c r="C57" t="s">
        <v>12354</v>
      </c>
      <c r="D57" t="s">
        <v>12354</v>
      </c>
      <c r="E57" t="s">
        <v>12354</v>
      </c>
      <c r="F57" t="s">
        <v>12354</v>
      </c>
      <c r="G57" t="s">
        <v>12354</v>
      </c>
      <c r="I57" t="s">
        <v>12631</v>
      </c>
      <c r="J57" t="s">
        <v>12634</v>
      </c>
    </row>
    <row r="58" spans="1:10">
      <c r="A58" t="s">
        <v>12618</v>
      </c>
      <c r="B58" t="s">
        <v>12446</v>
      </c>
      <c r="C58" t="s">
        <v>12354</v>
      </c>
      <c r="D58" t="s">
        <v>12354</v>
      </c>
      <c r="E58" t="s">
        <v>12354</v>
      </c>
      <c r="F58" t="s">
        <v>12354</v>
      </c>
      <c r="G58" t="s">
        <v>12354</v>
      </c>
      <c r="I58" t="s">
        <v>12631</v>
      </c>
      <c r="J58" t="s">
        <v>12635</v>
      </c>
    </row>
    <row r="59" spans="1:10">
      <c r="A59" t="s">
        <v>12619</v>
      </c>
      <c r="B59" t="s">
        <v>12447</v>
      </c>
      <c r="C59" t="s">
        <v>12354</v>
      </c>
      <c r="D59" t="s">
        <v>12354</v>
      </c>
      <c r="E59" t="s">
        <v>12354</v>
      </c>
      <c r="F59" t="s">
        <v>12354</v>
      </c>
      <c r="G59" t="s">
        <v>12354</v>
      </c>
      <c r="I59" t="s">
        <v>12631</v>
      </c>
      <c r="J59" t="s">
        <v>12636</v>
      </c>
    </row>
    <row r="60" spans="1:10">
      <c r="A60" t="s">
        <v>12620</v>
      </c>
      <c r="B60" t="s">
        <v>12448</v>
      </c>
      <c r="C60" t="s">
        <v>12354</v>
      </c>
      <c r="D60" t="s">
        <v>12354</v>
      </c>
      <c r="E60" t="s">
        <v>12354</v>
      </c>
      <c r="F60" t="s">
        <v>12354</v>
      </c>
      <c r="G60" t="s">
        <v>12354</v>
      </c>
      <c r="I60" t="s">
        <v>12632</v>
      </c>
      <c r="J60" t="s">
        <v>12637</v>
      </c>
    </row>
    <row r="61" spans="1:10">
      <c r="A61" t="s">
        <v>12621</v>
      </c>
      <c r="B61" t="s">
        <v>12449</v>
      </c>
      <c r="C61" t="s">
        <v>12354</v>
      </c>
      <c r="D61" t="s">
        <v>12354</v>
      </c>
      <c r="E61" t="s">
        <v>12354</v>
      </c>
      <c r="F61" t="s">
        <v>12354</v>
      </c>
      <c r="G61" t="s">
        <v>12354</v>
      </c>
      <c r="I61" t="s">
        <v>12632</v>
      </c>
      <c r="J61" t="s">
        <v>12638</v>
      </c>
    </row>
    <row r="62" spans="1:10">
      <c r="A62" t="s">
        <v>12622</v>
      </c>
      <c r="B62" t="s">
        <v>12446</v>
      </c>
      <c r="C62" t="s">
        <v>12354</v>
      </c>
      <c r="D62" t="s">
        <v>12354</v>
      </c>
      <c r="E62" t="s">
        <v>12354</v>
      </c>
      <c r="F62" t="s">
        <v>12354</v>
      </c>
      <c r="G62" t="s">
        <v>12354</v>
      </c>
      <c r="I62" t="s">
        <v>12633</v>
      </c>
      <c r="J62" t="s">
        <v>12639</v>
      </c>
    </row>
    <row r="63" spans="1:10">
      <c r="A63" t="s">
        <v>12623</v>
      </c>
      <c r="B63" t="s">
        <v>12447</v>
      </c>
      <c r="C63" t="s">
        <v>12354</v>
      </c>
      <c r="D63" t="s">
        <v>12354</v>
      </c>
      <c r="E63" t="s">
        <v>12354</v>
      </c>
      <c r="F63" t="s">
        <v>12354</v>
      </c>
      <c r="G63" t="s">
        <v>12354</v>
      </c>
      <c r="I63" t="s">
        <v>12633</v>
      </c>
      <c r="J63" t="s">
        <v>12640</v>
      </c>
    </row>
    <row r="64" spans="1:10">
      <c r="A64" t="s">
        <v>12624</v>
      </c>
      <c r="B64" t="s">
        <v>12448</v>
      </c>
      <c r="C64" t="s">
        <v>12354</v>
      </c>
      <c r="D64" t="s">
        <v>12354</v>
      </c>
      <c r="E64" t="s">
        <v>12354</v>
      </c>
      <c r="F64" t="s">
        <v>12354</v>
      </c>
      <c r="G64" t="s">
        <v>12354</v>
      </c>
      <c r="I64" t="s">
        <v>12633</v>
      </c>
      <c r="J64" t="s">
        <v>12641</v>
      </c>
    </row>
    <row r="65" spans="1:10">
      <c r="A65" t="s">
        <v>12625</v>
      </c>
      <c r="B65" t="s">
        <v>12449</v>
      </c>
      <c r="C65" t="s">
        <v>12354</v>
      </c>
      <c r="D65" t="s">
        <v>12354</v>
      </c>
      <c r="E65" t="s">
        <v>12354</v>
      </c>
      <c r="F65" t="s">
        <v>12354</v>
      </c>
      <c r="G65" t="s">
        <v>12354</v>
      </c>
      <c r="I65" t="s">
        <v>12634</v>
      </c>
      <c r="J65" t="s">
        <v>12642</v>
      </c>
    </row>
    <row r="66" spans="1:10">
      <c r="A66" t="s">
        <v>12626</v>
      </c>
      <c r="B66" t="s">
        <v>12446</v>
      </c>
      <c r="C66" t="s">
        <v>12354</v>
      </c>
      <c r="D66" t="s">
        <v>12354</v>
      </c>
      <c r="E66" t="s">
        <v>12354</v>
      </c>
      <c r="F66" t="s">
        <v>12354</v>
      </c>
      <c r="G66" t="s">
        <v>12354</v>
      </c>
      <c r="I66" t="s">
        <v>12634</v>
      </c>
      <c r="J66" t="s">
        <v>12643</v>
      </c>
    </row>
    <row r="67" spans="1:10">
      <c r="A67" t="s">
        <v>12627</v>
      </c>
      <c r="B67" t="s">
        <v>12447</v>
      </c>
      <c r="C67" t="s">
        <v>12354</v>
      </c>
      <c r="D67" t="s">
        <v>12354</v>
      </c>
      <c r="E67" t="s">
        <v>12354</v>
      </c>
      <c r="F67" t="s">
        <v>12354</v>
      </c>
      <c r="G67" t="s">
        <v>12354</v>
      </c>
      <c r="I67" t="s">
        <v>12634</v>
      </c>
      <c r="J67" t="s">
        <v>12644</v>
      </c>
    </row>
    <row r="68" spans="1:10">
      <c r="A68" t="s">
        <v>12628</v>
      </c>
      <c r="B68" t="s">
        <v>12448</v>
      </c>
      <c r="C68" t="s">
        <v>12354</v>
      </c>
      <c r="D68" t="s">
        <v>12354</v>
      </c>
      <c r="E68" t="s">
        <v>12354</v>
      </c>
      <c r="F68" t="s">
        <v>12354</v>
      </c>
      <c r="G68" t="s">
        <v>12354</v>
      </c>
      <c r="I68" t="s">
        <v>12634</v>
      </c>
      <c r="J68" t="s">
        <v>12645</v>
      </c>
    </row>
    <row r="69" spans="1:10">
      <c r="A69" t="s">
        <v>12629</v>
      </c>
      <c r="B69" t="s">
        <v>12449</v>
      </c>
      <c r="C69" t="s">
        <v>12354</v>
      </c>
      <c r="D69" t="s">
        <v>12354</v>
      </c>
      <c r="E69" t="s">
        <v>12354</v>
      </c>
      <c r="F69" t="s">
        <v>12354</v>
      </c>
      <c r="G69" t="s">
        <v>12354</v>
      </c>
      <c r="I69" t="s">
        <v>12635</v>
      </c>
      <c r="J69" t="s">
        <v>12646</v>
      </c>
    </row>
    <row r="70" spans="1:10">
      <c r="A70" t="s">
        <v>12630</v>
      </c>
      <c r="B70" t="s">
        <v>12450</v>
      </c>
      <c r="C70" t="s">
        <v>12354</v>
      </c>
      <c r="D70" t="s">
        <v>12354</v>
      </c>
      <c r="E70" t="s">
        <v>12354</v>
      </c>
      <c r="F70" t="s">
        <v>12354</v>
      </c>
      <c r="G70" t="s">
        <v>12354</v>
      </c>
      <c r="I70" t="s">
        <v>12635</v>
      </c>
      <c r="J70" t="s">
        <v>12647</v>
      </c>
    </row>
    <row r="71" spans="1:10">
      <c r="A71" t="s">
        <v>12631</v>
      </c>
      <c r="B71" t="s">
        <v>12451</v>
      </c>
      <c r="C71" t="s">
        <v>12354</v>
      </c>
      <c r="D71" t="s">
        <v>12354</v>
      </c>
      <c r="E71" t="s">
        <v>12354</v>
      </c>
      <c r="F71" t="s">
        <v>12354</v>
      </c>
      <c r="G71" t="s">
        <v>12354</v>
      </c>
      <c r="I71" t="s">
        <v>12635</v>
      </c>
      <c r="J71" t="s">
        <v>12648</v>
      </c>
    </row>
    <row r="72" spans="1:10">
      <c r="A72" t="s">
        <v>12632</v>
      </c>
      <c r="B72" t="s">
        <v>12452</v>
      </c>
      <c r="C72" t="s">
        <v>12354</v>
      </c>
      <c r="D72" t="s">
        <v>12354</v>
      </c>
      <c r="E72" t="s">
        <v>12354</v>
      </c>
      <c r="F72" t="s">
        <v>12354</v>
      </c>
      <c r="G72" t="s">
        <v>12354</v>
      </c>
      <c r="I72" t="s">
        <v>12637</v>
      </c>
      <c r="J72" t="s">
        <v>12649</v>
      </c>
    </row>
    <row r="73" spans="1:10">
      <c r="A73" t="s">
        <v>12633</v>
      </c>
      <c r="B73" t="s">
        <v>12453</v>
      </c>
      <c r="C73" t="s">
        <v>12354</v>
      </c>
      <c r="D73" t="s">
        <v>12354</v>
      </c>
      <c r="E73" t="s">
        <v>12354</v>
      </c>
      <c r="F73" t="s">
        <v>12354</v>
      </c>
      <c r="G73" t="s">
        <v>12354</v>
      </c>
      <c r="I73" t="s">
        <v>12638</v>
      </c>
      <c r="J73" t="s">
        <v>12650</v>
      </c>
    </row>
    <row r="74" spans="1:10">
      <c r="A74" t="s">
        <v>12634</v>
      </c>
      <c r="B74" t="s">
        <v>12454</v>
      </c>
      <c r="C74" t="s">
        <v>12354</v>
      </c>
      <c r="D74" t="s">
        <v>12354</v>
      </c>
      <c r="E74" t="s">
        <v>12354</v>
      </c>
      <c r="F74" t="s">
        <v>12354</v>
      </c>
      <c r="G74" t="s">
        <v>12354</v>
      </c>
      <c r="I74" t="s">
        <v>12638</v>
      </c>
      <c r="J74" t="s">
        <v>12651</v>
      </c>
    </row>
    <row r="75" spans="1:10">
      <c r="A75" t="s">
        <v>12635</v>
      </c>
      <c r="B75" t="s">
        <v>12455</v>
      </c>
      <c r="C75" t="s">
        <v>12354</v>
      </c>
      <c r="D75" t="s">
        <v>12354</v>
      </c>
      <c r="E75" t="s">
        <v>12354</v>
      </c>
      <c r="F75" t="s">
        <v>12354</v>
      </c>
      <c r="G75" t="s">
        <v>12354</v>
      </c>
      <c r="I75" t="s">
        <v>12649</v>
      </c>
      <c r="J75" t="s">
        <v>12652</v>
      </c>
    </row>
    <row r="76" spans="1:10">
      <c r="A76" t="s">
        <v>12636</v>
      </c>
      <c r="B76" t="s">
        <v>12456</v>
      </c>
      <c r="C76" t="s">
        <v>12354</v>
      </c>
      <c r="D76" t="s">
        <v>12354</v>
      </c>
      <c r="E76" t="s">
        <v>12354</v>
      </c>
      <c r="F76" t="s">
        <v>12354</v>
      </c>
      <c r="G76" t="s">
        <v>12354</v>
      </c>
      <c r="I76" t="s">
        <v>12649</v>
      </c>
      <c r="J76" t="s">
        <v>12653</v>
      </c>
    </row>
    <row r="77" spans="1:10">
      <c r="A77" t="s">
        <v>12637</v>
      </c>
      <c r="B77" t="s">
        <v>12457</v>
      </c>
      <c r="C77" t="s">
        <v>12354</v>
      </c>
      <c r="D77" t="s">
        <v>12354</v>
      </c>
      <c r="E77" t="s">
        <v>12354</v>
      </c>
      <c r="F77" t="s">
        <v>12354</v>
      </c>
      <c r="G77" t="s">
        <v>12354</v>
      </c>
      <c r="I77" t="s">
        <v>12649</v>
      </c>
      <c r="J77" t="s">
        <v>12654</v>
      </c>
    </row>
    <row r="78" spans="1:10">
      <c r="A78" t="s">
        <v>12638</v>
      </c>
      <c r="B78" t="s">
        <v>12458</v>
      </c>
      <c r="C78" t="s">
        <v>12354</v>
      </c>
      <c r="D78" t="s">
        <v>12354</v>
      </c>
      <c r="E78" t="s">
        <v>12354</v>
      </c>
      <c r="F78" t="s">
        <v>12354</v>
      </c>
      <c r="G78" t="s">
        <v>12354</v>
      </c>
      <c r="I78" t="s">
        <v>12649</v>
      </c>
      <c r="J78" t="s">
        <v>12655</v>
      </c>
    </row>
    <row r="79" spans="1:10">
      <c r="A79" t="s">
        <v>12639</v>
      </c>
      <c r="B79" t="s">
        <v>12459</v>
      </c>
      <c r="C79" t="s">
        <v>12354</v>
      </c>
      <c r="D79" t="s">
        <v>12354</v>
      </c>
      <c r="E79" t="s">
        <v>12354</v>
      </c>
      <c r="F79" t="s">
        <v>12354</v>
      </c>
      <c r="G79" t="s">
        <v>12354</v>
      </c>
      <c r="I79" t="s">
        <v>12650</v>
      </c>
      <c r="J79" t="s">
        <v>12656</v>
      </c>
    </row>
    <row r="80" spans="1:10">
      <c r="A80" t="s">
        <v>12640</v>
      </c>
      <c r="B80" t="s">
        <v>12460</v>
      </c>
      <c r="C80" t="s">
        <v>12354</v>
      </c>
      <c r="D80" t="s">
        <v>12354</v>
      </c>
      <c r="E80" t="s">
        <v>12354</v>
      </c>
      <c r="F80" t="s">
        <v>12354</v>
      </c>
      <c r="G80" t="s">
        <v>12354</v>
      </c>
      <c r="I80" t="s">
        <v>12650</v>
      </c>
      <c r="J80" t="s">
        <v>12657</v>
      </c>
    </row>
    <row r="81" spans="1:10">
      <c r="A81" t="s">
        <v>12641</v>
      </c>
      <c r="B81" t="s">
        <v>12461</v>
      </c>
      <c r="C81" t="s">
        <v>12354</v>
      </c>
      <c r="D81" t="s">
        <v>12354</v>
      </c>
      <c r="E81" t="s">
        <v>12354</v>
      </c>
      <c r="F81" t="s">
        <v>12354</v>
      </c>
      <c r="G81" t="s">
        <v>12354</v>
      </c>
      <c r="I81" t="s">
        <v>12650</v>
      </c>
      <c r="J81" t="s">
        <v>12658</v>
      </c>
    </row>
    <row r="82" spans="1:10">
      <c r="A82" t="s">
        <v>12642</v>
      </c>
      <c r="B82" t="s">
        <v>12462</v>
      </c>
      <c r="C82" t="s">
        <v>12354</v>
      </c>
      <c r="D82" t="s">
        <v>12354</v>
      </c>
      <c r="E82" t="s">
        <v>12354</v>
      </c>
      <c r="F82" t="s">
        <v>12354</v>
      </c>
      <c r="G82" t="s">
        <v>12354</v>
      </c>
      <c r="I82" t="s">
        <v>12650</v>
      </c>
      <c r="J82" t="s">
        <v>12659</v>
      </c>
    </row>
    <row r="83" spans="1:10">
      <c r="A83" t="s">
        <v>12643</v>
      </c>
      <c r="B83" t="s">
        <v>12463</v>
      </c>
      <c r="C83" t="s">
        <v>12354</v>
      </c>
      <c r="D83" t="s">
        <v>12354</v>
      </c>
      <c r="E83" t="s">
        <v>12354</v>
      </c>
      <c r="F83" t="s">
        <v>12354</v>
      </c>
      <c r="G83" t="s">
        <v>12354</v>
      </c>
      <c r="I83" t="s">
        <v>12651</v>
      </c>
      <c r="J83" t="s">
        <v>12660</v>
      </c>
    </row>
    <row r="84" spans="1:10">
      <c r="A84" t="s">
        <v>12644</v>
      </c>
      <c r="B84" t="s">
        <v>12464</v>
      </c>
      <c r="C84" t="s">
        <v>12354</v>
      </c>
      <c r="D84" t="s">
        <v>12354</v>
      </c>
      <c r="E84" t="s">
        <v>12354</v>
      </c>
      <c r="F84" t="s">
        <v>12354</v>
      </c>
      <c r="G84" t="s">
        <v>12354</v>
      </c>
      <c r="I84" t="s">
        <v>12651</v>
      </c>
      <c r="J84" t="s">
        <v>12661</v>
      </c>
    </row>
    <row r="85" spans="1:10">
      <c r="A85" t="s">
        <v>12645</v>
      </c>
      <c r="B85" t="s">
        <v>12465</v>
      </c>
      <c r="C85" t="s">
        <v>12354</v>
      </c>
      <c r="D85" t="s">
        <v>12354</v>
      </c>
      <c r="E85" t="s">
        <v>12354</v>
      </c>
      <c r="F85" t="s">
        <v>12354</v>
      </c>
      <c r="G85" t="s">
        <v>12354</v>
      </c>
      <c r="I85" t="s">
        <v>12651</v>
      </c>
      <c r="J85" t="s">
        <v>12662</v>
      </c>
    </row>
    <row r="86" spans="1:10">
      <c r="A86" t="s">
        <v>12646</v>
      </c>
      <c r="B86" t="s">
        <v>12466</v>
      </c>
      <c r="C86" t="s">
        <v>12354</v>
      </c>
      <c r="D86" t="s">
        <v>12354</v>
      </c>
      <c r="E86" t="s">
        <v>12354</v>
      </c>
      <c r="F86" t="s">
        <v>12354</v>
      </c>
      <c r="G86" t="s">
        <v>12354</v>
      </c>
      <c r="I86" t="s">
        <v>12651</v>
      </c>
      <c r="J86" t="s">
        <v>12663</v>
      </c>
    </row>
    <row r="87" spans="1:10">
      <c r="A87" t="s">
        <v>12647</v>
      </c>
      <c r="B87" t="s">
        <v>12467</v>
      </c>
      <c r="C87" t="s">
        <v>12354</v>
      </c>
      <c r="D87" t="s">
        <v>12354</v>
      </c>
      <c r="E87" t="s">
        <v>12354</v>
      </c>
      <c r="F87" t="s">
        <v>12354</v>
      </c>
      <c r="G87" t="s">
        <v>12354</v>
      </c>
      <c r="I87" t="s">
        <v>1149</v>
      </c>
      <c r="J87" t="s">
        <v>12664</v>
      </c>
    </row>
    <row r="88" spans="1:10">
      <c r="A88" t="s">
        <v>12648</v>
      </c>
      <c r="B88" t="s">
        <v>12468</v>
      </c>
      <c r="C88" t="s">
        <v>12354</v>
      </c>
      <c r="D88" t="s">
        <v>12354</v>
      </c>
      <c r="E88" t="s">
        <v>12354</v>
      </c>
      <c r="F88" t="s">
        <v>12354</v>
      </c>
      <c r="G88" t="s">
        <v>12354</v>
      </c>
      <c r="I88" t="s">
        <v>1137</v>
      </c>
      <c r="J88" t="s">
        <v>12665</v>
      </c>
    </row>
    <row r="89" spans="1:10">
      <c r="A89" t="s">
        <v>12649</v>
      </c>
      <c r="B89" t="s">
        <v>12469</v>
      </c>
      <c r="C89" t="s">
        <v>12354</v>
      </c>
      <c r="D89" t="s">
        <v>12354</v>
      </c>
      <c r="E89" t="s">
        <v>12354</v>
      </c>
      <c r="F89" t="s">
        <v>12354</v>
      </c>
      <c r="G89" t="s">
        <v>12354</v>
      </c>
      <c r="I89" t="s">
        <v>12665</v>
      </c>
      <c r="J89" t="s">
        <v>12666</v>
      </c>
    </row>
    <row r="90" spans="1:10">
      <c r="A90" t="s">
        <v>12650</v>
      </c>
      <c r="B90" t="s">
        <v>12470</v>
      </c>
      <c r="C90" t="s">
        <v>12354</v>
      </c>
      <c r="D90" t="s">
        <v>12354</v>
      </c>
      <c r="E90" t="s">
        <v>12354</v>
      </c>
      <c r="F90" t="s">
        <v>12354</v>
      </c>
      <c r="G90" t="s">
        <v>12354</v>
      </c>
      <c r="I90" t="s">
        <v>12665</v>
      </c>
      <c r="J90" t="s">
        <v>12667</v>
      </c>
    </row>
    <row r="91" spans="1:10">
      <c r="A91" t="s">
        <v>12651</v>
      </c>
      <c r="B91" t="s">
        <v>12471</v>
      </c>
      <c r="C91" t="s">
        <v>12354</v>
      </c>
      <c r="D91" t="s">
        <v>12354</v>
      </c>
      <c r="E91" t="s">
        <v>12354</v>
      </c>
      <c r="F91" t="s">
        <v>12354</v>
      </c>
      <c r="G91" t="s">
        <v>12354</v>
      </c>
      <c r="I91" t="s">
        <v>12665</v>
      </c>
      <c r="J91" t="s">
        <v>12668</v>
      </c>
    </row>
    <row r="92" spans="1:10">
      <c r="A92" t="s">
        <v>12652</v>
      </c>
      <c r="B92" t="s">
        <v>12472</v>
      </c>
      <c r="C92" t="s">
        <v>12354</v>
      </c>
      <c r="D92" t="s">
        <v>12354</v>
      </c>
      <c r="E92" t="s">
        <v>12354</v>
      </c>
      <c r="F92" t="s">
        <v>12354</v>
      </c>
      <c r="G92" t="s">
        <v>12354</v>
      </c>
      <c r="I92" t="s">
        <v>12665</v>
      </c>
      <c r="J92" t="s">
        <v>12669</v>
      </c>
    </row>
    <row r="93" spans="1:10">
      <c r="A93" t="s">
        <v>12653</v>
      </c>
      <c r="B93" t="s">
        <v>12473</v>
      </c>
      <c r="C93" t="s">
        <v>12354</v>
      </c>
      <c r="D93" t="s">
        <v>12354</v>
      </c>
      <c r="E93" t="s">
        <v>12354</v>
      </c>
      <c r="F93" t="s">
        <v>12354</v>
      </c>
      <c r="G93" t="s">
        <v>12354</v>
      </c>
      <c r="I93" t="s">
        <v>12666</v>
      </c>
      <c r="J93" t="s">
        <v>12670</v>
      </c>
    </row>
    <row r="94" spans="1:10">
      <c r="A94" t="s">
        <v>12654</v>
      </c>
      <c r="B94" t="s">
        <v>12474</v>
      </c>
      <c r="C94" t="s">
        <v>12354</v>
      </c>
      <c r="D94" t="s">
        <v>12354</v>
      </c>
      <c r="E94" t="s">
        <v>12354</v>
      </c>
      <c r="F94" t="s">
        <v>12354</v>
      </c>
      <c r="G94" t="s">
        <v>12354</v>
      </c>
      <c r="I94" t="s">
        <v>12666</v>
      </c>
      <c r="J94" t="s">
        <v>12671</v>
      </c>
    </row>
    <row r="95" spans="1:10">
      <c r="A95" t="s">
        <v>12655</v>
      </c>
      <c r="B95" t="s">
        <v>12475</v>
      </c>
      <c r="C95" t="s">
        <v>12354</v>
      </c>
      <c r="D95" t="s">
        <v>12354</v>
      </c>
      <c r="E95" t="s">
        <v>12354</v>
      </c>
      <c r="F95" t="s">
        <v>12354</v>
      </c>
      <c r="G95" t="s">
        <v>12354</v>
      </c>
      <c r="I95" t="s">
        <v>12667</v>
      </c>
      <c r="J95" t="s">
        <v>12672</v>
      </c>
    </row>
    <row r="96" spans="1:10">
      <c r="A96" t="s">
        <v>12656</v>
      </c>
      <c r="B96" t="s">
        <v>12472</v>
      </c>
      <c r="C96" t="s">
        <v>12354</v>
      </c>
      <c r="D96" t="s">
        <v>12354</v>
      </c>
      <c r="E96" t="s">
        <v>12354</v>
      </c>
      <c r="F96" t="s">
        <v>12354</v>
      </c>
      <c r="G96" t="s">
        <v>12354</v>
      </c>
      <c r="I96" t="s">
        <v>12667</v>
      </c>
      <c r="J96" t="s">
        <v>12673</v>
      </c>
    </row>
    <row r="97" spans="1:10">
      <c r="A97" t="s">
        <v>12657</v>
      </c>
      <c r="B97" t="s">
        <v>12473</v>
      </c>
      <c r="C97" t="s">
        <v>12354</v>
      </c>
      <c r="D97" t="s">
        <v>12354</v>
      </c>
      <c r="E97" t="s">
        <v>12354</v>
      </c>
      <c r="F97" t="s">
        <v>12354</v>
      </c>
      <c r="G97" t="s">
        <v>12354</v>
      </c>
      <c r="I97" t="s">
        <v>12667</v>
      </c>
      <c r="J97" t="s">
        <v>12674</v>
      </c>
    </row>
    <row r="98" spans="1:10">
      <c r="A98" t="s">
        <v>12658</v>
      </c>
      <c r="B98" t="s">
        <v>12474</v>
      </c>
      <c r="C98" t="s">
        <v>12354</v>
      </c>
      <c r="D98" t="s">
        <v>12354</v>
      </c>
      <c r="E98" t="s">
        <v>12354</v>
      </c>
      <c r="F98" t="s">
        <v>12354</v>
      </c>
      <c r="G98" t="s">
        <v>12354</v>
      </c>
      <c r="I98" t="s">
        <v>12668</v>
      </c>
      <c r="J98" t="s">
        <v>12675</v>
      </c>
    </row>
    <row r="99" spans="1:10">
      <c r="A99" t="s">
        <v>12659</v>
      </c>
      <c r="B99" t="s">
        <v>12475</v>
      </c>
      <c r="C99" t="s">
        <v>12354</v>
      </c>
      <c r="D99" t="s">
        <v>12354</v>
      </c>
      <c r="E99" t="s">
        <v>12354</v>
      </c>
      <c r="F99" t="s">
        <v>12354</v>
      </c>
      <c r="G99" t="s">
        <v>12354</v>
      </c>
      <c r="I99" t="s">
        <v>12668</v>
      </c>
      <c r="J99" t="s">
        <v>12676</v>
      </c>
    </row>
    <row r="100" spans="1:10">
      <c r="A100" t="s">
        <v>12660</v>
      </c>
      <c r="B100" t="s">
        <v>12472</v>
      </c>
      <c r="C100" t="s">
        <v>12354</v>
      </c>
      <c r="D100" t="s">
        <v>12354</v>
      </c>
      <c r="E100" t="s">
        <v>12354</v>
      </c>
      <c r="F100" t="s">
        <v>12354</v>
      </c>
      <c r="G100" t="s">
        <v>12354</v>
      </c>
      <c r="I100" t="s">
        <v>12668</v>
      </c>
      <c r="J100" t="s">
        <v>12677</v>
      </c>
    </row>
    <row r="101" spans="1:10">
      <c r="A101" t="s">
        <v>12661</v>
      </c>
      <c r="B101" t="s">
        <v>12473</v>
      </c>
      <c r="C101" t="s">
        <v>12354</v>
      </c>
      <c r="D101" t="s">
        <v>12354</v>
      </c>
      <c r="E101" t="s">
        <v>12354</v>
      </c>
      <c r="F101" t="s">
        <v>12354</v>
      </c>
      <c r="G101" t="s">
        <v>12354</v>
      </c>
      <c r="I101" t="s">
        <v>12671</v>
      </c>
      <c r="J101" t="s">
        <v>12678</v>
      </c>
    </row>
    <row r="102" spans="1:10">
      <c r="A102" t="s">
        <v>12662</v>
      </c>
      <c r="B102" t="s">
        <v>12474</v>
      </c>
      <c r="C102" t="s">
        <v>12354</v>
      </c>
      <c r="D102" t="s">
        <v>12354</v>
      </c>
      <c r="E102" t="s">
        <v>12354</v>
      </c>
      <c r="F102" t="s">
        <v>12354</v>
      </c>
      <c r="G102" t="s">
        <v>12354</v>
      </c>
      <c r="I102" t="s">
        <v>12670</v>
      </c>
      <c r="J102" t="s">
        <v>12679</v>
      </c>
    </row>
    <row r="103" spans="1:10">
      <c r="A103" t="s">
        <v>12663</v>
      </c>
      <c r="B103" t="s">
        <v>12475</v>
      </c>
      <c r="C103" t="s">
        <v>12354</v>
      </c>
      <c r="D103" t="s">
        <v>12354</v>
      </c>
      <c r="E103" t="s">
        <v>12354</v>
      </c>
      <c r="F103" t="s">
        <v>12354</v>
      </c>
      <c r="G103" t="s">
        <v>12354</v>
      </c>
      <c r="I103" t="s">
        <v>12671</v>
      </c>
      <c r="J103" t="s">
        <v>12680</v>
      </c>
    </row>
    <row r="104" spans="1:10">
      <c r="A104" t="s">
        <v>12664</v>
      </c>
      <c r="B104" t="s">
        <v>12476</v>
      </c>
      <c r="C104" t="s">
        <v>12354</v>
      </c>
      <c r="D104" t="s">
        <v>12354</v>
      </c>
      <c r="E104" t="s">
        <v>12354</v>
      </c>
      <c r="F104" t="s">
        <v>12354</v>
      </c>
      <c r="G104" t="s">
        <v>12354</v>
      </c>
      <c r="I104" t="s">
        <v>12671</v>
      </c>
      <c r="J104" t="s">
        <v>12681</v>
      </c>
    </row>
    <row r="105" spans="1:10">
      <c r="A105" t="s">
        <v>12665</v>
      </c>
      <c r="B105" t="s">
        <v>12477</v>
      </c>
      <c r="C105" t="s">
        <v>12354</v>
      </c>
      <c r="D105" t="s">
        <v>12354</v>
      </c>
      <c r="E105" t="s">
        <v>12354</v>
      </c>
      <c r="F105" t="s">
        <v>12354</v>
      </c>
      <c r="G105" t="s">
        <v>12354</v>
      </c>
      <c r="I105" t="s">
        <v>12678</v>
      </c>
      <c r="J105" t="s">
        <v>12682</v>
      </c>
    </row>
    <row r="106" spans="1:10">
      <c r="A106" t="s">
        <v>12666</v>
      </c>
      <c r="B106" t="s">
        <v>12478</v>
      </c>
      <c r="C106" t="s">
        <v>12354</v>
      </c>
      <c r="D106" t="s">
        <v>12354</v>
      </c>
      <c r="E106" t="s">
        <v>12354</v>
      </c>
      <c r="F106" t="s">
        <v>12354</v>
      </c>
      <c r="G106" t="s">
        <v>12354</v>
      </c>
      <c r="I106" t="s">
        <v>12678</v>
      </c>
      <c r="J106" t="s">
        <v>12683</v>
      </c>
    </row>
    <row r="107" spans="1:10">
      <c r="A107" t="s">
        <v>12667</v>
      </c>
      <c r="B107" t="s">
        <v>12479</v>
      </c>
      <c r="C107" t="s">
        <v>12354</v>
      </c>
      <c r="D107" t="s">
        <v>12354</v>
      </c>
      <c r="E107" t="s">
        <v>12354</v>
      </c>
      <c r="F107" t="s">
        <v>12354</v>
      </c>
      <c r="G107" t="s">
        <v>12354</v>
      </c>
      <c r="I107" t="s">
        <v>12678</v>
      </c>
      <c r="J107" t="s">
        <v>12684</v>
      </c>
    </row>
    <row r="108" spans="1:10">
      <c r="A108" t="s">
        <v>12668</v>
      </c>
      <c r="B108" t="s">
        <v>12480</v>
      </c>
      <c r="C108" t="s">
        <v>12354</v>
      </c>
      <c r="D108" t="s">
        <v>12354</v>
      </c>
      <c r="E108" t="s">
        <v>12354</v>
      </c>
      <c r="F108" t="s">
        <v>12354</v>
      </c>
      <c r="G108" t="s">
        <v>12354</v>
      </c>
      <c r="I108" t="s">
        <v>12678</v>
      </c>
      <c r="J108" t="s">
        <v>12685</v>
      </c>
    </row>
    <row r="109" spans="1:10">
      <c r="A109" t="s">
        <v>12669</v>
      </c>
      <c r="B109" t="s">
        <v>12481</v>
      </c>
      <c r="C109" t="s">
        <v>12354</v>
      </c>
      <c r="D109" t="s">
        <v>12354</v>
      </c>
      <c r="E109" t="s">
        <v>12354</v>
      </c>
      <c r="F109" t="s">
        <v>12354</v>
      </c>
      <c r="G109" t="s">
        <v>12354</v>
      </c>
      <c r="I109" t="s">
        <v>12678</v>
      </c>
      <c r="J109" t="s">
        <v>12686</v>
      </c>
    </row>
    <row r="110" spans="1:10">
      <c r="A110" t="s">
        <v>12670</v>
      </c>
      <c r="B110" t="s">
        <v>12482</v>
      </c>
      <c r="C110" t="s">
        <v>12354</v>
      </c>
      <c r="D110" t="s">
        <v>12354</v>
      </c>
      <c r="E110" t="s">
        <v>12354</v>
      </c>
      <c r="F110" t="s">
        <v>12354</v>
      </c>
      <c r="G110" t="s">
        <v>12354</v>
      </c>
      <c r="I110" t="s">
        <v>12678</v>
      </c>
      <c r="J110" t="s">
        <v>12687</v>
      </c>
    </row>
    <row r="111" spans="1:10">
      <c r="A111" t="s">
        <v>12671</v>
      </c>
      <c r="B111" t="s">
        <v>12483</v>
      </c>
      <c r="C111" t="s">
        <v>12354</v>
      </c>
      <c r="D111" t="s">
        <v>12354</v>
      </c>
      <c r="E111" t="s">
        <v>12354</v>
      </c>
      <c r="F111" t="s">
        <v>12354</v>
      </c>
      <c r="G111" t="s">
        <v>12354</v>
      </c>
      <c r="I111" t="s">
        <v>12678</v>
      </c>
      <c r="J111" t="s">
        <v>12688</v>
      </c>
    </row>
    <row r="112" spans="1:10">
      <c r="A112" t="s">
        <v>12672</v>
      </c>
      <c r="B112" t="s">
        <v>12484</v>
      </c>
      <c r="C112" t="s">
        <v>12354</v>
      </c>
      <c r="D112" t="s">
        <v>12354</v>
      </c>
      <c r="E112" t="s">
        <v>12354</v>
      </c>
      <c r="F112" t="s">
        <v>12354</v>
      </c>
      <c r="G112" t="s">
        <v>12354</v>
      </c>
      <c r="I112" t="s">
        <v>12679</v>
      </c>
      <c r="J112" t="s">
        <v>12689</v>
      </c>
    </row>
    <row r="113" spans="1:10">
      <c r="A113" t="s">
        <v>12673</v>
      </c>
      <c r="B113" t="s">
        <v>12485</v>
      </c>
      <c r="C113" t="s">
        <v>12354</v>
      </c>
      <c r="D113" t="s">
        <v>12354</v>
      </c>
      <c r="E113" t="s">
        <v>12354</v>
      </c>
      <c r="F113" t="s">
        <v>12354</v>
      </c>
      <c r="G113" t="s">
        <v>12354</v>
      </c>
      <c r="I113" t="s">
        <v>12679</v>
      </c>
      <c r="J113" t="s">
        <v>12690</v>
      </c>
    </row>
    <row r="114" spans="1:10">
      <c r="A114" t="s">
        <v>12674</v>
      </c>
      <c r="B114" t="s">
        <v>12486</v>
      </c>
      <c r="C114" t="s">
        <v>12354</v>
      </c>
      <c r="D114" t="s">
        <v>12354</v>
      </c>
      <c r="E114" t="s">
        <v>12354</v>
      </c>
      <c r="F114" t="s">
        <v>12354</v>
      </c>
      <c r="G114" t="s">
        <v>12354</v>
      </c>
      <c r="I114" t="s">
        <v>12679</v>
      </c>
      <c r="J114" t="s">
        <v>12691</v>
      </c>
    </row>
    <row r="115" spans="1:10">
      <c r="A115" t="s">
        <v>12675</v>
      </c>
      <c r="B115" t="s">
        <v>12487</v>
      </c>
      <c r="C115" t="s">
        <v>12354</v>
      </c>
      <c r="D115" t="s">
        <v>12354</v>
      </c>
      <c r="E115" t="s">
        <v>12354</v>
      </c>
      <c r="F115" t="s">
        <v>12354</v>
      </c>
      <c r="G115" t="s">
        <v>12354</v>
      </c>
      <c r="I115" t="s">
        <v>12679</v>
      </c>
      <c r="J115" t="s">
        <v>12692</v>
      </c>
    </row>
    <row r="116" spans="1:10">
      <c r="A116" t="s">
        <v>12676</v>
      </c>
      <c r="B116" t="s">
        <v>12488</v>
      </c>
      <c r="C116" t="s">
        <v>12354</v>
      </c>
      <c r="D116" t="s">
        <v>12354</v>
      </c>
      <c r="E116" t="s">
        <v>12354</v>
      </c>
      <c r="F116" t="s">
        <v>12354</v>
      </c>
      <c r="G116" t="s">
        <v>12354</v>
      </c>
      <c r="I116" t="s">
        <v>12679</v>
      </c>
      <c r="J116" t="s">
        <v>12693</v>
      </c>
    </row>
    <row r="117" spans="1:10">
      <c r="A117" t="s">
        <v>12677</v>
      </c>
      <c r="B117" t="s">
        <v>12489</v>
      </c>
      <c r="C117" t="s">
        <v>12354</v>
      </c>
      <c r="D117" t="s">
        <v>12354</v>
      </c>
      <c r="E117" t="s">
        <v>12354</v>
      </c>
      <c r="F117" t="s">
        <v>12354</v>
      </c>
      <c r="G117" t="s">
        <v>12354</v>
      </c>
      <c r="I117" t="s">
        <v>12679</v>
      </c>
      <c r="J117" t="s">
        <v>12694</v>
      </c>
    </row>
    <row r="118" spans="1:10">
      <c r="A118" t="s">
        <v>12678</v>
      </c>
      <c r="B118" t="s">
        <v>12490</v>
      </c>
      <c r="C118" t="s">
        <v>12354</v>
      </c>
      <c r="D118" t="s">
        <v>12354</v>
      </c>
      <c r="E118" t="s">
        <v>12354</v>
      </c>
      <c r="F118" t="s">
        <v>12354</v>
      </c>
      <c r="G118" t="s">
        <v>12354</v>
      </c>
      <c r="I118" t="s">
        <v>12679</v>
      </c>
      <c r="J118" t="s">
        <v>12695</v>
      </c>
    </row>
    <row r="119" spans="1:10">
      <c r="A119" t="s">
        <v>12679</v>
      </c>
      <c r="B119" t="s">
        <v>12491</v>
      </c>
      <c r="C119" t="s">
        <v>12354</v>
      </c>
      <c r="D119" t="s">
        <v>12354</v>
      </c>
      <c r="E119" t="s">
        <v>12354</v>
      </c>
      <c r="F119" t="s">
        <v>12354</v>
      </c>
      <c r="G119" t="s">
        <v>12354</v>
      </c>
      <c r="I119" t="s">
        <v>12680</v>
      </c>
      <c r="J119" t="s">
        <v>12696</v>
      </c>
    </row>
    <row r="120" spans="1:10">
      <c r="A120" t="s">
        <v>12680</v>
      </c>
      <c r="B120" t="s">
        <v>12492</v>
      </c>
      <c r="C120" t="s">
        <v>12354</v>
      </c>
      <c r="D120" t="s">
        <v>12354</v>
      </c>
      <c r="E120" t="s">
        <v>12354</v>
      </c>
      <c r="F120" t="s">
        <v>12354</v>
      </c>
      <c r="G120" t="s">
        <v>12354</v>
      </c>
      <c r="I120" t="s">
        <v>12680</v>
      </c>
      <c r="J120" t="s">
        <v>12697</v>
      </c>
    </row>
    <row r="121" spans="1:10">
      <c r="A121" t="s">
        <v>12681</v>
      </c>
      <c r="B121" t="s">
        <v>12493</v>
      </c>
      <c r="C121" t="s">
        <v>12354</v>
      </c>
      <c r="D121" t="s">
        <v>12354</v>
      </c>
      <c r="E121" t="s">
        <v>12354</v>
      </c>
      <c r="F121" t="s">
        <v>12354</v>
      </c>
      <c r="G121" t="s">
        <v>12354</v>
      </c>
      <c r="I121" t="s">
        <v>12680</v>
      </c>
      <c r="J121" t="s">
        <v>12698</v>
      </c>
    </row>
    <row r="122" spans="1:10">
      <c r="A122" t="s">
        <v>12682</v>
      </c>
      <c r="B122" t="s">
        <v>12494</v>
      </c>
      <c r="C122" t="s">
        <v>12354</v>
      </c>
      <c r="D122" t="s">
        <v>12354</v>
      </c>
      <c r="E122" t="s">
        <v>12354</v>
      </c>
      <c r="F122" t="s">
        <v>12354</v>
      </c>
      <c r="G122" t="s">
        <v>12354</v>
      </c>
      <c r="I122" t="s">
        <v>12680</v>
      </c>
      <c r="J122" t="s">
        <v>12699</v>
      </c>
    </row>
    <row r="123" spans="1:10">
      <c r="A123" t="s">
        <v>12683</v>
      </c>
      <c r="B123" t="s">
        <v>12495</v>
      </c>
      <c r="C123" t="s">
        <v>12354</v>
      </c>
      <c r="D123" t="s">
        <v>12354</v>
      </c>
      <c r="E123" t="s">
        <v>12354</v>
      </c>
      <c r="F123" t="s">
        <v>12354</v>
      </c>
      <c r="G123" t="s">
        <v>12354</v>
      </c>
      <c r="I123" t="s">
        <v>12680</v>
      </c>
      <c r="J123" t="s">
        <v>12700</v>
      </c>
    </row>
    <row r="124" spans="1:10">
      <c r="A124" t="s">
        <v>12684</v>
      </c>
      <c r="B124" t="s">
        <v>12496</v>
      </c>
      <c r="C124" t="s">
        <v>12354</v>
      </c>
      <c r="D124" t="s">
        <v>12354</v>
      </c>
      <c r="E124" t="s">
        <v>12354</v>
      </c>
      <c r="F124" t="s">
        <v>12354</v>
      </c>
      <c r="G124" t="s">
        <v>12354</v>
      </c>
      <c r="I124" t="s">
        <v>12680</v>
      </c>
      <c r="J124" t="s">
        <v>12701</v>
      </c>
    </row>
    <row r="125" spans="1:10">
      <c r="A125" t="s">
        <v>12685</v>
      </c>
      <c r="B125" t="s">
        <v>12497</v>
      </c>
      <c r="C125" t="s">
        <v>12354</v>
      </c>
      <c r="D125" t="s">
        <v>12354</v>
      </c>
      <c r="E125" t="s">
        <v>12354</v>
      </c>
      <c r="F125" t="s">
        <v>12354</v>
      </c>
      <c r="G125" t="s">
        <v>12354</v>
      </c>
      <c r="I125" t="s">
        <v>12680</v>
      </c>
      <c r="J125" t="s">
        <v>12702</v>
      </c>
    </row>
    <row r="126" spans="1:10">
      <c r="A126" t="s">
        <v>12686</v>
      </c>
      <c r="B126" t="s">
        <v>12486</v>
      </c>
      <c r="C126" t="s">
        <v>12354</v>
      </c>
      <c r="D126" t="s">
        <v>12354</v>
      </c>
      <c r="E126" t="s">
        <v>12354</v>
      </c>
      <c r="F126" t="s">
        <v>12354</v>
      </c>
      <c r="G126" t="s">
        <v>12354</v>
      </c>
      <c r="I126" t="s">
        <v>12681</v>
      </c>
      <c r="J126" t="s">
        <v>12703</v>
      </c>
    </row>
    <row r="127" spans="1:10">
      <c r="A127" t="s">
        <v>12687</v>
      </c>
      <c r="B127" t="s">
        <v>12498</v>
      </c>
      <c r="C127" t="s">
        <v>12354</v>
      </c>
      <c r="D127" t="s">
        <v>12354</v>
      </c>
      <c r="E127" t="s">
        <v>12354</v>
      </c>
      <c r="F127" t="s">
        <v>12354</v>
      </c>
      <c r="G127" t="s">
        <v>12354</v>
      </c>
      <c r="I127" t="s">
        <v>12681</v>
      </c>
      <c r="J127" t="s">
        <v>12704</v>
      </c>
    </row>
    <row r="128" spans="1:10">
      <c r="A128" t="s">
        <v>12688</v>
      </c>
      <c r="B128" t="s">
        <v>12484</v>
      </c>
      <c r="C128" t="s">
        <v>12354</v>
      </c>
      <c r="D128" t="s">
        <v>12354</v>
      </c>
      <c r="E128" t="s">
        <v>12354</v>
      </c>
      <c r="F128" t="s">
        <v>12354</v>
      </c>
      <c r="G128" t="s">
        <v>12354</v>
      </c>
      <c r="I128" t="s">
        <v>12681</v>
      </c>
      <c r="J128" t="s">
        <v>12705</v>
      </c>
    </row>
    <row r="129" spans="1:10">
      <c r="A129" t="s">
        <v>12689</v>
      </c>
      <c r="B129" t="s">
        <v>12494</v>
      </c>
      <c r="C129" t="s">
        <v>12354</v>
      </c>
      <c r="D129" t="s">
        <v>12354</v>
      </c>
      <c r="E129" t="s">
        <v>12354</v>
      </c>
      <c r="F129" t="s">
        <v>12354</v>
      </c>
      <c r="G129" t="s">
        <v>12354</v>
      </c>
      <c r="I129" t="s">
        <v>12681</v>
      </c>
      <c r="J129" t="s">
        <v>12706</v>
      </c>
    </row>
    <row r="130" spans="1:10">
      <c r="A130" t="s">
        <v>12690</v>
      </c>
      <c r="B130" t="s">
        <v>12495</v>
      </c>
      <c r="C130" t="s">
        <v>12354</v>
      </c>
      <c r="D130" t="s">
        <v>12354</v>
      </c>
      <c r="E130" t="s">
        <v>12354</v>
      </c>
      <c r="F130" t="s">
        <v>12354</v>
      </c>
      <c r="G130" t="s">
        <v>12354</v>
      </c>
      <c r="I130" t="s">
        <v>12681</v>
      </c>
      <c r="J130" t="s">
        <v>12707</v>
      </c>
    </row>
    <row r="131" spans="1:10">
      <c r="A131" t="s">
        <v>12691</v>
      </c>
      <c r="B131" t="s">
        <v>12496</v>
      </c>
      <c r="C131" t="s">
        <v>12354</v>
      </c>
      <c r="D131" t="s">
        <v>12354</v>
      </c>
      <c r="E131" t="s">
        <v>12354</v>
      </c>
      <c r="F131" t="s">
        <v>12354</v>
      </c>
      <c r="G131" t="s">
        <v>12354</v>
      </c>
      <c r="I131" t="s">
        <v>12681</v>
      </c>
      <c r="J131" t="s">
        <v>12708</v>
      </c>
    </row>
    <row r="132" spans="1:10">
      <c r="A132" t="s">
        <v>12692</v>
      </c>
      <c r="B132" t="s">
        <v>12497</v>
      </c>
      <c r="C132" t="s">
        <v>12354</v>
      </c>
      <c r="D132" t="s">
        <v>12354</v>
      </c>
      <c r="E132" t="s">
        <v>12354</v>
      </c>
      <c r="F132" t="s">
        <v>12354</v>
      </c>
      <c r="G132" t="s">
        <v>12354</v>
      </c>
      <c r="I132" t="s">
        <v>12681</v>
      </c>
      <c r="J132" t="s">
        <v>12709</v>
      </c>
    </row>
    <row r="133" spans="1:10">
      <c r="A133" t="s">
        <v>12693</v>
      </c>
      <c r="B133" t="s">
        <v>12486</v>
      </c>
      <c r="C133" t="s">
        <v>12354</v>
      </c>
      <c r="D133" t="s">
        <v>12354</v>
      </c>
      <c r="E133" t="s">
        <v>12354</v>
      </c>
      <c r="F133" t="s">
        <v>12354</v>
      </c>
      <c r="G133" t="s">
        <v>12354</v>
      </c>
      <c r="I133" t="s">
        <v>1137</v>
      </c>
      <c r="J133" t="s">
        <v>12710</v>
      </c>
    </row>
    <row r="134" spans="1:10">
      <c r="A134" t="s">
        <v>12694</v>
      </c>
      <c r="B134" t="s">
        <v>12498</v>
      </c>
      <c r="C134" t="s">
        <v>12354</v>
      </c>
      <c r="D134" t="s">
        <v>12354</v>
      </c>
      <c r="E134" t="s">
        <v>12354</v>
      </c>
      <c r="F134" t="s">
        <v>12354</v>
      </c>
      <c r="G134" t="s">
        <v>12354</v>
      </c>
      <c r="I134" t="s">
        <v>1133</v>
      </c>
      <c r="J134" t="s">
        <v>12711</v>
      </c>
    </row>
    <row r="135" spans="1:10">
      <c r="A135" t="s">
        <v>12695</v>
      </c>
      <c r="B135" t="s">
        <v>12484</v>
      </c>
      <c r="C135" t="s">
        <v>12354</v>
      </c>
      <c r="D135" t="s">
        <v>12354</v>
      </c>
      <c r="E135" t="s">
        <v>12354</v>
      </c>
      <c r="F135" t="s">
        <v>12354</v>
      </c>
      <c r="G135" t="s">
        <v>12354</v>
      </c>
      <c r="I135" t="s">
        <v>12711</v>
      </c>
      <c r="J135" t="s">
        <v>12712</v>
      </c>
    </row>
    <row r="136" spans="1:10">
      <c r="A136" t="s">
        <v>12696</v>
      </c>
      <c r="B136" t="s">
        <v>12494</v>
      </c>
      <c r="C136" t="s">
        <v>12354</v>
      </c>
      <c r="D136" t="s">
        <v>12354</v>
      </c>
      <c r="E136" t="s">
        <v>12354</v>
      </c>
      <c r="F136" t="s">
        <v>12354</v>
      </c>
      <c r="G136" t="s">
        <v>12354</v>
      </c>
      <c r="I136" t="s">
        <v>12711</v>
      </c>
      <c r="J136" t="s">
        <v>12713</v>
      </c>
    </row>
    <row r="137" spans="1:10">
      <c r="A137" t="s">
        <v>12697</v>
      </c>
      <c r="B137" t="s">
        <v>12495</v>
      </c>
      <c r="C137" t="s">
        <v>12354</v>
      </c>
      <c r="D137" t="s">
        <v>12354</v>
      </c>
      <c r="E137" t="s">
        <v>12354</v>
      </c>
      <c r="F137" t="s">
        <v>12354</v>
      </c>
      <c r="G137" t="s">
        <v>12354</v>
      </c>
      <c r="I137" t="s">
        <v>12711</v>
      </c>
      <c r="J137" t="s">
        <v>12714</v>
      </c>
    </row>
    <row r="138" spans="1:10">
      <c r="A138" t="s">
        <v>12698</v>
      </c>
      <c r="B138" t="s">
        <v>12496</v>
      </c>
      <c r="C138" t="s">
        <v>12354</v>
      </c>
      <c r="D138" t="s">
        <v>12354</v>
      </c>
      <c r="E138" t="s">
        <v>12354</v>
      </c>
      <c r="F138" t="s">
        <v>12354</v>
      </c>
      <c r="G138" t="s">
        <v>12354</v>
      </c>
      <c r="I138" t="s">
        <v>12711</v>
      </c>
      <c r="J138" t="s">
        <v>12715</v>
      </c>
    </row>
    <row r="139" spans="1:10">
      <c r="A139" t="s">
        <v>12699</v>
      </c>
      <c r="B139" t="s">
        <v>12497</v>
      </c>
      <c r="C139" t="s">
        <v>12354</v>
      </c>
      <c r="D139" t="s">
        <v>12354</v>
      </c>
      <c r="E139" t="s">
        <v>12354</v>
      </c>
      <c r="F139" t="s">
        <v>12354</v>
      </c>
      <c r="G139" t="s">
        <v>12354</v>
      </c>
      <c r="I139" t="s">
        <v>12711</v>
      </c>
      <c r="J139" t="s">
        <v>12716</v>
      </c>
    </row>
    <row r="140" spans="1:10">
      <c r="A140" t="s">
        <v>12700</v>
      </c>
      <c r="B140" t="s">
        <v>12486</v>
      </c>
      <c r="C140" t="s">
        <v>12354</v>
      </c>
      <c r="D140" t="s">
        <v>12354</v>
      </c>
      <c r="E140" t="s">
        <v>12354</v>
      </c>
      <c r="F140" t="s">
        <v>12354</v>
      </c>
      <c r="G140" t="s">
        <v>12354</v>
      </c>
      <c r="I140" t="s">
        <v>12712</v>
      </c>
      <c r="J140" t="s">
        <v>12717</v>
      </c>
    </row>
    <row r="141" spans="1:10">
      <c r="A141" t="s">
        <v>12701</v>
      </c>
      <c r="B141" t="s">
        <v>12498</v>
      </c>
      <c r="C141" t="s">
        <v>12354</v>
      </c>
      <c r="D141" t="s">
        <v>12354</v>
      </c>
      <c r="E141" t="s">
        <v>12354</v>
      </c>
      <c r="F141" t="s">
        <v>12354</v>
      </c>
      <c r="G141" t="s">
        <v>12354</v>
      </c>
      <c r="I141" t="s">
        <v>12712</v>
      </c>
      <c r="J141" t="s">
        <v>12718</v>
      </c>
    </row>
    <row r="142" spans="1:10">
      <c r="A142" t="s">
        <v>12702</v>
      </c>
      <c r="B142" t="s">
        <v>12484</v>
      </c>
      <c r="C142" t="s">
        <v>12354</v>
      </c>
      <c r="D142" t="s">
        <v>12354</v>
      </c>
      <c r="E142" t="s">
        <v>12354</v>
      </c>
      <c r="F142" t="s">
        <v>12354</v>
      </c>
      <c r="G142" t="s">
        <v>12354</v>
      </c>
      <c r="I142" t="s">
        <v>12713</v>
      </c>
      <c r="J142" t="s">
        <v>12719</v>
      </c>
    </row>
    <row r="143" spans="1:10">
      <c r="A143" t="s">
        <v>12703</v>
      </c>
      <c r="B143" t="s">
        <v>12494</v>
      </c>
      <c r="C143" t="s">
        <v>12354</v>
      </c>
      <c r="D143" t="s">
        <v>12354</v>
      </c>
      <c r="E143" t="s">
        <v>12354</v>
      </c>
      <c r="F143" t="s">
        <v>12354</v>
      </c>
      <c r="G143" t="s">
        <v>12354</v>
      </c>
      <c r="I143" t="s">
        <v>12713</v>
      </c>
      <c r="J143" t="s">
        <v>12720</v>
      </c>
    </row>
    <row r="144" spans="1:10">
      <c r="A144" t="s">
        <v>12704</v>
      </c>
      <c r="B144" t="s">
        <v>12495</v>
      </c>
      <c r="C144" t="s">
        <v>12354</v>
      </c>
      <c r="D144" t="s">
        <v>12354</v>
      </c>
      <c r="E144" t="s">
        <v>12354</v>
      </c>
      <c r="F144" t="s">
        <v>12354</v>
      </c>
      <c r="G144" t="s">
        <v>12354</v>
      </c>
      <c r="I144" t="s">
        <v>12713</v>
      </c>
      <c r="J144" t="s">
        <v>12721</v>
      </c>
    </row>
    <row r="145" spans="1:10">
      <c r="A145" t="s">
        <v>12705</v>
      </c>
      <c r="B145" t="s">
        <v>12496</v>
      </c>
      <c r="C145" t="s">
        <v>12354</v>
      </c>
      <c r="D145" t="s">
        <v>12354</v>
      </c>
      <c r="E145" t="s">
        <v>12354</v>
      </c>
      <c r="F145" t="s">
        <v>12354</v>
      </c>
      <c r="G145" t="s">
        <v>12354</v>
      </c>
      <c r="I145" t="s">
        <v>12715</v>
      </c>
      <c r="J145" t="s">
        <v>12722</v>
      </c>
    </row>
    <row r="146" spans="1:10">
      <c r="A146" t="s">
        <v>12706</v>
      </c>
      <c r="B146" t="s">
        <v>12497</v>
      </c>
      <c r="C146" t="s">
        <v>12354</v>
      </c>
      <c r="D146" t="s">
        <v>12354</v>
      </c>
      <c r="E146" t="s">
        <v>12354</v>
      </c>
      <c r="F146" t="s">
        <v>12354</v>
      </c>
      <c r="G146" t="s">
        <v>12354</v>
      </c>
      <c r="I146" t="s">
        <v>12715</v>
      </c>
      <c r="J146" t="s">
        <v>12723</v>
      </c>
    </row>
    <row r="147" spans="1:10">
      <c r="A147" t="s">
        <v>12707</v>
      </c>
      <c r="B147" t="s">
        <v>12486</v>
      </c>
      <c r="C147" t="s">
        <v>12354</v>
      </c>
      <c r="D147" t="s">
        <v>12354</v>
      </c>
      <c r="E147" t="s">
        <v>12354</v>
      </c>
      <c r="F147" t="s">
        <v>12354</v>
      </c>
      <c r="G147" t="s">
        <v>12354</v>
      </c>
      <c r="I147" t="s">
        <v>12714</v>
      </c>
      <c r="J147" t="s">
        <v>12724</v>
      </c>
    </row>
    <row r="148" spans="1:10">
      <c r="A148" t="s">
        <v>12708</v>
      </c>
      <c r="B148" t="s">
        <v>12498</v>
      </c>
      <c r="C148" t="s">
        <v>12354</v>
      </c>
      <c r="D148" t="s">
        <v>12354</v>
      </c>
      <c r="E148" t="s">
        <v>12354</v>
      </c>
      <c r="F148" t="s">
        <v>12354</v>
      </c>
      <c r="G148" t="s">
        <v>12354</v>
      </c>
      <c r="I148" t="s">
        <v>12714</v>
      </c>
      <c r="J148" t="s">
        <v>12725</v>
      </c>
    </row>
    <row r="149" spans="1:10">
      <c r="A149" t="s">
        <v>12709</v>
      </c>
      <c r="B149" t="s">
        <v>12484</v>
      </c>
      <c r="C149" t="s">
        <v>12354</v>
      </c>
      <c r="D149" t="s">
        <v>12354</v>
      </c>
      <c r="E149" t="s">
        <v>12354</v>
      </c>
      <c r="F149" t="s">
        <v>12354</v>
      </c>
      <c r="G149" t="s">
        <v>12354</v>
      </c>
      <c r="I149" t="s">
        <v>12717</v>
      </c>
      <c r="J149" t="s">
        <v>12726</v>
      </c>
    </row>
    <row r="150" spans="1:10">
      <c r="A150" t="s">
        <v>12710</v>
      </c>
      <c r="B150" t="s">
        <v>12499</v>
      </c>
      <c r="C150" t="s">
        <v>12354</v>
      </c>
      <c r="D150" t="s">
        <v>12354</v>
      </c>
      <c r="E150" t="s">
        <v>12354</v>
      </c>
      <c r="F150" t="s">
        <v>12354</v>
      </c>
      <c r="G150" t="s">
        <v>12354</v>
      </c>
      <c r="I150" t="s">
        <v>12718</v>
      </c>
      <c r="J150" t="s">
        <v>12727</v>
      </c>
    </row>
    <row r="151" spans="1:10">
      <c r="A151" t="s">
        <v>12711</v>
      </c>
      <c r="B151" t="s">
        <v>12500</v>
      </c>
      <c r="C151" t="s">
        <v>12354</v>
      </c>
      <c r="D151" t="s">
        <v>12354</v>
      </c>
      <c r="E151" t="s">
        <v>12354</v>
      </c>
      <c r="F151" t="s">
        <v>12354</v>
      </c>
      <c r="G151" t="s">
        <v>12354</v>
      </c>
      <c r="I151" t="s">
        <v>12727</v>
      </c>
      <c r="J151" t="s">
        <v>12728</v>
      </c>
    </row>
    <row r="152" spans="1:10">
      <c r="A152" t="s">
        <v>12712</v>
      </c>
      <c r="B152" t="s">
        <v>12501</v>
      </c>
      <c r="C152" t="s">
        <v>12354</v>
      </c>
      <c r="D152" t="s">
        <v>12354</v>
      </c>
      <c r="E152" t="s">
        <v>12354</v>
      </c>
      <c r="F152" t="s">
        <v>12354</v>
      </c>
      <c r="G152" t="s">
        <v>12354</v>
      </c>
      <c r="I152" t="s">
        <v>12727</v>
      </c>
      <c r="J152" t="s">
        <v>12729</v>
      </c>
    </row>
    <row r="153" spans="1:10">
      <c r="A153" t="s">
        <v>12713</v>
      </c>
      <c r="B153" t="s">
        <v>12502</v>
      </c>
      <c r="C153" t="s">
        <v>12354</v>
      </c>
      <c r="D153" t="s">
        <v>12354</v>
      </c>
      <c r="E153" t="s">
        <v>12354</v>
      </c>
      <c r="F153" t="s">
        <v>12354</v>
      </c>
      <c r="G153" t="s">
        <v>12354</v>
      </c>
      <c r="I153" t="s">
        <v>12727</v>
      </c>
      <c r="J153" t="s">
        <v>12730</v>
      </c>
    </row>
    <row r="154" spans="1:10">
      <c r="A154" t="s">
        <v>12714</v>
      </c>
      <c r="B154" t="s">
        <v>12503</v>
      </c>
      <c r="C154" t="s">
        <v>12354</v>
      </c>
      <c r="D154" t="s">
        <v>12354</v>
      </c>
      <c r="E154" t="s">
        <v>12354</v>
      </c>
      <c r="F154" t="s">
        <v>12354</v>
      </c>
      <c r="G154" t="s">
        <v>12354</v>
      </c>
      <c r="I154" t="s">
        <v>12727</v>
      </c>
      <c r="J154" t="s">
        <v>12731</v>
      </c>
    </row>
    <row r="155" spans="1:10">
      <c r="A155" t="s">
        <v>12715</v>
      </c>
      <c r="B155" t="s">
        <v>12504</v>
      </c>
      <c r="C155" t="s">
        <v>12354</v>
      </c>
      <c r="D155" t="s">
        <v>12354</v>
      </c>
      <c r="E155" t="s">
        <v>12354</v>
      </c>
      <c r="F155" t="s">
        <v>12354</v>
      </c>
      <c r="G155" t="s">
        <v>12354</v>
      </c>
      <c r="I155" t="s">
        <v>12726</v>
      </c>
      <c r="J155" t="s">
        <v>12732</v>
      </c>
    </row>
    <row r="156" spans="1:10">
      <c r="A156" t="s">
        <v>12716</v>
      </c>
      <c r="B156" t="s">
        <v>12505</v>
      </c>
      <c r="C156" t="s">
        <v>12354</v>
      </c>
      <c r="D156" t="s">
        <v>12354</v>
      </c>
      <c r="E156" t="s">
        <v>12354</v>
      </c>
      <c r="F156" t="s">
        <v>12354</v>
      </c>
      <c r="G156" t="s">
        <v>12354</v>
      </c>
      <c r="I156" t="s">
        <v>12726</v>
      </c>
      <c r="J156" t="s">
        <v>12733</v>
      </c>
    </row>
    <row r="157" spans="1:10">
      <c r="A157" t="s">
        <v>12717</v>
      </c>
      <c r="B157" t="s">
        <v>12506</v>
      </c>
      <c r="C157" t="s">
        <v>12354</v>
      </c>
      <c r="D157" t="s">
        <v>12354</v>
      </c>
      <c r="E157" t="s">
        <v>12354</v>
      </c>
      <c r="F157" t="s">
        <v>12354</v>
      </c>
      <c r="G157" t="s">
        <v>12354</v>
      </c>
      <c r="I157" t="s">
        <v>12726</v>
      </c>
      <c r="J157" t="s">
        <v>12734</v>
      </c>
    </row>
    <row r="158" spans="1:10">
      <c r="A158" t="s">
        <v>12718</v>
      </c>
      <c r="B158" t="s">
        <v>12507</v>
      </c>
      <c r="C158" t="s">
        <v>12354</v>
      </c>
      <c r="D158" t="s">
        <v>12354</v>
      </c>
      <c r="E158" t="s">
        <v>12354</v>
      </c>
      <c r="F158" t="s">
        <v>12354</v>
      </c>
      <c r="G158" t="s">
        <v>12354</v>
      </c>
      <c r="I158" t="s">
        <v>12726</v>
      </c>
      <c r="J158" t="s">
        <v>12735</v>
      </c>
    </row>
    <row r="159" spans="1:10">
      <c r="A159" t="s">
        <v>12719</v>
      </c>
      <c r="B159" t="s">
        <v>12508</v>
      </c>
      <c r="C159" t="s">
        <v>12354</v>
      </c>
      <c r="D159" t="s">
        <v>12354</v>
      </c>
      <c r="E159" t="s">
        <v>12354</v>
      </c>
      <c r="F159" t="s">
        <v>12354</v>
      </c>
      <c r="G159" t="s">
        <v>12354</v>
      </c>
      <c r="I159" t="s">
        <v>1133</v>
      </c>
      <c r="J159" t="s">
        <v>12736</v>
      </c>
    </row>
    <row r="160" spans="1:10">
      <c r="A160" t="s">
        <v>12720</v>
      </c>
      <c r="B160" t="s">
        <v>12509</v>
      </c>
      <c r="C160" t="s">
        <v>12354</v>
      </c>
      <c r="D160" t="s">
        <v>12354</v>
      </c>
      <c r="E160" t="s">
        <v>12354</v>
      </c>
      <c r="F160" t="s">
        <v>12354</v>
      </c>
      <c r="G160" t="s">
        <v>12354</v>
      </c>
      <c r="I160" t="s">
        <v>12523</v>
      </c>
      <c r="J160" t="s">
        <v>12737</v>
      </c>
    </row>
    <row r="161" spans="1:10">
      <c r="A161" t="s">
        <v>12721</v>
      </c>
      <c r="B161" t="s">
        <v>12510</v>
      </c>
      <c r="C161" t="s">
        <v>12354</v>
      </c>
      <c r="D161" t="s">
        <v>12354</v>
      </c>
      <c r="E161" t="s">
        <v>12354</v>
      </c>
      <c r="F161" t="s">
        <v>12354</v>
      </c>
      <c r="G161" t="s">
        <v>12354</v>
      </c>
      <c r="I161" t="s">
        <v>12737</v>
      </c>
      <c r="J161" t="s">
        <v>12738</v>
      </c>
    </row>
    <row r="162" spans="1:10">
      <c r="A162" t="s">
        <v>12722</v>
      </c>
      <c r="B162" t="s">
        <v>12511</v>
      </c>
      <c r="C162" t="s">
        <v>12354</v>
      </c>
      <c r="D162" t="s">
        <v>12354</v>
      </c>
      <c r="E162" t="s">
        <v>12354</v>
      </c>
      <c r="F162" t="s">
        <v>12354</v>
      </c>
      <c r="G162" t="s">
        <v>12354</v>
      </c>
      <c r="I162" t="s">
        <v>12737</v>
      </c>
      <c r="J162" t="s">
        <v>12739</v>
      </c>
    </row>
    <row r="163" spans="1:10">
      <c r="A163" t="s">
        <v>12723</v>
      </c>
      <c r="B163" t="s">
        <v>12512</v>
      </c>
      <c r="C163" t="s">
        <v>12354</v>
      </c>
      <c r="D163" t="s">
        <v>12354</v>
      </c>
      <c r="E163" t="s">
        <v>12354</v>
      </c>
      <c r="F163" t="s">
        <v>12354</v>
      </c>
      <c r="G163" t="s">
        <v>12354</v>
      </c>
      <c r="I163" t="s">
        <v>12737</v>
      </c>
      <c r="J163" t="s">
        <v>12740</v>
      </c>
    </row>
    <row r="164" spans="1:10">
      <c r="A164" t="s">
        <v>12724</v>
      </c>
      <c r="B164" t="s">
        <v>12513</v>
      </c>
      <c r="C164" t="s">
        <v>12354</v>
      </c>
      <c r="D164" t="s">
        <v>12354</v>
      </c>
      <c r="E164" t="s">
        <v>12354</v>
      </c>
      <c r="F164" t="s">
        <v>12354</v>
      </c>
      <c r="G164" t="s">
        <v>12354</v>
      </c>
      <c r="I164" t="s">
        <v>12737</v>
      </c>
      <c r="J164" t="s">
        <v>12741</v>
      </c>
    </row>
    <row r="165" spans="1:10">
      <c r="A165" t="s">
        <v>12725</v>
      </c>
      <c r="B165" t="s">
        <v>12514</v>
      </c>
      <c r="C165" t="s">
        <v>12354</v>
      </c>
      <c r="D165" t="s">
        <v>12354</v>
      </c>
      <c r="E165" t="s">
        <v>12354</v>
      </c>
      <c r="F165" t="s">
        <v>12354</v>
      </c>
      <c r="G165" t="s">
        <v>12354</v>
      </c>
      <c r="I165" t="s">
        <v>12737</v>
      </c>
      <c r="J165" t="s">
        <v>12742</v>
      </c>
    </row>
    <row r="166" spans="1:10">
      <c r="A166" t="s">
        <v>12726</v>
      </c>
      <c r="B166" t="s">
        <v>12515</v>
      </c>
      <c r="C166" t="s">
        <v>12354</v>
      </c>
      <c r="D166" t="s">
        <v>12354</v>
      </c>
      <c r="E166" t="s">
        <v>12354</v>
      </c>
      <c r="F166" t="s">
        <v>12354</v>
      </c>
      <c r="G166" t="s">
        <v>12354</v>
      </c>
      <c r="I166" t="s">
        <v>12738</v>
      </c>
      <c r="J166" t="s">
        <v>12743</v>
      </c>
    </row>
    <row r="167" spans="1:10">
      <c r="A167" t="s">
        <v>12727</v>
      </c>
      <c r="B167" t="s">
        <v>12516</v>
      </c>
      <c r="C167" t="s">
        <v>12354</v>
      </c>
      <c r="D167" t="s">
        <v>12354</v>
      </c>
      <c r="E167" t="s">
        <v>12354</v>
      </c>
      <c r="F167" t="s">
        <v>12354</v>
      </c>
      <c r="G167" t="s">
        <v>12354</v>
      </c>
      <c r="I167" t="s">
        <v>12739</v>
      </c>
      <c r="J167" t="s">
        <v>12744</v>
      </c>
    </row>
    <row r="168" spans="1:10">
      <c r="A168" t="s">
        <v>12728</v>
      </c>
      <c r="B168" t="s">
        <v>12517</v>
      </c>
      <c r="C168" t="s">
        <v>12354</v>
      </c>
      <c r="D168" t="s">
        <v>12354</v>
      </c>
      <c r="E168" t="s">
        <v>12354</v>
      </c>
      <c r="F168" t="s">
        <v>12354</v>
      </c>
      <c r="G168" t="s">
        <v>12354</v>
      </c>
      <c r="I168" t="s">
        <v>12739</v>
      </c>
      <c r="J168" t="s">
        <v>12745</v>
      </c>
    </row>
    <row r="169" spans="1:10">
      <c r="A169" t="s">
        <v>12729</v>
      </c>
      <c r="B169" t="s">
        <v>12518</v>
      </c>
      <c r="C169" t="s">
        <v>12354</v>
      </c>
      <c r="D169" t="s">
        <v>12354</v>
      </c>
      <c r="E169" t="s">
        <v>12354</v>
      </c>
      <c r="F169" t="s">
        <v>12354</v>
      </c>
      <c r="G169" t="s">
        <v>12354</v>
      </c>
      <c r="I169" t="s">
        <v>12739</v>
      </c>
      <c r="J169" t="s">
        <v>12746</v>
      </c>
    </row>
    <row r="170" spans="1:10">
      <c r="A170" t="s">
        <v>12730</v>
      </c>
      <c r="B170" t="s">
        <v>12519</v>
      </c>
      <c r="C170" t="s">
        <v>12354</v>
      </c>
      <c r="D170" t="s">
        <v>12354</v>
      </c>
      <c r="E170" t="s">
        <v>12354</v>
      </c>
      <c r="F170" t="s">
        <v>12354</v>
      </c>
      <c r="G170" t="s">
        <v>12354</v>
      </c>
      <c r="I170" t="s">
        <v>12740</v>
      </c>
      <c r="J170" t="s">
        <v>12747</v>
      </c>
    </row>
    <row r="171" spans="1:10">
      <c r="A171" t="s">
        <v>12731</v>
      </c>
      <c r="B171" t="s">
        <v>12520</v>
      </c>
      <c r="C171" t="s">
        <v>12354</v>
      </c>
      <c r="D171" t="s">
        <v>12354</v>
      </c>
      <c r="E171" t="s">
        <v>12354</v>
      </c>
      <c r="F171" t="s">
        <v>12354</v>
      </c>
      <c r="G171" t="s">
        <v>12354</v>
      </c>
      <c r="I171" t="s">
        <v>12740</v>
      </c>
      <c r="J171" t="s">
        <v>12748</v>
      </c>
    </row>
    <row r="172" spans="1:10">
      <c r="A172" t="s">
        <v>12732</v>
      </c>
      <c r="B172" t="s">
        <v>12517</v>
      </c>
      <c r="C172" t="s">
        <v>12354</v>
      </c>
      <c r="D172" t="s">
        <v>12354</v>
      </c>
      <c r="E172" t="s">
        <v>12354</v>
      </c>
      <c r="F172" t="s">
        <v>12354</v>
      </c>
      <c r="G172" t="s">
        <v>12354</v>
      </c>
      <c r="I172" t="s">
        <v>12741</v>
      </c>
      <c r="J172" t="s">
        <v>12749</v>
      </c>
    </row>
    <row r="173" spans="1:10">
      <c r="A173" t="s">
        <v>12733</v>
      </c>
      <c r="B173" t="s">
        <v>12518</v>
      </c>
      <c r="C173" t="s">
        <v>12354</v>
      </c>
      <c r="D173" t="s">
        <v>12354</v>
      </c>
      <c r="E173" t="s">
        <v>12354</v>
      </c>
      <c r="F173" t="s">
        <v>12354</v>
      </c>
      <c r="G173" t="s">
        <v>12354</v>
      </c>
      <c r="I173" t="s">
        <v>12741</v>
      </c>
      <c r="J173" t="s">
        <v>12750</v>
      </c>
    </row>
    <row r="174" spans="1:10">
      <c r="A174" t="s">
        <v>12734</v>
      </c>
      <c r="B174" t="s">
        <v>12519</v>
      </c>
      <c r="C174" t="s">
        <v>12354</v>
      </c>
      <c r="D174" t="s">
        <v>12354</v>
      </c>
      <c r="E174" t="s">
        <v>12354</v>
      </c>
      <c r="F174" t="s">
        <v>12354</v>
      </c>
      <c r="G174" t="s">
        <v>12354</v>
      </c>
      <c r="I174" t="s">
        <v>12743</v>
      </c>
      <c r="J174" t="s">
        <v>12751</v>
      </c>
    </row>
    <row r="175" spans="1:10">
      <c r="A175" t="s">
        <v>12735</v>
      </c>
      <c r="B175" t="s">
        <v>12520</v>
      </c>
      <c r="C175" t="s">
        <v>12354</v>
      </c>
      <c r="D175" t="s">
        <v>12354</v>
      </c>
      <c r="E175" t="s">
        <v>12354</v>
      </c>
      <c r="F175" t="s">
        <v>12354</v>
      </c>
      <c r="G175" t="s">
        <v>12354</v>
      </c>
      <c r="I175" t="s">
        <v>12743</v>
      </c>
      <c r="J175" t="s">
        <v>12752</v>
      </c>
    </row>
    <row r="176" spans="1:10">
      <c r="A176" t="s">
        <v>12736</v>
      </c>
      <c r="B176" t="s">
        <v>12521</v>
      </c>
      <c r="C176" t="s">
        <v>12354</v>
      </c>
      <c r="D176" t="s">
        <v>12354</v>
      </c>
      <c r="E176" t="s">
        <v>12354</v>
      </c>
      <c r="F176" t="s">
        <v>12354</v>
      </c>
      <c r="G176" t="s">
        <v>12354</v>
      </c>
      <c r="I176" t="s">
        <v>12743</v>
      </c>
      <c r="J176" t="s">
        <v>12753</v>
      </c>
    </row>
    <row r="177" spans="1:10">
      <c r="A177" t="s">
        <v>12737</v>
      </c>
      <c r="B177" t="s">
        <v>12522</v>
      </c>
      <c r="C177" t="s">
        <v>12354</v>
      </c>
      <c r="D177" t="s">
        <v>12354</v>
      </c>
      <c r="E177" t="s">
        <v>12354</v>
      </c>
      <c r="F177" t="s">
        <v>12354</v>
      </c>
      <c r="G177" t="s">
        <v>12354</v>
      </c>
      <c r="I177" t="s">
        <v>12751</v>
      </c>
      <c r="J177" t="s">
        <v>12754</v>
      </c>
    </row>
    <row r="178" spans="1:10">
      <c r="A178" t="s">
        <v>12738</v>
      </c>
      <c r="B178" t="s">
        <v>12524</v>
      </c>
      <c r="C178" t="s">
        <v>12354</v>
      </c>
      <c r="D178" t="s">
        <v>12354</v>
      </c>
      <c r="E178" t="s">
        <v>12354</v>
      </c>
      <c r="F178" t="s">
        <v>12354</v>
      </c>
      <c r="G178" t="s">
        <v>12354</v>
      </c>
      <c r="I178" t="s">
        <v>12751</v>
      </c>
      <c r="J178" t="s">
        <v>12755</v>
      </c>
    </row>
    <row r="179" spans="1:10">
      <c r="A179" t="s">
        <v>12739</v>
      </c>
      <c r="B179" t="s">
        <v>12525</v>
      </c>
      <c r="C179" t="s">
        <v>12354</v>
      </c>
      <c r="D179" t="s">
        <v>12354</v>
      </c>
      <c r="E179" t="s">
        <v>12354</v>
      </c>
      <c r="F179" t="s">
        <v>12354</v>
      </c>
      <c r="G179" t="s">
        <v>12354</v>
      </c>
      <c r="I179" t="s">
        <v>12751</v>
      </c>
      <c r="J179" t="s">
        <v>12756</v>
      </c>
    </row>
    <row r="180" spans="1:10">
      <c r="A180" t="s">
        <v>12740</v>
      </c>
      <c r="B180" t="s">
        <v>12526</v>
      </c>
      <c r="C180" t="s">
        <v>12354</v>
      </c>
      <c r="D180" t="s">
        <v>12354</v>
      </c>
      <c r="E180" t="s">
        <v>12354</v>
      </c>
      <c r="F180" t="s">
        <v>12354</v>
      </c>
      <c r="G180" t="s">
        <v>12354</v>
      </c>
      <c r="I180" t="s">
        <v>12751</v>
      </c>
      <c r="J180" t="s">
        <v>12757</v>
      </c>
    </row>
    <row r="181" spans="1:10">
      <c r="A181" t="s">
        <v>12741</v>
      </c>
      <c r="B181" t="s">
        <v>12527</v>
      </c>
      <c r="C181" t="s">
        <v>12354</v>
      </c>
      <c r="D181" t="s">
        <v>12354</v>
      </c>
      <c r="E181" t="s">
        <v>12354</v>
      </c>
      <c r="F181" t="s">
        <v>12354</v>
      </c>
      <c r="G181" t="s">
        <v>12354</v>
      </c>
      <c r="I181" t="s">
        <v>12752</v>
      </c>
      <c r="J181" t="s">
        <v>12758</v>
      </c>
    </row>
    <row r="182" spans="1:10">
      <c r="A182" t="s">
        <v>12742</v>
      </c>
      <c r="B182" t="s">
        <v>12528</v>
      </c>
      <c r="C182" t="s">
        <v>12354</v>
      </c>
      <c r="D182" t="s">
        <v>12354</v>
      </c>
      <c r="E182" t="s">
        <v>12354</v>
      </c>
      <c r="F182" t="s">
        <v>12354</v>
      </c>
      <c r="G182" t="s">
        <v>12354</v>
      </c>
      <c r="I182" t="s">
        <v>12752</v>
      </c>
      <c r="J182" t="s">
        <v>12759</v>
      </c>
    </row>
    <row r="183" spans="1:10">
      <c r="A183" t="s">
        <v>12743</v>
      </c>
      <c r="B183" t="s">
        <v>12529</v>
      </c>
      <c r="C183" t="s">
        <v>12354</v>
      </c>
      <c r="D183" t="s">
        <v>12354</v>
      </c>
      <c r="E183" t="s">
        <v>12354</v>
      </c>
      <c r="F183" t="s">
        <v>12354</v>
      </c>
      <c r="G183" t="s">
        <v>12354</v>
      </c>
      <c r="I183" t="s">
        <v>12752</v>
      </c>
      <c r="J183" t="s">
        <v>12760</v>
      </c>
    </row>
    <row r="184" spans="1:10">
      <c r="A184" t="s">
        <v>12744</v>
      </c>
      <c r="B184" t="s">
        <v>12530</v>
      </c>
      <c r="C184" t="s">
        <v>12354</v>
      </c>
      <c r="D184" t="s">
        <v>12354</v>
      </c>
      <c r="E184" t="s">
        <v>12354</v>
      </c>
      <c r="F184" t="s">
        <v>12354</v>
      </c>
      <c r="G184" t="s">
        <v>12354</v>
      </c>
      <c r="I184" t="s">
        <v>12752</v>
      </c>
      <c r="J184" t="s">
        <v>12761</v>
      </c>
    </row>
    <row r="185" spans="1:10">
      <c r="A185" t="s">
        <v>12745</v>
      </c>
      <c r="B185" t="s">
        <v>12531</v>
      </c>
      <c r="C185" t="s">
        <v>12354</v>
      </c>
      <c r="D185" t="s">
        <v>12354</v>
      </c>
      <c r="E185" t="s">
        <v>12354</v>
      </c>
      <c r="F185" t="s">
        <v>12354</v>
      </c>
      <c r="G185" t="s">
        <v>12354</v>
      </c>
      <c r="I185" t="s">
        <v>12753</v>
      </c>
      <c r="J185" t="s">
        <v>12762</v>
      </c>
    </row>
    <row r="186" spans="1:10">
      <c r="A186" t="s">
        <v>12746</v>
      </c>
      <c r="B186" t="s">
        <v>12532</v>
      </c>
      <c r="C186" t="s">
        <v>12354</v>
      </c>
      <c r="D186" t="s">
        <v>12354</v>
      </c>
      <c r="E186" t="s">
        <v>12354</v>
      </c>
      <c r="F186" t="s">
        <v>12354</v>
      </c>
      <c r="G186" t="s">
        <v>12354</v>
      </c>
      <c r="I186" t="s">
        <v>12753</v>
      </c>
      <c r="J186" t="s">
        <v>12763</v>
      </c>
    </row>
    <row r="187" spans="1:10">
      <c r="A187" t="s">
        <v>12747</v>
      </c>
      <c r="B187" t="s">
        <v>12533</v>
      </c>
      <c r="C187" t="s">
        <v>12354</v>
      </c>
      <c r="D187" t="s">
        <v>12354</v>
      </c>
      <c r="E187" t="s">
        <v>12354</v>
      </c>
      <c r="F187" t="s">
        <v>12354</v>
      </c>
      <c r="G187" t="s">
        <v>12354</v>
      </c>
      <c r="I187" t="s">
        <v>12753</v>
      </c>
      <c r="J187" t="s">
        <v>12764</v>
      </c>
    </row>
    <row r="188" spans="1:10">
      <c r="A188" t="s">
        <v>12748</v>
      </c>
      <c r="B188" t="s">
        <v>12534</v>
      </c>
      <c r="C188" t="s">
        <v>12354</v>
      </c>
      <c r="D188" t="s">
        <v>12354</v>
      </c>
      <c r="E188" t="s">
        <v>12354</v>
      </c>
      <c r="F188" t="s">
        <v>12354</v>
      </c>
      <c r="G188" t="s">
        <v>12354</v>
      </c>
      <c r="I188" t="s">
        <v>12753</v>
      </c>
      <c r="J188" t="s">
        <v>12765</v>
      </c>
    </row>
    <row r="189" spans="1:10">
      <c r="A189" t="s">
        <v>12749</v>
      </c>
      <c r="B189" t="s">
        <v>12535</v>
      </c>
      <c r="C189" t="s">
        <v>12354</v>
      </c>
      <c r="D189" t="s">
        <v>12354</v>
      </c>
      <c r="E189" t="s">
        <v>12354</v>
      </c>
      <c r="F189" t="s">
        <v>12354</v>
      </c>
      <c r="G189" t="s">
        <v>12354</v>
      </c>
      <c r="I189" t="s">
        <v>12523</v>
      </c>
      <c r="J189" t="s">
        <v>12766</v>
      </c>
    </row>
    <row r="190" spans="1:10">
      <c r="A190" t="s">
        <v>12750</v>
      </c>
      <c r="B190" t="s">
        <v>12536</v>
      </c>
      <c r="C190" t="s">
        <v>12354</v>
      </c>
      <c r="D190" t="s">
        <v>12354</v>
      </c>
      <c r="E190" t="s">
        <v>12354</v>
      </c>
      <c r="F190" t="s">
        <v>12354</v>
      </c>
      <c r="G190" t="s">
        <v>12354</v>
      </c>
      <c r="I190" t="s">
        <v>1123</v>
      </c>
      <c r="J190" t="s">
        <v>12767</v>
      </c>
    </row>
    <row r="191" spans="1:10">
      <c r="A191" t="s">
        <v>12751</v>
      </c>
      <c r="B191" t="s">
        <v>12537</v>
      </c>
      <c r="C191" t="s">
        <v>12354</v>
      </c>
      <c r="D191" t="s">
        <v>12354</v>
      </c>
      <c r="E191" t="s">
        <v>12354</v>
      </c>
      <c r="F191" t="s">
        <v>12354</v>
      </c>
      <c r="G191" t="s">
        <v>12354</v>
      </c>
      <c r="I191" t="s">
        <v>12767</v>
      </c>
      <c r="J191" t="s">
        <v>12768</v>
      </c>
    </row>
    <row r="192" spans="1:10">
      <c r="A192" t="s">
        <v>12752</v>
      </c>
      <c r="B192" t="s">
        <v>12538</v>
      </c>
      <c r="C192" t="s">
        <v>12354</v>
      </c>
      <c r="D192" t="s">
        <v>12354</v>
      </c>
      <c r="E192" t="s">
        <v>12354</v>
      </c>
      <c r="F192" t="s">
        <v>12354</v>
      </c>
      <c r="G192" t="s">
        <v>12354</v>
      </c>
      <c r="I192" t="s">
        <v>12767</v>
      </c>
      <c r="J192" t="s">
        <v>12769</v>
      </c>
    </row>
    <row r="193" spans="1:10">
      <c r="A193" t="s">
        <v>12753</v>
      </c>
      <c r="B193" t="s">
        <v>12539</v>
      </c>
      <c r="C193" t="s">
        <v>12354</v>
      </c>
      <c r="D193" t="s">
        <v>12354</v>
      </c>
      <c r="E193" t="s">
        <v>12354</v>
      </c>
      <c r="F193" t="s">
        <v>12354</v>
      </c>
      <c r="G193" t="s">
        <v>12354</v>
      </c>
      <c r="I193" t="s">
        <v>12767</v>
      </c>
      <c r="J193" t="s">
        <v>12770</v>
      </c>
    </row>
    <row r="194" spans="1:10">
      <c r="A194" t="s">
        <v>12754</v>
      </c>
      <c r="B194" t="s">
        <v>12540</v>
      </c>
      <c r="C194" t="s">
        <v>12354</v>
      </c>
      <c r="D194" t="s">
        <v>12354</v>
      </c>
      <c r="E194" t="s">
        <v>12354</v>
      </c>
      <c r="F194" t="s">
        <v>12354</v>
      </c>
      <c r="G194" t="s">
        <v>12354</v>
      </c>
      <c r="I194" t="s">
        <v>12767</v>
      </c>
      <c r="J194" t="s">
        <v>12771</v>
      </c>
    </row>
    <row r="195" spans="1:10">
      <c r="A195" t="s">
        <v>12755</v>
      </c>
      <c r="B195" t="s">
        <v>12541</v>
      </c>
      <c r="C195" t="s">
        <v>12354</v>
      </c>
      <c r="D195" t="s">
        <v>12354</v>
      </c>
      <c r="E195" t="s">
        <v>12354</v>
      </c>
      <c r="F195" t="s">
        <v>12354</v>
      </c>
      <c r="G195" t="s">
        <v>12354</v>
      </c>
      <c r="I195" t="s">
        <v>12767</v>
      </c>
      <c r="J195" t="s">
        <v>12772</v>
      </c>
    </row>
    <row r="196" spans="1:10">
      <c r="A196" t="s">
        <v>12756</v>
      </c>
      <c r="B196" t="s">
        <v>12542</v>
      </c>
      <c r="C196" t="s">
        <v>12354</v>
      </c>
      <c r="D196" t="s">
        <v>12354</v>
      </c>
      <c r="E196" t="s">
        <v>12354</v>
      </c>
      <c r="F196" t="s">
        <v>12354</v>
      </c>
      <c r="G196" t="s">
        <v>12354</v>
      </c>
      <c r="I196" t="s">
        <v>12768</v>
      </c>
      <c r="J196" t="s">
        <v>12773</v>
      </c>
    </row>
    <row r="197" spans="1:10">
      <c r="A197" t="s">
        <v>12757</v>
      </c>
      <c r="B197" t="s">
        <v>12543</v>
      </c>
      <c r="C197" t="s">
        <v>12354</v>
      </c>
      <c r="D197" t="s">
        <v>12354</v>
      </c>
      <c r="E197" t="s">
        <v>12354</v>
      </c>
      <c r="F197" t="s">
        <v>12354</v>
      </c>
      <c r="G197" t="s">
        <v>12354</v>
      </c>
      <c r="I197" t="s">
        <v>12769</v>
      </c>
      <c r="J197" t="s">
        <v>12774</v>
      </c>
    </row>
    <row r="198" spans="1:10">
      <c r="A198" t="s">
        <v>12758</v>
      </c>
      <c r="B198" t="s">
        <v>12540</v>
      </c>
      <c r="C198" t="s">
        <v>12354</v>
      </c>
      <c r="D198" t="s">
        <v>12354</v>
      </c>
      <c r="E198" t="s">
        <v>12354</v>
      </c>
      <c r="F198" t="s">
        <v>12354</v>
      </c>
      <c r="G198" t="s">
        <v>12354</v>
      </c>
      <c r="I198" t="s">
        <v>12769</v>
      </c>
      <c r="J198" t="s">
        <v>12775</v>
      </c>
    </row>
    <row r="199" spans="1:10">
      <c r="A199" t="s">
        <v>12759</v>
      </c>
      <c r="B199" t="s">
        <v>12541</v>
      </c>
      <c r="C199" t="s">
        <v>12354</v>
      </c>
      <c r="D199" t="s">
        <v>12354</v>
      </c>
      <c r="E199" t="s">
        <v>12354</v>
      </c>
      <c r="F199" t="s">
        <v>12354</v>
      </c>
      <c r="G199" t="s">
        <v>12354</v>
      </c>
      <c r="I199" t="s">
        <v>12769</v>
      </c>
      <c r="J199" t="s">
        <v>12776</v>
      </c>
    </row>
    <row r="200" spans="1:10">
      <c r="A200" t="s">
        <v>12760</v>
      </c>
      <c r="B200" t="s">
        <v>12542</v>
      </c>
      <c r="C200" t="s">
        <v>12354</v>
      </c>
      <c r="D200" t="s">
        <v>12354</v>
      </c>
      <c r="E200" t="s">
        <v>12354</v>
      </c>
      <c r="F200" t="s">
        <v>12354</v>
      </c>
      <c r="G200" t="s">
        <v>12354</v>
      </c>
      <c r="I200" t="s">
        <v>12771</v>
      </c>
      <c r="J200" t="s">
        <v>12777</v>
      </c>
    </row>
    <row r="201" spans="1:10">
      <c r="A201" t="s">
        <v>12761</v>
      </c>
      <c r="B201" t="s">
        <v>12543</v>
      </c>
      <c r="C201" t="s">
        <v>12354</v>
      </c>
      <c r="D201" t="s">
        <v>12354</v>
      </c>
      <c r="E201" t="s">
        <v>12354</v>
      </c>
      <c r="F201" t="s">
        <v>12354</v>
      </c>
      <c r="G201" t="s">
        <v>12354</v>
      </c>
      <c r="I201" t="s">
        <v>12771</v>
      </c>
      <c r="J201" t="s">
        <v>12778</v>
      </c>
    </row>
    <row r="202" spans="1:10">
      <c r="A202" t="s">
        <v>12762</v>
      </c>
      <c r="B202" t="s">
        <v>12540</v>
      </c>
      <c r="C202" t="s">
        <v>12354</v>
      </c>
      <c r="D202" t="s">
        <v>12354</v>
      </c>
      <c r="E202" t="s">
        <v>12354</v>
      </c>
      <c r="F202" t="s">
        <v>12354</v>
      </c>
      <c r="G202" t="s">
        <v>12354</v>
      </c>
      <c r="I202" t="s">
        <v>12770</v>
      </c>
      <c r="J202" t="s">
        <v>12779</v>
      </c>
    </row>
    <row r="203" spans="1:10">
      <c r="A203" t="s">
        <v>12763</v>
      </c>
      <c r="B203" t="s">
        <v>12541</v>
      </c>
      <c r="C203" t="s">
        <v>12354</v>
      </c>
      <c r="D203" t="s">
        <v>12354</v>
      </c>
      <c r="E203" t="s">
        <v>12354</v>
      </c>
      <c r="F203" t="s">
        <v>12354</v>
      </c>
      <c r="G203" t="s">
        <v>12354</v>
      </c>
      <c r="I203" t="s">
        <v>12773</v>
      </c>
      <c r="J203" t="s">
        <v>12780</v>
      </c>
    </row>
    <row r="204" spans="1:10">
      <c r="A204" t="s">
        <v>12764</v>
      </c>
      <c r="B204" t="s">
        <v>12542</v>
      </c>
      <c r="C204" t="s">
        <v>12354</v>
      </c>
      <c r="D204" t="s">
        <v>12354</v>
      </c>
      <c r="E204" t="s">
        <v>12354</v>
      </c>
      <c r="F204" t="s">
        <v>12354</v>
      </c>
      <c r="G204" t="s">
        <v>12354</v>
      </c>
      <c r="I204" t="s">
        <v>12773</v>
      </c>
      <c r="J204" t="s">
        <v>12781</v>
      </c>
    </row>
    <row r="205" spans="1:10">
      <c r="A205" t="s">
        <v>12765</v>
      </c>
      <c r="B205" t="s">
        <v>12543</v>
      </c>
      <c r="C205" t="s">
        <v>12354</v>
      </c>
      <c r="D205" t="s">
        <v>12354</v>
      </c>
      <c r="E205" t="s">
        <v>12354</v>
      </c>
      <c r="F205" t="s">
        <v>12354</v>
      </c>
      <c r="G205" t="s">
        <v>12354</v>
      </c>
      <c r="I205" t="s">
        <v>12780</v>
      </c>
      <c r="J205" t="s">
        <v>12782</v>
      </c>
    </row>
    <row r="206" spans="1:10">
      <c r="A206" t="s">
        <v>12766</v>
      </c>
      <c r="B206" t="s">
        <v>12544</v>
      </c>
      <c r="C206" t="s">
        <v>12354</v>
      </c>
      <c r="D206" t="s">
        <v>12354</v>
      </c>
      <c r="E206" t="s">
        <v>12354</v>
      </c>
      <c r="F206" t="s">
        <v>12354</v>
      </c>
      <c r="G206" t="s">
        <v>12354</v>
      </c>
      <c r="I206" t="s">
        <v>12780</v>
      </c>
      <c r="J206" t="s">
        <v>12783</v>
      </c>
    </row>
    <row r="207" spans="1:10">
      <c r="A207" t="s">
        <v>12767</v>
      </c>
      <c r="B207" t="s">
        <v>12545</v>
      </c>
      <c r="C207" t="s">
        <v>12354</v>
      </c>
      <c r="D207" t="s">
        <v>12354</v>
      </c>
      <c r="E207" t="s">
        <v>12354</v>
      </c>
      <c r="F207" t="s">
        <v>12354</v>
      </c>
      <c r="G207" t="s">
        <v>12354</v>
      </c>
      <c r="I207" t="s">
        <v>12780</v>
      </c>
      <c r="J207" t="s">
        <v>12784</v>
      </c>
    </row>
    <row r="208" spans="1:10">
      <c r="A208" t="s">
        <v>12768</v>
      </c>
      <c r="B208" t="s">
        <v>12546</v>
      </c>
      <c r="C208" t="s">
        <v>12354</v>
      </c>
      <c r="D208" t="s">
        <v>12354</v>
      </c>
      <c r="E208" t="s">
        <v>12354</v>
      </c>
      <c r="F208" t="s">
        <v>12354</v>
      </c>
      <c r="G208" t="s">
        <v>12354</v>
      </c>
      <c r="I208" t="s">
        <v>12780</v>
      </c>
      <c r="J208" t="s">
        <v>12785</v>
      </c>
    </row>
    <row r="209" spans="1:10">
      <c r="A209" t="s">
        <v>12769</v>
      </c>
      <c r="B209" t="s">
        <v>12547</v>
      </c>
      <c r="C209" t="s">
        <v>12354</v>
      </c>
      <c r="D209" t="s">
        <v>12354</v>
      </c>
      <c r="E209" t="s">
        <v>12354</v>
      </c>
      <c r="F209" t="s">
        <v>12354</v>
      </c>
      <c r="G209" t="s">
        <v>12354</v>
      </c>
      <c r="I209" t="s">
        <v>1123</v>
      </c>
      <c r="J209" t="s">
        <v>12786</v>
      </c>
    </row>
    <row r="210" spans="1:10">
      <c r="A210" t="s">
        <v>12770</v>
      </c>
      <c r="B210" t="s">
        <v>12548</v>
      </c>
      <c r="C210" t="s">
        <v>12354</v>
      </c>
      <c r="D210" t="s">
        <v>12354</v>
      </c>
      <c r="E210" t="s">
        <v>12354</v>
      </c>
      <c r="F210" t="s">
        <v>12354</v>
      </c>
      <c r="G210" t="s">
        <v>12354</v>
      </c>
      <c r="I210" t="s">
        <v>2464</v>
      </c>
      <c r="J210" t="s">
        <v>12566</v>
      </c>
    </row>
    <row r="211" spans="1:10">
      <c r="A211" t="s">
        <v>12771</v>
      </c>
      <c r="B211" t="s">
        <v>12549</v>
      </c>
      <c r="C211" t="s">
        <v>12354</v>
      </c>
      <c r="D211" t="s">
        <v>12354</v>
      </c>
      <c r="E211" t="s">
        <v>12354</v>
      </c>
      <c r="F211" t="s">
        <v>12354</v>
      </c>
      <c r="G211" t="s">
        <v>12354</v>
      </c>
      <c r="I211" t="s">
        <v>2492</v>
      </c>
      <c r="J211" t="s">
        <v>12568</v>
      </c>
    </row>
    <row r="212" spans="1:10">
      <c r="A212" t="s">
        <v>12772</v>
      </c>
      <c r="B212" t="s">
        <v>12550</v>
      </c>
      <c r="C212" t="s">
        <v>12354</v>
      </c>
      <c r="D212" t="s">
        <v>12354</v>
      </c>
      <c r="E212" t="s">
        <v>12354</v>
      </c>
      <c r="F212" t="s">
        <v>12354</v>
      </c>
      <c r="G212" t="s">
        <v>12354</v>
      </c>
      <c r="I212" t="s">
        <v>2094</v>
      </c>
      <c r="J212" t="s">
        <v>12570</v>
      </c>
    </row>
    <row r="213" spans="1:10">
      <c r="A213" t="s">
        <v>12773</v>
      </c>
      <c r="B213" t="s">
        <v>12551</v>
      </c>
      <c r="C213" t="s">
        <v>12354</v>
      </c>
      <c r="D213" t="s">
        <v>12354</v>
      </c>
      <c r="E213" t="s">
        <v>12354</v>
      </c>
      <c r="F213" t="s">
        <v>12354</v>
      </c>
      <c r="G213" t="s">
        <v>12354</v>
      </c>
      <c r="I213" t="s">
        <v>12165</v>
      </c>
      <c r="J213" t="s">
        <v>12572</v>
      </c>
    </row>
    <row r="214" spans="1:10">
      <c r="A214" t="s">
        <v>12774</v>
      </c>
      <c r="B214" t="s">
        <v>12552</v>
      </c>
      <c r="C214" t="s">
        <v>12354</v>
      </c>
      <c r="D214" t="s">
        <v>12354</v>
      </c>
      <c r="E214" t="s">
        <v>12354</v>
      </c>
      <c r="F214" t="s">
        <v>12354</v>
      </c>
      <c r="G214" t="s">
        <v>12354</v>
      </c>
      <c r="I214" t="s">
        <v>8042</v>
      </c>
      <c r="J214" t="s">
        <v>12574</v>
      </c>
    </row>
    <row r="215" spans="1:10">
      <c r="A215" t="s">
        <v>12775</v>
      </c>
      <c r="B215" t="s">
        <v>12553</v>
      </c>
      <c r="C215" t="s">
        <v>12354</v>
      </c>
      <c r="D215" t="s">
        <v>12354</v>
      </c>
      <c r="E215" t="s">
        <v>12354</v>
      </c>
      <c r="F215" t="s">
        <v>12354</v>
      </c>
      <c r="G215" t="s">
        <v>12354</v>
      </c>
      <c r="I215" t="s">
        <v>2686</v>
      </c>
      <c r="J215" t="s">
        <v>12576</v>
      </c>
    </row>
    <row r="216" spans="1:10">
      <c r="A216" t="s">
        <v>12776</v>
      </c>
      <c r="B216" t="s">
        <v>12554</v>
      </c>
      <c r="C216" t="s">
        <v>12354</v>
      </c>
      <c r="D216" t="s">
        <v>12354</v>
      </c>
      <c r="E216" t="s">
        <v>12354</v>
      </c>
      <c r="F216" t="s">
        <v>12354</v>
      </c>
      <c r="G216" t="s">
        <v>12354</v>
      </c>
    </row>
    <row r="217" spans="1:10">
      <c r="A217" t="s">
        <v>12777</v>
      </c>
      <c r="B217" t="s">
        <v>12555</v>
      </c>
      <c r="C217" t="s">
        <v>12354</v>
      </c>
      <c r="D217" t="s">
        <v>12354</v>
      </c>
      <c r="E217" t="s">
        <v>12354</v>
      </c>
      <c r="F217" t="s">
        <v>12354</v>
      </c>
      <c r="G217" t="s">
        <v>12354</v>
      </c>
    </row>
    <row r="218" spans="1:10">
      <c r="A218" t="s">
        <v>12778</v>
      </c>
      <c r="B218" t="s">
        <v>12556</v>
      </c>
      <c r="C218" t="s">
        <v>12354</v>
      </c>
      <c r="D218" t="s">
        <v>12354</v>
      </c>
      <c r="E218" t="s">
        <v>12354</v>
      </c>
      <c r="F218" t="s">
        <v>12354</v>
      </c>
      <c r="G218" t="s">
        <v>12354</v>
      </c>
    </row>
    <row r="219" spans="1:10">
      <c r="A219" t="s">
        <v>12779</v>
      </c>
      <c r="B219" t="s">
        <v>12557</v>
      </c>
      <c r="C219" t="s">
        <v>12354</v>
      </c>
      <c r="D219" t="s">
        <v>12354</v>
      </c>
      <c r="E219" t="s">
        <v>12354</v>
      </c>
      <c r="F219" t="s">
        <v>12354</v>
      </c>
      <c r="G219" t="s">
        <v>12354</v>
      </c>
    </row>
    <row r="220" spans="1:10">
      <c r="A220" t="s">
        <v>12780</v>
      </c>
      <c r="B220" t="s">
        <v>12558</v>
      </c>
      <c r="C220" t="s">
        <v>12354</v>
      </c>
      <c r="D220" t="s">
        <v>12354</v>
      </c>
      <c r="E220" t="s">
        <v>12354</v>
      </c>
      <c r="F220" t="s">
        <v>12354</v>
      </c>
      <c r="G220" t="s">
        <v>12354</v>
      </c>
    </row>
    <row r="221" spans="1:10">
      <c r="A221" t="s">
        <v>12781</v>
      </c>
      <c r="B221" t="s">
        <v>12559</v>
      </c>
      <c r="C221" t="s">
        <v>12354</v>
      </c>
      <c r="D221" t="s">
        <v>12354</v>
      </c>
      <c r="E221" t="s">
        <v>12354</v>
      </c>
      <c r="F221" t="s">
        <v>12354</v>
      </c>
      <c r="G221" t="s">
        <v>12354</v>
      </c>
    </row>
    <row r="222" spans="1:10">
      <c r="A222" t="s">
        <v>12782</v>
      </c>
      <c r="B222" t="s">
        <v>12560</v>
      </c>
      <c r="C222" t="s">
        <v>12354</v>
      </c>
      <c r="D222" t="s">
        <v>12354</v>
      </c>
      <c r="E222" t="s">
        <v>12354</v>
      </c>
      <c r="F222" t="s">
        <v>12354</v>
      </c>
      <c r="G222" t="s">
        <v>12354</v>
      </c>
    </row>
    <row r="223" spans="1:10">
      <c r="A223" t="s">
        <v>12783</v>
      </c>
      <c r="B223" t="s">
        <v>12561</v>
      </c>
      <c r="C223" t="s">
        <v>12354</v>
      </c>
      <c r="D223" t="s">
        <v>12354</v>
      </c>
      <c r="E223" t="s">
        <v>12354</v>
      </c>
      <c r="F223" t="s">
        <v>12354</v>
      </c>
      <c r="G223" t="s">
        <v>12354</v>
      </c>
    </row>
    <row r="224" spans="1:10">
      <c r="A224" t="s">
        <v>12784</v>
      </c>
      <c r="B224" t="s">
        <v>12562</v>
      </c>
      <c r="C224" t="s">
        <v>12354</v>
      </c>
      <c r="D224" t="s">
        <v>12354</v>
      </c>
      <c r="E224" t="s">
        <v>12354</v>
      </c>
      <c r="F224" t="s">
        <v>12354</v>
      </c>
      <c r="G224" t="s">
        <v>12354</v>
      </c>
    </row>
    <row r="225" spans="1:7">
      <c r="A225" t="s">
        <v>12785</v>
      </c>
      <c r="B225" t="s">
        <v>12563</v>
      </c>
      <c r="C225" t="s">
        <v>12354</v>
      </c>
      <c r="D225" t="s">
        <v>12354</v>
      </c>
      <c r="E225" t="s">
        <v>12354</v>
      </c>
      <c r="F225" t="s">
        <v>12354</v>
      </c>
      <c r="G225" t="s">
        <v>12354</v>
      </c>
    </row>
    <row r="226" spans="1:7">
      <c r="A226" t="s">
        <v>12786</v>
      </c>
      <c r="B226" t="s">
        <v>12564</v>
      </c>
      <c r="C226" t="s">
        <v>12354</v>
      </c>
      <c r="D226" t="s">
        <v>12354</v>
      </c>
      <c r="E226" t="s">
        <v>12354</v>
      </c>
      <c r="F226" t="s">
        <v>12354</v>
      </c>
      <c r="G226" t="s">
        <v>12354</v>
      </c>
    </row>
    <row r="227" spans="1:7">
      <c r="A227" t="s">
        <v>12566</v>
      </c>
      <c r="B227" t="s">
        <v>12567</v>
      </c>
      <c r="C227" t="s">
        <v>12354</v>
      </c>
      <c r="D227" t="s">
        <v>12354</v>
      </c>
      <c r="E227" t="s">
        <v>12354</v>
      </c>
      <c r="F227" t="s">
        <v>12354</v>
      </c>
      <c r="G227" t="s">
        <v>12354</v>
      </c>
    </row>
    <row r="228" spans="1:7">
      <c r="A228" t="s">
        <v>12568</v>
      </c>
      <c r="B228" t="s">
        <v>12569</v>
      </c>
      <c r="C228" t="s">
        <v>12354</v>
      </c>
      <c r="D228" t="s">
        <v>12354</v>
      </c>
      <c r="E228" t="s">
        <v>12354</v>
      </c>
      <c r="F228" t="s">
        <v>12354</v>
      </c>
      <c r="G228" t="s">
        <v>12354</v>
      </c>
    </row>
    <row r="229" spans="1:7">
      <c r="A229" t="s">
        <v>12570</v>
      </c>
      <c r="B229" t="s">
        <v>12571</v>
      </c>
      <c r="C229" t="s">
        <v>12354</v>
      </c>
      <c r="D229" t="s">
        <v>12354</v>
      </c>
      <c r="E229" t="s">
        <v>12354</v>
      </c>
      <c r="F229" t="s">
        <v>12354</v>
      </c>
      <c r="G229" t="s">
        <v>12354</v>
      </c>
    </row>
    <row r="230" spans="1:7">
      <c r="A230" t="s">
        <v>12572</v>
      </c>
      <c r="B230" t="s">
        <v>12573</v>
      </c>
      <c r="C230" t="s">
        <v>12354</v>
      </c>
      <c r="D230" t="s">
        <v>12354</v>
      </c>
      <c r="E230" t="s">
        <v>12354</v>
      </c>
      <c r="F230" t="s">
        <v>12354</v>
      </c>
      <c r="G230" t="s">
        <v>12354</v>
      </c>
    </row>
    <row r="231" spans="1:7">
      <c r="A231" t="s">
        <v>12574</v>
      </c>
      <c r="B231" t="s">
        <v>12575</v>
      </c>
      <c r="C231" t="s">
        <v>12354</v>
      </c>
      <c r="D231" t="s">
        <v>12354</v>
      </c>
      <c r="E231" t="s">
        <v>12354</v>
      </c>
      <c r="F231" t="s">
        <v>12354</v>
      </c>
      <c r="G231" t="s">
        <v>12354</v>
      </c>
    </row>
    <row r="232" spans="1:7">
      <c r="A232" t="s">
        <v>12576</v>
      </c>
      <c r="B232" t="s">
        <v>12577</v>
      </c>
      <c r="C232" t="s">
        <v>12354</v>
      </c>
      <c r="D232" t="s">
        <v>12354</v>
      </c>
      <c r="E232" t="s">
        <v>12354</v>
      </c>
      <c r="F232" t="s">
        <v>12354</v>
      </c>
      <c r="G232" t="s">
        <v>12354</v>
      </c>
    </row>
  </sheetData>
  <autoFilter ref="A1:Q232" xr:uid="{97572C39-13CE-478F-A8F8-4D2EC6A0A426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811E6-B6E2-476A-ACAA-2700A5F223E6}">
  <dimension ref="A1:E15"/>
  <sheetViews>
    <sheetView workbookViewId="0">
      <selection activeCell="D1" sqref="D1:E3"/>
    </sheetView>
  </sheetViews>
  <sheetFormatPr defaultRowHeight="15"/>
  <cols>
    <col min="4" max="4" width="11.42578125" bestFit="1" customWidth="1"/>
    <col min="5" max="5" width="11.28515625" bestFit="1" customWidth="1"/>
  </cols>
  <sheetData>
    <row r="1" spans="1:5">
      <c r="A1" t="s">
        <v>12355</v>
      </c>
      <c r="D1" t="s">
        <v>12355</v>
      </c>
      <c r="E1" t="s">
        <v>12353</v>
      </c>
    </row>
    <row r="2" spans="1:5">
      <c r="A2" t="s">
        <v>724</v>
      </c>
      <c r="B2" t="s">
        <v>12365</v>
      </c>
      <c r="C2" t="s">
        <v>12354</v>
      </c>
      <c r="D2" t="s">
        <v>3827</v>
      </c>
      <c r="E2" t="s">
        <v>6271</v>
      </c>
    </row>
    <row r="3" spans="1:5">
      <c r="A3" t="s">
        <v>726</v>
      </c>
      <c r="B3" t="s">
        <v>12366</v>
      </c>
      <c r="C3" t="s">
        <v>12354</v>
      </c>
      <c r="D3" t="s">
        <v>275</v>
      </c>
      <c r="E3" t="s">
        <v>12352</v>
      </c>
    </row>
    <row r="4" spans="1:5">
      <c r="A4" t="s">
        <v>728</v>
      </c>
      <c r="B4" t="s">
        <v>12367</v>
      </c>
      <c r="C4" t="s">
        <v>12354</v>
      </c>
    </row>
    <row r="5" spans="1:5">
      <c r="A5" t="s">
        <v>730</v>
      </c>
      <c r="B5" t="s">
        <v>12368</v>
      </c>
      <c r="C5" t="s">
        <v>12354</v>
      </c>
    </row>
    <row r="6" spans="1:5">
      <c r="A6" t="s">
        <v>756</v>
      </c>
      <c r="B6" t="s">
        <v>12369</v>
      </c>
      <c r="C6" t="s">
        <v>12354</v>
      </c>
    </row>
    <row r="7" spans="1:5">
      <c r="A7" t="s">
        <v>762</v>
      </c>
      <c r="B7" t="s">
        <v>12370</v>
      </c>
      <c r="C7" t="s">
        <v>12354</v>
      </c>
    </row>
    <row r="8" spans="1:5">
      <c r="A8" t="s">
        <v>770</v>
      </c>
      <c r="B8" t="s">
        <v>12371</v>
      </c>
      <c r="C8" t="s">
        <v>12354</v>
      </c>
    </row>
    <row r="9" spans="1:5">
      <c r="A9" t="s">
        <v>776</v>
      </c>
      <c r="B9" t="s">
        <v>12372</v>
      </c>
      <c r="C9" t="s">
        <v>12354</v>
      </c>
    </row>
    <row r="10" spans="1:5">
      <c r="A10" t="s">
        <v>784</v>
      </c>
      <c r="B10" t="s">
        <v>12373</v>
      </c>
      <c r="C10" t="s">
        <v>12354</v>
      </c>
    </row>
    <row r="11" spans="1:5">
      <c r="A11" t="s">
        <v>796</v>
      </c>
      <c r="B11" t="s">
        <v>12374</v>
      </c>
      <c r="C11" t="s">
        <v>12354</v>
      </c>
    </row>
    <row r="12" spans="1:5">
      <c r="A12" t="s">
        <v>798</v>
      </c>
      <c r="B12" t="s">
        <v>12375</v>
      </c>
      <c r="C12" t="s">
        <v>12354</v>
      </c>
    </row>
    <row r="13" spans="1:5">
      <c r="A13" t="s">
        <v>802</v>
      </c>
      <c r="B13" t="s">
        <v>12376</v>
      </c>
      <c r="C13" t="s">
        <v>12354</v>
      </c>
    </row>
    <row r="14" spans="1:5">
      <c r="A14" t="s">
        <v>806</v>
      </c>
      <c r="B14" t="s">
        <v>12377</v>
      </c>
      <c r="C14" t="s">
        <v>12354</v>
      </c>
    </row>
    <row r="15" spans="1:5">
      <c r="A15" t="s">
        <v>6271</v>
      </c>
      <c r="B15" t="s">
        <v>12351</v>
      </c>
      <c r="C15" t="s">
        <v>12354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9D30-E46C-45E9-A8D8-BA399AC16F06}">
  <dimension ref="A1:B6"/>
  <sheetViews>
    <sheetView workbookViewId="0">
      <selection sqref="A1:B6"/>
    </sheetView>
  </sheetViews>
  <sheetFormatPr defaultRowHeight="15"/>
  <cols>
    <col min="1" max="1" width="12.28515625" bestFit="1" customWidth="1"/>
  </cols>
  <sheetData>
    <row r="1" spans="1:2">
      <c r="A1" s="45" t="s">
        <v>12566</v>
      </c>
      <c r="B1" t="s">
        <v>12567</v>
      </c>
    </row>
    <row r="2" spans="1:2">
      <c r="A2" s="45" t="s">
        <v>12568</v>
      </c>
      <c r="B2" t="s">
        <v>12569</v>
      </c>
    </row>
    <row r="3" spans="1:2">
      <c r="A3" s="45" t="s">
        <v>12570</v>
      </c>
      <c r="B3" t="s">
        <v>12571</v>
      </c>
    </row>
    <row r="4" spans="1:2">
      <c r="A4" s="45" t="s">
        <v>12572</v>
      </c>
      <c r="B4" t="s">
        <v>12573</v>
      </c>
    </row>
    <row r="5" spans="1:2">
      <c r="A5" s="45" t="s">
        <v>12574</v>
      </c>
      <c r="B5" t="s">
        <v>12575</v>
      </c>
    </row>
    <row r="6" spans="1:2">
      <c r="A6" s="110" t="s">
        <v>12576</v>
      </c>
      <c r="B6" t="s">
        <v>12577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7391-C281-47A4-9F9F-2E434EAF9E87}">
  <dimension ref="A1:C4"/>
  <sheetViews>
    <sheetView workbookViewId="0">
      <selection sqref="A1:C4"/>
    </sheetView>
  </sheetViews>
  <sheetFormatPr defaultRowHeight="15"/>
  <sheetData>
    <row r="1" spans="1:3">
      <c r="A1" t="s">
        <v>12355</v>
      </c>
      <c r="B1" t="s">
        <v>12353</v>
      </c>
    </row>
    <row r="2" spans="1:3">
      <c r="A2" t="s">
        <v>11466</v>
      </c>
      <c r="B2" t="s">
        <v>12346</v>
      </c>
      <c r="C2" t="s">
        <v>12354</v>
      </c>
    </row>
    <row r="3" spans="1:3">
      <c r="A3" t="s">
        <v>869</v>
      </c>
      <c r="B3" t="s">
        <v>12348</v>
      </c>
      <c r="C3" t="s">
        <v>12354</v>
      </c>
    </row>
    <row r="4" spans="1:3">
      <c r="A4" t="s">
        <v>12352</v>
      </c>
      <c r="B4" t="s">
        <v>12351</v>
      </c>
      <c r="C4" t="s">
        <v>12354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4"/>
  <sheetViews>
    <sheetView topLeftCell="A34" workbookViewId="0">
      <selection activeCell="A74" sqref="A74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12135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12134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12136</v>
      </c>
      <c r="B72" s="39" t="s">
        <v>19</v>
      </c>
    </row>
    <row r="73" spans="1:2">
      <c r="A73" s="41" t="s">
        <v>12133</v>
      </c>
      <c r="B73" s="39" t="s">
        <v>19</v>
      </c>
    </row>
    <row r="74" spans="1:2">
      <c r="A74" s="47" t="s">
        <v>12404</v>
      </c>
      <c r="B74" s="39" t="s">
        <v>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pvt</vt:lpstr>
      <vt:lpstr>Okey</vt:lpstr>
      <vt:lpstr>STUCT1</vt:lpstr>
      <vt:lpstr>Sheet6</vt:lpstr>
      <vt:lpstr>Sheet4</vt:lpstr>
      <vt:lpstr>Sheet3</vt:lpstr>
      <vt:lpstr>Sheet5</vt:lpstr>
      <vt:lpstr>Sheet2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2026-06-11T10:40:47Z</dcterms:modified>
</cp:coreProperties>
</file>