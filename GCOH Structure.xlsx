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554550D-114C-4AF2-BB42-CD28F58F2FE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Sectors" sheetId="9" r:id="rId7"/>
    <sheet name="Okey" sheetId="10" r:id="rId8"/>
    <sheet name="KPI" sheetId="12" r:id="rId9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0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86" i="1" l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4" i="1"/>
  <c r="J1365" i="1"/>
  <c r="H1365" i="1"/>
  <c r="H1364" i="1"/>
  <c r="J1363" i="1"/>
  <c r="H1363" i="1"/>
  <c r="J1355" i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H2" i="1"/>
  <c r="A116" i="1" l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</calcChain>
</file>

<file path=xl/sharedStrings.xml><?xml version="1.0" encoding="utf-8"?>
<sst xmlns="http://schemas.openxmlformats.org/spreadsheetml/2006/main" count="40187" uniqueCount="7582">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</sst>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86" totalsRowShown="0">
  <autoFilter ref="A1:M1786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116:M1363">
    <sortCondition ref="D1:D1363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52" t="s">
        <v>0</v>
      </c>
    </row>
    <row r="3" spans="1:2" x14ac:dyDescent="0.25">
      <c r="A3" s="52" t="s">
        <v>11</v>
      </c>
      <c r="B3" t="s">
        <v>6619</v>
      </c>
    </row>
    <row r="4" spans="1:2" x14ac:dyDescent="0.25">
      <c r="A4" s="32" t="s">
        <v>7158</v>
      </c>
      <c r="B4" s="51">
        <v>420</v>
      </c>
    </row>
    <row r="5" spans="1:2" x14ac:dyDescent="0.25">
      <c r="A5" s="61" t="s">
        <v>7581</v>
      </c>
      <c r="B5" s="51">
        <v>420</v>
      </c>
    </row>
    <row r="6" spans="1:2" x14ac:dyDescent="0.25">
      <c r="A6" s="32" t="s">
        <v>7160</v>
      </c>
      <c r="B6" s="51">
        <v>1</v>
      </c>
    </row>
    <row r="7" spans="1:2" x14ac:dyDescent="0.25">
      <c r="A7" s="61" t="s">
        <v>7581</v>
      </c>
      <c r="B7" s="51">
        <v>1</v>
      </c>
    </row>
    <row r="8" spans="1:2" x14ac:dyDescent="0.25">
      <c r="A8" s="32" t="s">
        <v>10</v>
      </c>
      <c r="B8" s="51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86"/>
  <sheetViews>
    <sheetView tabSelected="1" workbookViewId="0">
      <selection activeCell="E1" sqref="E1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15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ref="A116:A179" si="2">1+A115</f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2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2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2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2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2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2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2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2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2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2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2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2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2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2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si="2"/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ref="A180:A243" si="3">1+A179</f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3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3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3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3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3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3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3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3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3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3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3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3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3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3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si="3"/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ref="A244:A307" si="4">1+A243</f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4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4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4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4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4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4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4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4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4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4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4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4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4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4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si="4"/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5290</v>
      </c>
      <c r="J307" s="36" t="s">
        <v>17</v>
      </c>
      <c r="K307" s="7" t="s">
        <v>5736</v>
      </c>
      <c r="L307" s="7"/>
      <c r="M307" s="7" t="s">
        <v>3767</v>
      </c>
    </row>
    <row r="308" spans="1:13" ht="19.5" hidden="1" customHeight="1" x14ac:dyDescent="0.25">
      <c r="A308" s="49">
        <f t="shared" ref="A308:A371" si="5">1+A307</f>
        <v>307</v>
      </c>
      <c r="B308" s="7" t="s">
        <v>6</v>
      </c>
      <c r="C308" s="7" t="s">
        <v>242</v>
      </c>
      <c r="D308" s="7" t="s">
        <v>487</v>
      </c>
      <c r="E308" s="7" t="s">
        <v>5737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5"/>
        <v>308</v>
      </c>
      <c r="B309" s="7" t="s">
        <v>6</v>
      </c>
      <c r="C309" s="7" t="s">
        <v>242</v>
      </c>
      <c r="D309" s="7" t="s">
        <v>493</v>
      </c>
      <c r="E309" s="7" t="s">
        <v>5738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5"/>
        <v>309</v>
      </c>
      <c r="B310" s="7" t="s">
        <v>6</v>
      </c>
      <c r="C310" s="7" t="s">
        <v>243</v>
      </c>
      <c r="D310" s="7" t="s">
        <v>4523</v>
      </c>
      <c r="E310" s="7" t="s">
        <v>5739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5"/>
        <v>310</v>
      </c>
      <c r="B311" s="7" t="s">
        <v>6</v>
      </c>
      <c r="C311" s="7" t="s">
        <v>243</v>
      </c>
      <c r="D311" s="7" t="s">
        <v>4525</v>
      </c>
      <c r="E311" s="7" t="s">
        <v>5740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5"/>
        <v>311</v>
      </c>
      <c r="B312" s="7" t="s">
        <v>6</v>
      </c>
      <c r="C312" s="7" t="s">
        <v>243</v>
      </c>
      <c r="D312" s="7" t="s">
        <v>4527</v>
      </c>
      <c r="E312" s="7" t="s">
        <v>5741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5"/>
        <v>312</v>
      </c>
      <c r="B313" s="7" t="s">
        <v>6</v>
      </c>
      <c r="C313" s="7" t="s">
        <v>244</v>
      </c>
      <c r="D313" s="7" t="s">
        <v>5742</v>
      </c>
      <c r="E313" s="7" t="s">
        <v>5743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5"/>
        <v>313</v>
      </c>
      <c r="B314" s="7" t="s">
        <v>6</v>
      </c>
      <c r="C314" s="7" t="s">
        <v>244</v>
      </c>
      <c r="D314" s="7" t="s">
        <v>5744</v>
      </c>
      <c r="E314" s="7" t="s">
        <v>5745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5"/>
        <v>314</v>
      </c>
      <c r="B315" s="7" t="s">
        <v>6</v>
      </c>
      <c r="C315" s="7" t="s">
        <v>244</v>
      </c>
      <c r="D315" s="7" t="s">
        <v>5746</v>
      </c>
      <c r="E315" s="7" t="s">
        <v>5747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5"/>
        <v>315</v>
      </c>
      <c r="B316" s="7" t="s">
        <v>6</v>
      </c>
      <c r="C316" s="7" t="s">
        <v>244</v>
      </c>
      <c r="D316" s="7" t="s">
        <v>5748</v>
      </c>
      <c r="E316" s="7" t="s">
        <v>5749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5"/>
        <v>316</v>
      </c>
      <c r="B317" s="7" t="s">
        <v>6</v>
      </c>
      <c r="C317" s="7" t="s">
        <v>244</v>
      </c>
      <c r="D317" s="7" t="s">
        <v>5750</v>
      </c>
      <c r="E317" s="7" t="s">
        <v>5751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5"/>
        <v>317</v>
      </c>
      <c r="B318" s="7" t="s">
        <v>6</v>
      </c>
      <c r="C318" s="7" t="s">
        <v>244</v>
      </c>
      <c r="D318" s="7" t="s">
        <v>5752</v>
      </c>
      <c r="E318" s="7" t="s">
        <v>5753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5"/>
        <v>318</v>
      </c>
      <c r="B319" s="7" t="s">
        <v>6</v>
      </c>
      <c r="C319" s="7" t="s">
        <v>244</v>
      </c>
      <c r="D319" s="7" t="s">
        <v>5754</v>
      </c>
      <c r="E319" s="7" t="s">
        <v>5755</v>
      </c>
      <c r="F319" s="7" t="s">
        <v>5756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5"/>
        <v>319</v>
      </c>
      <c r="B320" s="7" t="s">
        <v>6</v>
      </c>
      <c r="C320" s="7" t="s">
        <v>244</v>
      </c>
      <c r="D320" s="7" t="s">
        <v>5757</v>
      </c>
      <c r="E320" s="7" t="s">
        <v>5758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5"/>
        <v>320</v>
      </c>
      <c r="B321" s="7" t="s">
        <v>6</v>
      </c>
      <c r="C321" s="7" t="s">
        <v>244</v>
      </c>
      <c r="D321" s="7" t="s">
        <v>5759</v>
      </c>
      <c r="E321" s="7" t="s">
        <v>5760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5"/>
        <v>321</v>
      </c>
      <c r="B322" s="7" t="s">
        <v>6</v>
      </c>
      <c r="C322" s="7" t="s">
        <v>244</v>
      </c>
      <c r="D322" s="7" t="s">
        <v>4193</v>
      </c>
      <c r="E322" s="7" t="s">
        <v>5761</v>
      </c>
      <c r="F322" s="7" t="s">
        <v>5746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si="5"/>
        <v>322</v>
      </c>
      <c r="B323" s="7" t="s">
        <v>6</v>
      </c>
      <c r="C323" s="7" t="s">
        <v>244</v>
      </c>
      <c r="D323" s="7" t="s">
        <v>4197</v>
      </c>
      <c r="E323" s="7" t="s">
        <v>5762</v>
      </c>
      <c r="F323" s="7" t="s">
        <v>5746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5763</v>
      </c>
      <c r="F324" s="7" t="s">
        <v>5748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5764</v>
      </c>
      <c r="F325" s="7" t="s">
        <v>5748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5765</v>
      </c>
      <c r="E326" s="7" t="s">
        <v>5766</v>
      </c>
      <c r="F326" s="7" t="s">
        <v>5750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5767</v>
      </c>
      <c r="E327" s="7" t="s">
        <v>5768</v>
      </c>
      <c r="F327" s="7" t="s">
        <v>5769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5770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5771</v>
      </c>
      <c r="F329" s="7" t="s">
        <v>5769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5772</v>
      </c>
      <c r="E330" s="7" t="s">
        <v>5773</v>
      </c>
      <c r="F330" s="7" t="s">
        <v>5769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5774</v>
      </c>
      <c r="E331" s="7" t="s">
        <v>5775</v>
      </c>
      <c r="F331" s="7" t="s">
        <v>5776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5777</v>
      </c>
      <c r="E332" s="7" t="s">
        <v>5778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5779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5780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5781</v>
      </c>
      <c r="E335" s="7" t="s">
        <v>5782</v>
      </c>
      <c r="F335" s="7" t="s">
        <v>5769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5783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5742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5784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5785</v>
      </c>
      <c r="E339" s="7"/>
      <c r="F339" s="7" t="s">
        <v>5750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5750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5786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5787</v>
      </c>
      <c r="E342" s="7"/>
      <c r="F342" s="7" t="s">
        <v>5788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5789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5756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5790</v>
      </c>
      <c r="E346" s="7"/>
      <c r="F346" s="7" t="s">
        <v>5776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5791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5792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5793</v>
      </c>
      <c r="E349" s="7"/>
      <c r="F349" s="7" t="s">
        <v>5794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5789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5794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5791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5756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5795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5796</v>
      </c>
      <c r="E355" s="7" t="s">
        <v>5797</v>
      </c>
      <c r="F355" s="7" t="s">
        <v>5798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5799</v>
      </c>
      <c r="E356" s="7" t="s">
        <v>5800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5801</v>
      </c>
      <c r="E357" s="7" t="s">
        <v>5802</v>
      </c>
      <c r="F357" s="7" t="s">
        <v>5799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5803</v>
      </c>
      <c r="E358" s="7" t="s">
        <v>5804</v>
      </c>
      <c r="F358" s="7" t="s">
        <v>5799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5805</v>
      </c>
      <c r="E359" s="7" t="s">
        <v>5806</v>
      </c>
      <c r="F359" s="7" t="s">
        <v>5799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5807</v>
      </c>
      <c r="E360" s="7" t="s">
        <v>5808</v>
      </c>
      <c r="F360" s="7" t="s">
        <v>5799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5809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ref="A372:A435" si="6">1+A371</f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6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6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6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6"/>
        <v>375</v>
      </c>
      <c r="B376" s="7" t="s">
        <v>6</v>
      </c>
      <c r="C376" s="7" t="s">
        <v>246</v>
      </c>
      <c r="D376" s="7" t="s">
        <v>5810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6"/>
        <v>376</v>
      </c>
      <c r="B377" s="7" t="s">
        <v>6</v>
      </c>
      <c r="C377" s="7" t="s">
        <v>246</v>
      </c>
      <c r="D377" s="7" t="s">
        <v>5811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6"/>
        <v>377</v>
      </c>
      <c r="B378" s="7" t="s">
        <v>6</v>
      </c>
      <c r="C378" s="7" t="s">
        <v>246</v>
      </c>
      <c r="D378" s="7" t="s">
        <v>4208</v>
      </c>
      <c r="E378" s="7" t="s">
        <v>5812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6"/>
        <v>378</v>
      </c>
      <c r="B379" s="7" t="s">
        <v>6</v>
      </c>
      <c r="C379" s="7" t="s">
        <v>246</v>
      </c>
      <c r="D379" s="7" t="s">
        <v>4210</v>
      </c>
      <c r="E379" s="7" t="s">
        <v>5813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6"/>
        <v>379</v>
      </c>
      <c r="B380" s="7" t="s">
        <v>6</v>
      </c>
      <c r="C380" s="7" t="s">
        <v>246</v>
      </c>
      <c r="D380" s="7" t="s">
        <v>4212</v>
      </c>
      <c r="E380" s="7" t="s">
        <v>5814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6"/>
        <v>380</v>
      </c>
      <c r="B381" s="7" t="s">
        <v>6</v>
      </c>
      <c r="C381" s="7" t="s">
        <v>246</v>
      </c>
      <c r="D381" s="7" t="s">
        <v>4214</v>
      </c>
      <c r="E381" s="7" t="s">
        <v>5815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6"/>
        <v>381</v>
      </c>
      <c r="B382" s="7" t="s">
        <v>6</v>
      </c>
      <c r="C382" s="7" t="s">
        <v>246</v>
      </c>
      <c r="D382" s="7" t="s">
        <v>4216</v>
      </c>
      <c r="E382" s="7" t="s">
        <v>5816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6"/>
        <v>382</v>
      </c>
      <c r="B383" s="7" t="s">
        <v>6</v>
      </c>
      <c r="C383" s="7" t="s">
        <v>246</v>
      </c>
      <c r="D383" s="7" t="s">
        <v>4218</v>
      </c>
      <c r="E383" s="7" t="s">
        <v>5817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6"/>
        <v>383</v>
      </c>
      <c r="B384" s="7" t="s">
        <v>6</v>
      </c>
      <c r="C384" s="7" t="s">
        <v>246</v>
      </c>
      <c r="D384" s="7" t="s">
        <v>4288</v>
      </c>
      <c r="E384" s="7" t="s">
        <v>5818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6"/>
        <v>384</v>
      </c>
      <c r="B385" s="7" t="s">
        <v>6</v>
      </c>
      <c r="C385" s="7" t="s">
        <v>246</v>
      </c>
      <c r="D385" s="7" t="s">
        <v>4290</v>
      </c>
      <c r="E385" s="7" t="s">
        <v>5819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6"/>
        <v>385</v>
      </c>
      <c r="B386" s="7" t="s">
        <v>6</v>
      </c>
      <c r="C386" s="7" t="s">
        <v>246</v>
      </c>
      <c r="D386" s="7" t="s">
        <v>2640</v>
      </c>
      <c r="E386" s="7" t="s">
        <v>5820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si="6"/>
        <v>386</v>
      </c>
      <c r="B387" s="7" t="s">
        <v>6</v>
      </c>
      <c r="C387" s="7" t="s">
        <v>246</v>
      </c>
      <c r="D387" s="7" t="s">
        <v>2015</v>
      </c>
      <c r="E387" s="7" t="s">
        <v>5821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5822</v>
      </c>
      <c r="E388" s="7" t="s">
        <v>5823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5824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5825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5826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5827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5828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5829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5830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5831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5832</v>
      </c>
      <c r="E397" s="7" t="s">
        <v>5833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5834</v>
      </c>
      <c r="E398" s="7" t="s">
        <v>5835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5836</v>
      </c>
      <c r="E399" s="7" t="s">
        <v>5837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5838</v>
      </c>
      <c r="E400" s="7" t="s">
        <v>5839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5840</v>
      </c>
      <c r="E401" s="7" t="s">
        <v>5841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5842</v>
      </c>
      <c r="E402" s="7" t="s">
        <v>5843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5844</v>
      </c>
      <c r="E403" s="7" t="s">
        <v>5845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5846</v>
      </c>
      <c r="E404" s="7" t="s">
        <v>5847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5848</v>
      </c>
      <c r="E405" s="7" t="s">
        <v>5849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5850</v>
      </c>
      <c r="E406" s="7" t="s">
        <v>5851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5852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5853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5854</v>
      </c>
      <c r="E409" s="7" t="s">
        <v>5855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5856</v>
      </c>
      <c r="E410" s="7" t="s">
        <v>5857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5858</v>
      </c>
      <c r="E411" s="7" t="s">
        <v>5859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5860</v>
      </c>
      <c r="E412" s="7" t="s">
        <v>5861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5862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5863</v>
      </c>
      <c r="E414" s="7" t="s">
        <v>5864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5865</v>
      </c>
      <c r="E415" s="7" t="s">
        <v>5866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5867</v>
      </c>
      <c r="E416" s="7" t="s">
        <v>5868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5869</v>
      </c>
      <c r="E417" s="7" t="s">
        <v>5870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5871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5872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5873</v>
      </c>
      <c r="E420" s="7" t="s">
        <v>5874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5875</v>
      </c>
      <c r="E421" s="7" t="s">
        <v>5876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5877</v>
      </c>
      <c r="E422" s="7" t="s">
        <v>5878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5879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5880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5881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5882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5883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5884</v>
      </c>
      <c r="E428" s="7" t="s">
        <v>5885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5886</v>
      </c>
      <c r="E429" s="7" t="s">
        <v>5887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5888</v>
      </c>
      <c r="E430" s="7" t="s">
        <v>5889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5890</v>
      </c>
      <c r="E431" s="7" t="s">
        <v>5891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5892</v>
      </c>
      <c r="E432" s="7" t="s">
        <v>5893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5894</v>
      </c>
      <c r="E433" s="7" t="s">
        <v>5895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5896</v>
      </c>
      <c r="E434" s="7" t="s">
        <v>5897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5898</v>
      </c>
      <c r="E435" s="7" t="s">
        <v>5899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ref="A436:A499" si="7">1+A435</f>
        <v>435</v>
      </c>
      <c r="B436" s="7" t="s">
        <v>6</v>
      </c>
      <c r="C436" s="7" t="s">
        <v>246</v>
      </c>
      <c r="D436" s="7" t="s">
        <v>2722</v>
      </c>
      <c r="E436" s="7" t="s">
        <v>5900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7"/>
        <v>436</v>
      </c>
      <c r="B437" s="7" t="s">
        <v>6</v>
      </c>
      <c r="C437" s="7" t="s">
        <v>246</v>
      </c>
      <c r="D437" s="7" t="s">
        <v>2724</v>
      </c>
      <c r="E437" s="7" t="s">
        <v>5901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7"/>
        <v>437</v>
      </c>
      <c r="B438" s="7" t="s">
        <v>6</v>
      </c>
      <c r="C438" s="7" t="s">
        <v>246</v>
      </c>
      <c r="D438" s="7" t="s">
        <v>5902</v>
      </c>
      <c r="E438" s="7" t="s">
        <v>5903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7"/>
        <v>438</v>
      </c>
      <c r="B439" s="7" t="s">
        <v>6</v>
      </c>
      <c r="C439" s="7" t="s">
        <v>246</v>
      </c>
      <c r="D439" s="7" t="s">
        <v>5904</v>
      </c>
      <c r="E439" s="7" t="s">
        <v>5905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7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7"/>
        <v>440</v>
      </c>
      <c r="B441" s="7" t="s">
        <v>6</v>
      </c>
      <c r="C441" s="7" t="s">
        <v>246</v>
      </c>
      <c r="D441" s="7" t="s">
        <v>2730</v>
      </c>
      <c r="E441" s="7" t="s">
        <v>5906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7"/>
        <v>441</v>
      </c>
      <c r="B442" s="7" t="s">
        <v>6</v>
      </c>
      <c r="C442" s="7" t="s">
        <v>246</v>
      </c>
      <c r="D442" s="7" t="s">
        <v>2623</v>
      </c>
      <c r="E442" s="7" t="s">
        <v>5907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7"/>
        <v>442</v>
      </c>
      <c r="B443" s="7" t="s">
        <v>6</v>
      </c>
      <c r="C443" s="7" t="s">
        <v>246</v>
      </c>
      <c r="D443" s="7" t="s">
        <v>2636</v>
      </c>
      <c r="E443" s="7" t="s">
        <v>5908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7"/>
        <v>443</v>
      </c>
      <c r="B444" s="7" t="s">
        <v>6</v>
      </c>
      <c r="C444" s="7" t="s">
        <v>246</v>
      </c>
      <c r="D444" s="7" t="s">
        <v>4703</v>
      </c>
      <c r="E444" s="7" t="s">
        <v>5909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7"/>
        <v>444</v>
      </c>
      <c r="B445" s="7" t="s">
        <v>6</v>
      </c>
      <c r="C445" s="7" t="s">
        <v>246</v>
      </c>
      <c r="D445" s="7" t="s">
        <v>4721</v>
      </c>
      <c r="E445" s="7" t="s">
        <v>5910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7"/>
        <v>445</v>
      </c>
      <c r="B446" s="7" t="s">
        <v>6</v>
      </c>
      <c r="C446" s="7" t="s">
        <v>246</v>
      </c>
      <c r="D446" s="7" t="s">
        <v>1633</v>
      </c>
      <c r="E446" s="7" t="s">
        <v>5911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7"/>
        <v>446</v>
      </c>
      <c r="B447" s="7" t="s">
        <v>6</v>
      </c>
      <c r="C447" s="7" t="s">
        <v>246</v>
      </c>
      <c r="D447" s="7" t="s">
        <v>5912</v>
      </c>
      <c r="E447" s="7" t="s">
        <v>5913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7"/>
        <v>447</v>
      </c>
      <c r="B448" s="7" t="s">
        <v>6</v>
      </c>
      <c r="C448" s="7" t="s">
        <v>246</v>
      </c>
      <c r="D448" s="7" t="s">
        <v>5914</v>
      </c>
      <c r="E448" s="7" t="s">
        <v>5915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7"/>
        <v>448</v>
      </c>
      <c r="B449" s="7" t="s">
        <v>6</v>
      </c>
      <c r="C449" s="7" t="s">
        <v>246</v>
      </c>
      <c r="D449" s="7" t="s">
        <v>5916</v>
      </c>
      <c r="E449" s="7" t="s">
        <v>5917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7"/>
        <v>449</v>
      </c>
      <c r="B450" s="7" t="s">
        <v>6</v>
      </c>
      <c r="C450" s="7" t="s">
        <v>246</v>
      </c>
      <c r="D450" s="7" t="s">
        <v>4719</v>
      </c>
      <c r="E450" s="7" t="s">
        <v>5918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si="7"/>
        <v>450</v>
      </c>
      <c r="B451" s="7" t="s">
        <v>6</v>
      </c>
      <c r="C451" s="7" t="s">
        <v>246</v>
      </c>
      <c r="D451" s="7" t="s">
        <v>4722</v>
      </c>
      <c r="E451" s="7" t="s">
        <v>5919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5920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5921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5922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5923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5924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5925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5926</v>
      </c>
      <c r="E458" s="7" t="s">
        <v>5927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5928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5929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5930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5931</v>
      </c>
      <c r="E462" s="7" t="s">
        <v>5932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5933</v>
      </c>
      <c r="E463" s="7" t="s">
        <v>5934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5935</v>
      </c>
      <c r="E464" s="7" t="s">
        <v>5936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5937</v>
      </c>
      <c r="E465" s="7" t="s">
        <v>5938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5939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5940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5941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5942</v>
      </c>
      <c r="E473" s="7" t="s">
        <v>5943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5944</v>
      </c>
      <c r="E474" s="7" t="s">
        <v>5945</v>
      </c>
      <c r="F474" s="7" t="s">
        <v>5942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5946</v>
      </c>
      <c r="E475" s="7" t="s">
        <v>5947</v>
      </c>
      <c r="F475" s="7" t="s">
        <v>5942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5948</v>
      </c>
      <c r="E476" s="7" t="s">
        <v>5949</v>
      </c>
      <c r="F476" s="7" t="s">
        <v>5942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5950</v>
      </c>
      <c r="E477" s="7" t="s">
        <v>5951</v>
      </c>
      <c r="F477" s="7" t="s">
        <v>5942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5952</v>
      </c>
      <c r="E478" s="7" t="s">
        <v>5953</v>
      </c>
      <c r="F478" s="7" t="s">
        <v>5942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5954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5955</v>
      </c>
      <c r="E493" s="7" t="s">
        <v>5956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5957</v>
      </c>
      <c r="E494" s="7" t="s">
        <v>5956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5958</v>
      </c>
      <c r="E495" s="7" t="s">
        <v>5959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5960</v>
      </c>
      <c r="E496" s="7" t="s">
        <v>5961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5962</v>
      </c>
      <c r="E497" s="7" t="s">
        <v>5963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5964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5965</v>
      </c>
      <c r="L499" s="7"/>
      <c r="M499" s="7" t="s">
        <v>3767</v>
      </c>
    </row>
    <row r="500" spans="1:13" ht="19.5" hidden="1" customHeight="1" x14ac:dyDescent="0.25">
      <c r="A500" s="49">
        <f t="shared" ref="A500:A563" si="8">1+A499</f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5965</v>
      </c>
      <c r="L500" s="36"/>
      <c r="M500" s="7" t="s">
        <v>4784</v>
      </c>
    </row>
    <row r="501" spans="1:13" ht="19.5" hidden="1" customHeight="1" x14ac:dyDescent="0.25">
      <c r="A501" s="49">
        <f t="shared" si="8"/>
        <v>500</v>
      </c>
      <c r="B501" s="7" t="s">
        <v>8</v>
      </c>
      <c r="C501" s="7" t="s">
        <v>23</v>
      </c>
      <c r="D501" s="7" t="s">
        <v>5966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5965</v>
      </c>
      <c r="L501" s="36"/>
      <c r="M501" s="7" t="s">
        <v>4784</v>
      </c>
    </row>
    <row r="502" spans="1:13" ht="19.5" hidden="1" customHeight="1" x14ac:dyDescent="0.25">
      <c r="A502" s="49">
        <f t="shared" si="8"/>
        <v>501</v>
      </c>
      <c r="B502" s="7" t="s">
        <v>8</v>
      </c>
      <c r="C502" s="7" t="s">
        <v>23</v>
      </c>
      <c r="D502" s="7" t="s">
        <v>5967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5965</v>
      </c>
      <c r="L502" s="36"/>
      <c r="M502" s="7" t="s">
        <v>4784</v>
      </c>
    </row>
    <row r="503" spans="1:13" ht="19.5" hidden="1" customHeight="1" x14ac:dyDescent="0.25">
      <c r="A503" s="49">
        <f t="shared" si="8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5965</v>
      </c>
      <c r="L503" s="36"/>
      <c r="M503" s="7" t="s">
        <v>4784</v>
      </c>
    </row>
    <row r="504" spans="1:13" ht="19.5" hidden="1" customHeight="1" x14ac:dyDescent="0.25">
      <c r="A504" s="49">
        <f t="shared" si="8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5965</v>
      </c>
      <c r="L504" s="36"/>
      <c r="M504" s="7" t="s">
        <v>4784</v>
      </c>
    </row>
    <row r="505" spans="1:13" ht="19.5" hidden="1" customHeight="1" x14ac:dyDescent="0.25">
      <c r="A505" s="49">
        <f t="shared" si="8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5965</v>
      </c>
      <c r="L505" s="36"/>
      <c r="M505" s="7" t="s">
        <v>4784</v>
      </c>
    </row>
    <row r="506" spans="1:13" ht="19.5" hidden="1" customHeight="1" x14ac:dyDescent="0.25">
      <c r="A506" s="49">
        <f t="shared" si="8"/>
        <v>505</v>
      </c>
      <c r="B506" s="7" t="s">
        <v>8</v>
      </c>
      <c r="C506" s="7" t="s">
        <v>5968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4784</v>
      </c>
    </row>
    <row r="507" spans="1:13" ht="19.5" hidden="1" customHeight="1" x14ac:dyDescent="0.25">
      <c r="A507" s="49">
        <f t="shared" si="8"/>
        <v>506</v>
      </c>
      <c r="B507" s="7" t="s">
        <v>8</v>
      </c>
      <c r="C507" s="7" t="s">
        <v>5968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4784</v>
      </c>
    </row>
    <row r="508" spans="1:13" ht="19.5" hidden="1" customHeight="1" x14ac:dyDescent="0.25">
      <c r="A508" s="49">
        <f t="shared" si="8"/>
        <v>507</v>
      </c>
      <c r="B508" s="7" t="s">
        <v>8</v>
      </c>
      <c r="C508" s="7" t="s">
        <v>5968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4784</v>
      </c>
    </row>
    <row r="509" spans="1:13" ht="19.5" hidden="1" customHeight="1" x14ac:dyDescent="0.25">
      <c r="A509" s="49">
        <f t="shared" si="8"/>
        <v>508</v>
      </c>
      <c r="B509" s="7" t="s">
        <v>8</v>
      </c>
      <c r="C509" s="7" t="s">
        <v>5968</v>
      </c>
      <c r="D509" s="7" t="s">
        <v>4943</v>
      </c>
      <c r="E509" s="7" t="s">
        <v>5970</v>
      </c>
      <c r="F509" s="7"/>
      <c r="G509" s="7" t="s">
        <v>15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4784</v>
      </c>
    </row>
    <row r="510" spans="1:13" ht="19.5" hidden="1" customHeight="1" x14ac:dyDescent="0.25">
      <c r="A510" s="49">
        <f t="shared" si="8"/>
        <v>509</v>
      </c>
      <c r="B510" s="7" t="s">
        <v>8</v>
      </c>
      <c r="C510" s="7" t="s">
        <v>5971</v>
      </c>
      <c r="D510" s="7" t="s">
        <v>4945</v>
      </c>
      <c r="E510" s="7" t="s">
        <v>5972</v>
      </c>
      <c r="F510" s="7"/>
      <c r="G510" s="7" t="s">
        <v>15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4784</v>
      </c>
    </row>
    <row r="511" spans="1:13" ht="19.5" hidden="1" customHeight="1" x14ac:dyDescent="0.25">
      <c r="A511" s="49">
        <f t="shared" si="8"/>
        <v>510</v>
      </c>
      <c r="B511" s="7" t="s">
        <v>8</v>
      </c>
      <c r="C511" s="7" t="s">
        <v>5973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4784</v>
      </c>
    </row>
    <row r="512" spans="1:13" ht="19.5" hidden="1" customHeight="1" x14ac:dyDescent="0.25">
      <c r="A512" s="49">
        <f t="shared" si="8"/>
        <v>511</v>
      </c>
      <c r="B512" s="7" t="s">
        <v>8</v>
      </c>
      <c r="C512" s="7" t="s">
        <v>5974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18</v>
      </c>
      <c r="K512" s="7" t="s">
        <v>5969</v>
      </c>
      <c r="L512" s="7"/>
      <c r="M512" s="7" t="s">
        <v>4799</v>
      </c>
    </row>
    <row r="513" spans="1:13" ht="19.5" hidden="1" customHeight="1" x14ac:dyDescent="0.25">
      <c r="A513" s="49">
        <f t="shared" si="8"/>
        <v>512</v>
      </c>
      <c r="B513" s="7" t="s">
        <v>8</v>
      </c>
      <c r="C513" s="7" t="s">
        <v>5974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18</v>
      </c>
      <c r="K513" s="7" t="s">
        <v>5969</v>
      </c>
      <c r="L513" s="7"/>
      <c r="M513" s="7" t="s">
        <v>4799</v>
      </c>
    </row>
    <row r="514" spans="1:13" ht="19.5" hidden="1" customHeight="1" x14ac:dyDescent="0.25">
      <c r="A514" s="49">
        <f t="shared" si="8"/>
        <v>513</v>
      </c>
      <c r="B514" s="7" t="s">
        <v>8</v>
      </c>
      <c r="C514" s="7" t="s">
        <v>5974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36" t="s">
        <v>5290</v>
      </c>
      <c r="J514" s="36" t="s">
        <v>18</v>
      </c>
      <c r="K514" s="7" t="s">
        <v>5969</v>
      </c>
      <c r="L514" s="7"/>
      <c r="M514" s="7" t="s">
        <v>4799</v>
      </c>
    </row>
    <row r="515" spans="1:13" ht="19.5" hidden="1" customHeight="1" x14ac:dyDescent="0.25">
      <c r="A515" s="49">
        <f t="shared" si="8"/>
        <v>514</v>
      </c>
      <c r="B515" s="7" t="s">
        <v>8</v>
      </c>
      <c r="C515" s="7" t="s">
        <v>5974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18</v>
      </c>
      <c r="K515" s="7" t="s">
        <v>5969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5974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18</v>
      </c>
      <c r="K516" s="7" t="s">
        <v>5969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5974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18</v>
      </c>
      <c r="K517" s="7" t="s">
        <v>5969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5974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18</v>
      </c>
      <c r="K518" s="7" t="s">
        <v>5969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5974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18</v>
      </c>
      <c r="K519" s="7" t="s">
        <v>5969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5974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18</v>
      </c>
      <c r="K520" s="7" t="s">
        <v>5969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5974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18</v>
      </c>
      <c r="K521" s="7" t="s">
        <v>5969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5974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18</v>
      </c>
      <c r="K522" s="7" t="s">
        <v>5969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5974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18</v>
      </c>
      <c r="K523" s="7" t="s">
        <v>5969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5974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18</v>
      </c>
      <c r="K524" s="7" t="s">
        <v>5969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5974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18</v>
      </c>
      <c r="K525" s="7" t="s">
        <v>5969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5974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18</v>
      </c>
      <c r="K526" s="7" t="s">
        <v>5969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5974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18</v>
      </c>
      <c r="K527" s="7" t="s">
        <v>5969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5974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18</v>
      </c>
      <c r="K528" s="7" t="s">
        <v>5969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5974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18</v>
      </c>
      <c r="K529" s="7" t="s">
        <v>5969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5974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18</v>
      </c>
      <c r="K530" s="7" t="s">
        <v>5969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5974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18</v>
      </c>
      <c r="K531" s="7" t="s">
        <v>5969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5974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18</v>
      </c>
      <c r="K532" s="7" t="s">
        <v>5969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5974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18</v>
      </c>
      <c r="K533" s="7" t="s">
        <v>5969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5974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18</v>
      </c>
      <c r="K534" s="7" t="s">
        <v>5969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5974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18</v>
      </c>
      <c r="K535" s="7" t="s">
        <v>5969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5974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18</v>
      </c>
      <c r="K536" s="7" t="s">
        <v>5969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5974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18</v>
      </c>
      <c r="K537" s="7" t="s">
        <v>5969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5974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18</v>
      </c>
      <c r="K538" s="7" t="s">
        <v>5969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5974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18</v>
      </c>
      <c r="K539" s="7" t="s">
        <v>5969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5974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18</v>
      </c>
      <c r="K540" s="7" t="s">
        <v>5969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5974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18</v>
      </c>
      <c r="K541" s="7" t="s">
        <v>5969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5974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18</v>
      </c>
      <c r="K542" s="7" t="s">
        <v>5969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5974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18</v>
      </c>
      <c r="K543" s="7" t="s">
        <v>5969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5974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18</v>
      </c>
      <c r="K544" s="7" t="s">
        <v>5969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5974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18</v>
      </c>
      <c r="K545" s="7" t="s">
        <v>5969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5974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18</v>
      </c>
      <c r="K546" s="7" t="s">
        <v>5969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5974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18</v>
      </c>
      <c r="K547" s="7" t="s">
        <v>5969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5974</v>
      </c>
      <c r="D548" s="7" t="s">
        <v>4883</v>
      </c>
      <c r="E548" s="7" t="s">
        <v>4985</v>
      </c>
      <c r="F548" s="60" t="s">
        <v>4880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18</v>
      </c>
      <c r="K548" s="7" t="s">
        <v>5969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5974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18</v>
      </c>
      <c r="K549" s="7" t="s">
        <v>5969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5974</v>
      </c>
      <c r="D550" s="7" t="s">
        <v>4888</v>
      </c>
      <c r="E550" s="7" t="s">
        <v>4987</v>
      </c>
      <c r="F550" s="36" t="s">
        <v>1354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18</v>
      </c>
      <c r="K550" s="7" t="s">
        <v>5969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5974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18</v>
      </c>
      <c r="K551" s="7" t="s">
        <v>5969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5974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18</v>
      </c>
      <c r="K552" s="7" t="s">
        <v>5969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5974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18</v>
      </c>
      <c r="K553" s="7" t="s">
        <v>5969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5974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18</v>
      </c>
      <c r="K554" s="7" t="s">
        <v>5969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5974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18</v>
      </c>
      <c r="K555" s="7" t="s">
        <v>5969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5974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18</v>
      </c>
      <c r="K556" s="7" t="s">
        <v>5969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5974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18</v>
      </c>
      <c r="K557" s="7" t="s">
        <v>5969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5974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18</v>
      </c>
      <c r="K558" s="7" t="s">
        <v>5969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5974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18</v>
      </c>
      <c r="K559" s="7" t="s">
        <v>5969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5974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18</v>
      </c>
      <c r="K560" s="7" t="s">
        <v>5969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5974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36" t="s">
        <v>5290</v>
      </c>
      <c r="J561" s="36" t="s">
        <v>18</v>
      </c>
      <c r="K561" s="7" t="s">
        <v>5969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5974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36" t="s">
        <v>5290</v>
      </c>
      <c r="J562" s="36" t="s">
        <v>18</v>
      </c>
      <c r="K562" s="7" t="s">
        <v>5969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5974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36" t="s">
        <v>5290</v>
      </c>
      <c r="J563" s="36" t="s">
        <v>18</v>
      </c>
      <c r="K563" s="7" t="s">
        <v>5969</v>
      </c>
      <c r="L563" s="7"/>
      <c r="M563" s="7" t="s">
        <v>4799</v>
      </c>
    </row>
    <row r="564" spans="1:13" ht="19.5" hidden="1" customHeight="1" x14ac:dyDescent="0.25">
      <c r="A564" s="49">
        <f t="shared" ref="A564:A627" si="9">1+A563</f>
        <v>563</v>
      </c>
      <c r="B564" s="7" t="s">
        <v>8</v>
      </c>
      <c r="C564" s="7" t="s">
        <v>5974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36" t="s">
        <v>5290</v>
      </c>
      <c r="J564" s="36" t="s">
        <v>18</v>
      </c>
      <c r="K564" s="7" t="s">
        <v>5969</v>
      </c>
      <c r="L564" s="7"/>
      <c r="M564" s="7" t="s">
        <v>4799</v>
      </c>
    </row>
    <row r="565" spans="1:13" ht="19.5" hidden="1" customHeight="1" x14ac:dyDescent="0.25">
      <c r="A565" s="49">
        <f t="shared" si="9"/>
        <v>564</v>
      </c>
      <c r="B565" s="7" t="s">
        <v>8</v>
      </c>
      <c r="C565" s="7" t="s">
        <v>5974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36" t="s">
        <v>5290</v>
      </c>
      <c r="J565" s="36" t="s">
        <v>18</v>
      </c>
      <c r="K565" s="7" t="s">
        <v>5969</v>
      </c>
      <c r="L565" s="7"/>
      <c r="M565" s="7" t="s">
        <v>4799</v>
      </c>
    </row>
    <row r="566" spans="1:13" ht="19.5" hidden="1" customHeight="1" x14ac:dyDescent="0.25">
      <c r="A566" s="49">
        <f t="shared" si="9"/>
        <v>565</v>
      </c>
      <c r="B566" s="7" t="s">
        <v>8</v>
      </c>
      <c r="C566" s="7" t="s">
        <v>5974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36" t="s">
        <v>5290</v>
      </c>
      <c r="J566" s="36" t="s">
        <v>18</v>
      </c>
      <c r="K566" s="7" t="s">
        <v>5969</v>
      </c>
      <c r="L566" s="7"/>
      <c r="M566" s="7" t="s">
        <v>4799</v>
      </c>
    </row>
    <row r="567" spans="1:13" ht="19.5" hidden="1" customHeight="1" x14ac:dyDescent="0.25">
      <c r="A567" s="49">
        <f t="shared" si="9"/>
        <v>566</v>
      </c>
      <c r="B567" s="7" t="s">
        <v>8</v>
      </c>
      <c r="C567" s="7" t="s">
        <v>5974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36" t="s">
        <v>5290</v>
      </c>
      <c r="J567" s="36" t="s">
        <v>18</v>
      </c>
      <c r="K567" s="7" t="s">
        <v>5969</v>
      </c>
      <c r="L567" s="7"/>
      <c r="M567" s="7" t="s">
        <v>4799</v>
      </c>
    </row>
    <row r="568" spans="1:13" ht="19.5" hidden="1" customHeight="1" x14ac:dyDescent="0.25">
      <c r="A568" s="49">
        <f t="shared" si="9"/>
        <v>567</v>
      </c>
      <c r="B568" s="7" t="s">
        <v>8</v>
      </c>
      <c r="C568" s="7" t="s">
        <v>5974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36" t="s">
        <v>5290</v>
      </c>
      <c r="J568" s="36" t="s">
        <v>18</v>
      </c>
      <c r="K568" s="7" t="s">
        <v>5969</v>
      </c>
      <c r="L568" s="7"/>
      <c r="M568" s="7" t="s">
        <v>4799</v>
      </c>
    </row>
    <row r="569" spans="1:13" ht="19.5" hidden="1" customHeight="1" x14ac:dyDescent="0.25">
      <c r="A569" s="49">
        <f t="shared" si="9"/>
        <v>568</v>
      </c>
      <c r="B569" s="7" t="s">
        <v>8</v>
      </c>
      <c r="C569" s="7" t="s">
        <v>5974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36" t="s">
        <v>5290</v>
      </c>
      <c r="J569" s="36" t="s">
        <v>18</v>
      </c>
      <c r="K569" s="7" t="s">
        <v>5969</v>
      </c>
      <c r="L569" s="7"/>
      <c r="M569" s="7" t="s">
        <v>4799</v>
      </c>
    </row>
    <row r="570" spans="1:13" ht="19.5" hidden="1" customHeight="1" x14ac:dyDescent="0.25">
      <c r="A570" s="49">
        <f t="shared" si="9"/>
        <v>569</v>
      </c>
      <c r="B570" s="7" t="s">
        <v>8</v>
      </c>
      <c r="C570" s="7" t="s">
        <v>5974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36" t="s">
        <v>5290</v>
      </c>
      <c r="J570" s="36" t="s">
        <v>18</v>
      </c>
      <c r="K570" s="7" t="s">
        <v>5969</v>
      </c>
      <c r="L570" s="7"/>
      <c r="M570" s="7" t="s">
        <v>4799</v>
      </c>
    </row>
    <row r="571" spans="1:13" ht="19.5" hidden="1" customHeight="1" x14ac:dyDescent="0.25">
      <c r="A571" s="49">
        <f t="shared" si="9"/>
        <v>570</v>
      </c>
      <c r="B571" s="7" t="s">
        <v>8</v>
      </c>
      <c r="C571" s="7" t="s">
        <v>5974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36" t="s">
        <v>5290</v>
      </c>
      <c r="J571" s="36" t="s">
        <v>18</v>
      </c>
      <c r="K571" s="7" t="s">
        <v>5969</v>
      </c>
      <c r="L571" s="7"/>
      <c r="M571" s="7" t="s">
        <v>4799</v>
      </c>
    </row>
    <row r="572" spans="1:13" ht="19.5" hidden="1" customHeight="1" x14ac:dyDescent="0.25">
      <c r="A572" s="49">
        <f t="shared" si="9"/>
        <v>571</v>
      </c>
      <c r="B572" s="7" t="s">
        <v>8</v>
      </c>
      <c r="C572" s="7" t="s">
        <v>5974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18</v>
      </c>
      <c r="K572" s="7" t="s">
        <v>5969</v>
      </c>
      <c r="L572" s="7"/>
      <c r="M572" s="7" t="s">
        <v>4799</v>
      </c>
    </row>
    <row r="573" spans="1:13" ht="19.5" hidden="1" customHeight="1" x14ac:dyDescent="0.25">
      <c r="A573" s="49">
        <f t="shared" si="9"/>
        <v>572</v>
      </c>
      <c r="B573" s="7" t="s">
        <v>8</v>
      </c>
      <c r="C573" s="7" t="s">
        <v>5974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18</v>
      </c>
      <c r="K573" s="7" t="s">
        <v>5969</v>
      </c>
      <c r="L573" s="7"/>
      <c r="M573" s="7" t="s">
        <v>4799</v>
      </c>
    </row>
    <row r="574" spans="1:13" ht="19.5" hidden="1" customHeight="1" x14ac:dyDescent="0.25">
      <c r="A574" s="49">
        <f t="shared" si="9"/>
        <v>573</v>
      </c>
      <c r="B574" s="7" t="s">
        <v>8</v>
      </c>
      <c r="C574" s="7" t="s">
        <v>5974</v>
      </c>
      <c r="D574" s="7" t="s">
        <v>5015</v>
      </c>
      <c r="E574" s="7" t="s">
        <v>5016</v>
      </c>
      <c r="F574" s="7" t="s">
        <v>5975</v>
      </c>
      <c r="G574" s="7" t="s">
        <v>16</v>
      </c>
      <c r="H574" s="36" t="str">
        <f>IFERROR(VLOOKUP(Table2[[#This Row], [Ticket]],Okey!A:B,2,0),"")</f>
        <v>ok</v>
      </c>
      <c r="I574" s="36" t="s">
        <v>5290</v>
      </c>
      <c r="J574" s="36" t="s">
        <v>18</v>
      </c>
      <c r="K574" s="7" t="s">
        <v>5969</v>
      </c>
      <c r="L574" s="7"/>
      <c r="M574" s="7" t="s">
        <v>4799</v>
      </c>
    </row>
    <row r="575" spans="1:13" ht="19.5" hidden="1" customHeight="1" x14ac:dyDescent="0.25">
      <c r="A575" s="49">
        <f t="shared" si="9"/>
        <v>574</v>
      </c>
      <c r="B575" s="7" t="s">
        <v>8</v>
      </c>
      <c r="C575" s="7" t="s">
        <v>5974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36" t="s">
        <v>5290</v>
      </c>
      <c r="J575" s="36" t="s">
        <v>18</v>
      </c>
      <c r="K575" s="7" t="s">
        <v>5969</v>
      </c>
      <c r="L575" s="7"/>
      <c r="M575" s="7" t="s">
        <v>4799</v>
      </c>
    </row>
    <row r="576" spans="1:13" ht="19.5" hidden="1" customHeight="1" x14ac:dyDescent="0.25">
      <c r="A576" s="49">
        <f t="shared" si="9"/>
        <v>575</v>
      </c>
      <c r="B576" s="7" t="s">
        <v>8</v>
      </c>
      <c r="C576" s="7" t="s">
        <v>5974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36" t="s">
        <v>5290</v>
      </c>
      <c r="J576" s="36" t="s">
        <v>18</v>
      </c>
      <c r="K576" s="7" t="s">
        <v>5969</v>
      </c>
      <c r="L576" s="7"/>
      <c r="M576" s="7" t="s">
        <v>4799</v>
      </c>
    </row>
    <row r="577" spans="1:13" ht="19.5" hidden="1" customHeight="1" x14ac:dyDescent="0.25">
      <c r="A577" s="49">
        <f t="shared" si="9"/>
        <v>576</v>
      </c>
      <c r="B577" s="7" t="s">
        <v>8</v>
      </c>
      <c r="C577" s="7" t="s">
        <v>5974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36" t="s">
        <v>5290</v>
      </c>
      <c r="J577" s="36" t="s">
        <v>18</v>
      </c>
      <c r="K577" s="7" t="s">
        <v>5969</v>
      </c>
      <c r="L577" s="7"/>
      <c r="M577" s="7" t="s">
        <v>4799</v>
      </c>
    </row>
    <row r="578" spans="1:13" ht="19.5" hidden="1" customHeight="1" x14ac:dyDescent="0.25">
      <c r="A578" s="49">
        <f t="shared" si="9"/>
        <v>577</v>
      </c>
      <c r="B578" s="7" t="s">
        <v>8</v>
      </c>
      <c r="C578" s="7" t="s">
        <v>5974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36" t="s">
        <v>5290</v>
      </c>
      <c r="J578" s="36" t="s">
        <v>18</v>
      </c>
      <c r="K578" s="7" t="s">
        <v>5969</v>
      </c>
      <c r="L578" s="7"/>
      <c r="M578" s="7" t="s">
        <v>4799</v>
      </c>
    </row>
    <row r="579" spans="1:13" ht="19.5" hidden="1" customHeight="1" x14ac:dyDescent="0.25">
      <c r="A579" s="49">
        <f t="shared" si="9"/>
        <v>578</v>
      </c>
      <c r="B579" s="7" t="s">
        <v>8</v>
      </c>
      <c r="C579" s="7" t="s">
        <v>5974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36" t="s">
        <v>5290</v>
      </c>
      <c r="J579" s="36" t="s">
        <v>18</v>
      </c>
      <c r="K579" s="7" t="s">
        <v>5969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5974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36" t="s">
        <v>5290</v>
      </c>
      <c r="J580" s="36" t="s">
        <v>18</v>
      </c>
      <c r="K580" s="7" t="s">
        <v>5969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5974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36" t="s">
        <v>5290</v>
      </c>
      <c r="J581" s="36" t="s">
        <v>18</v>
      </c>
      <c r="K581" s="7" t="s">
        <v>5969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5974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36" t="s">
        <v>5290</v>
      </c>
      <c r="J582" s="36" t="s">
        <v>18</v>
      </c>
      <c r="K582" s="7" t="s">
        <v>5969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5974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36" t="s">
        <v>5290</v>
      </c>
      <c r="J583" s="36" t="s">
        <v>18</v>
      </c>
      <c r="K583" s="7" t="s">
        <v>5969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5974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36" t="s">
        <v>5290</v>
      </c>
      <c r="J584" s="36" t="s">
        <v>18</v>
      </c>
      <c r="K584" s="7" t="s">
        <v>5969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5974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36" t="s">
        <v>5290</v>
      </c>
      <c r="J585" s="36" t="s">
        <v>18</v>
      </c>
      <c r="K585" s="7" t="s">
        <v>5969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5974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36" t="s">
        <v>5290</v>
      </c>
      <c r="J586" s="36" t="s">
        <v>18</v>
      </c>
      <c r="K586" s="7" t="s">
        <v>5969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5974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36" t="s">
        <v>5290</v>
      </c>
      <c r="J587" s="36" t="s">
        <v>18</v>
      </c>
      <c r="K587" s="7" t="s">
        <v>5969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5974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36" t="s">
        <v>5290</v>
      </c>
      <c r="J588" s="36" t="s">
        <v>18</v>
      </c>
      <c r="K588" s="7" t="s">
        <v>5969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5974</v>
      </c>
      <c r="D589" s="7" t="s">
        <v>5034</v>
      </c>
      <c r="E589" s="7" t="s">
        <v>5976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36" t="s">
        <v>5290</v>
      </c>
      <c r="J589" s="36" t="s">
        <v>18</v>
      </c>
      <c r="K589" s="7" t="s">
        <v>5969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5974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36" t="s">
        <v>5290</v>
      </c>
      <c r="J590" s="36" t="s">
        <v>18</v>
      </c>
      <c r="K590" s="7" t="s">
        <v>5969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5974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36" t="s">
        <v>5290</v>
      </c>
      <c r="J591" s="36" t="s">
        <v>18</v>
      </c>
      <c r="K591" s="7" t="s">
        <v>5969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5974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36" t="s">
        <v>5290</v>
      </c>
      <c r="J592" s="36" t="s">
        <v>18</v>
      </c>
      <c r="K592" s="7" t="s">
        <v>5969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5974</v>
      </c>
      <c r="D593" s="7" t="s">
        <v>5977</v>
      </c>
      <c r="E593" s="7"/>
      <c r="F593" s="7" t="s">
        <v>5978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18</v>
      </c>
      <c r="K593" s="7" t="s">
        <v>5979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5974</v>
      </c>
      <c r="D594" s="7" t="s">
        <v>5980</v>
      </c>
      <c r="E594" s="7"/>
      <c r="F594" s="7" t="s">
        <v>5978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18</v>
      </c>
      <c r="K594" s="7" t="s">
        <v>5979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5974</v>
      </c>
      <c r="D595" s="7" t="s">
        <v>5981</v>
      </c>
      <c r="E595" s="7"/>
      <c r="F595" s="7" t="s">
        <v>5978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18</v>
      </c>
      <c r="K595" s="7" t="s">
        <v>5979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5974</v>
      </c>
      <c r="D596" s="7" t="s">
        <v>5982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36" t="s">
        <v>5290</v>
      </c>
      <c r="J596" s="36" t="s">
        <v>18</v>
      </c>
      <c r="K596" s="7" t="s">
        <v>5979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5974</v>
      </c>
      <c r="D597" s="7" t="s">
        <v>5983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36" t="s">
        <v>5290</v>
      </c>
      <c r="J597" s="36" t="s">
        <v>18</v>
      </c>
      <c r="K597" s="7" t="s">
        <v>5979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5974</v>
      </c>
      <c r="D598" s="7" t="s">
        <v>5984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36" t="s">
        <v>5290</v>
      </c>
      <c r="J598" s="36" t="s">
        <v>18</v>
      </c>
      <c r="K598" s="7" t="s">
        <v>5979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5974</v>
      </c>
      <c r="D599" s="7" t="s">
        <v>5985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36" t="s">
        <v>5290</v>
      </c>
      <c r="J599" s="36" t="s">
        <v>18</v>
      </c>
      <c r="K599" s="7" t="s">
        <v>5979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5974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36" t="s">
        <v>5290</v>
      </c>
      <c r="J600" s="36" t="s">
        <v>18</v>
      </c>
      <c r="K600" s="7" t="s">
        <v>5979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5974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36" t="s">
        <v>5290</v>
      </c>
      <c r="J601" s="36" t="s">
        <v>18</v>
      </c>
      <c r="K601" s="7" t="s">
        <v>5979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5974</v>
      </c>
      <c r="D602" s="7" t="s">
        <v>5986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36" t="s">
        <v>5290</v>
      </c>
      <c r="J602" s="36" t="s">
        <v>18</v>
      </c>
      <c r="K602" s="7" t="s">
        <v>5979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5974</v>
      </c>
      <c r="D603" s="7" t="s">
        <v>5987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36" t="s">
        <v>5290</v>
      </c>
      <c r="J603" s="36" t="s">
        <v>18</v>
      </c>
      <c r="K603" s="7" t="s">
        <v>5979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5974</v>
      </c>
      <c r="D604" s="7" t="s">
        <v>5988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36" t="s">
        <v>5290</v>
      </c>
      <c r="J604" s="36" t="s">
        <v>18</v>
      </c>
      <c r="K604" s="7" t="s">
        <v>5979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5974</v>
      </c>
      <c r="D605" s="7" t="s">
        <v>5989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36" t="s">
        <v>5290</v>
      </c>
      <c r="J605" s="36" t="s">
        <v>18</v>
      </c>
      <c r="K605" s="7" t="s">
        <v>5979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5974</v>
      </c>
      <c r="D606" s="7" t="s">
        <v>5990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36" t="s">
        <v>5290</v>
      </c>
      <c r="J606" s="36" t="s">
        <v>18</v>
      </c>
      <c r="K606" s="7" t="s">
        <v>5979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5974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36" t="s">
        <v>5290</v>
      </c>
      <c r="J607" s="36" t="s">
        <v>18</v>
      </c>
      <c r="K607" s="7" t="s">
        <v>5979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5974</v>
      </c>
      <c r="D608" s="7" t="s">
        <v>5991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36" t="s">
        <v>5290</v>
      </c>
      <c r="J608" s="36" t="s">
        <v>18</v>
      </c>
      <c r="K608" s="7" t="s">
        <v>5979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5974</v>
      </c>
      <c r="D609" s="7" t="s">
        <v>5992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36" t="s">
        <v>5290</v>
      </c>
      <c r="J609" s="36" t="s">
        <v>18</v>
      </c>
      <c r="K609" s="7" t="s">
        <v>5979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5974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36" t="s">
        <v>5290</v>
      </c>
      <c r="J610" s="36" t="s">
        <v>18</v>
      </c>
      <c r="K610" s="7" t="s">
        <v>5979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5974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36" t="s">
        <v>5290</v>
      </c>
      <c r="J611" s="36" t="s">
        <v>18</v>
      </c>
      <c r="K611" s="7" t="s">
        <v>5979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5974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36" t="s">
        <v>5290</v>
      </c>
      <c r="J612" s="36" t="s">
        <v>18</v>
      </c>
      <c r="K612" s="7" t="s">
        <v>5979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5974</v>
      </c>
      <c r="D613" s="7" t="s">
        <v>5993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36" t="s">
        <v>5290</v>
      </c>
      <c r="J613" s="36" t="s">
        <v>18</v>
      </c>
      <c r="K613" s="7" t="s">
        <v>5979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5974</v>
      </c>
      <c r="D614" s="7" t="s">
        <v>5994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36" t="s">
        <v>5290</v>
      </c>
      <c r="J614" s="36" t="s">
        <v>18</v>
      </c>
      <c r="K614" s="7" t="s">
        <v>5979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5974</v>
      </c>
      <c r="D615" s="7" t="s">
        <v>5995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36" t="s">
        <v>5290</v>
      </c>
      <c r="J615" s="36" t="s">
        <v>18</v>
      </c>
      <c r="K615" s="7" t="s">
        <v>5979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5974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36" t="s">
        <v>5290</v>
      </c>
      <c r="J616" s="36" t="s">
        <v>18</v>
      </c>
      <c r="K616" s="7" t="s">
        <v>5979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5974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36" t="s">
        <v>5290</v>
      </c>
      <c r="J617" s="36" t="s">
        <v>18</v>
      </c>
      <c r="K617" s="7" t="s">
        <v>5979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5974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36" t="s">
        <v>5290</v>
      </c>
      <c r="J618" s="36" t="s">
        <v>18</v>
      </c>
      <c r="K618" s="7" t="s">
        <v>5979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5974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36" t="s">
        <v>5290</v>
      </c>
      <c r="J619" s="36" t="s">
        <v>18</v>
      </c>
      <c r="K619" s="7" t="s">
        <v>5979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5974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36" t="s">
        <v>5290</v>
      </c>
      <c r="J620" s="36" t="s">
        <v>18</v>
      </c>
      <c r="K620" s="7" t="s">
        <v>5979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5974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36" t="s">
        <v>5290</v>
      </c>
      <c r="J621" s="36" t="s">
        <v>18</v>
      </c>
      <c r="K621" s="7" t="s">
        <v>5979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5974</v>
      </c>
      <c r="D622" s="7" t="s">
        <v>5996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36" t="s">
        <v>5290</v>
      </c>
      <c r="J622" s="36" t="s">
        <v>18</v>
      </c>
      <c r="K622" s="7" t="s">
        <v>5979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5974</v>
      </c>
      <c r="D623" s="7" t="s">
        <v>5997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36" t="s">
        <v>5290</v>
      </c>
      <c r="J623" s="36" t="s">
        <v>18</v>
      </c>
      <c r="K623" s="7" t="s">
        <v>5979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5974</v>
      </c>
      <c r="D624" s="7" t="s">
        <v>5998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36" t="s">
        <v>5290</v>
      </c>
      <c r="J624" s="36" t="s">
        <v>18</v>
      </c>
      <c r="K624" s="7" t="s">
        <v>5979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5974</v>
      </c>
      <c r="D625" s="7" t="s">
        <v>5999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36" t="s">
        <v>5290</v>
      </c>
      <c r="J625" s="36" t="s">
        <v>18</v>
      </c>
      <c r="K625" s="7" t="s">
        <v>5979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5974</v>
      </c>
      <c r="D626" s="7" t="s">
        <v>6000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36" t="s">
        <v>5290</v>
      </c>
      <c r="J626" s="36" t="s">
        <v>18</v>
      </c>
      <c r="K626" s="7" t="s">
        <v>5979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5974</v>
      </c>
      <c r="D627" s="7" t="s">
        <v>6001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36" t="s">
        <v>5290</v>
      </c>
      <c r="J627" s="36" t="s">
        <v>18</v>
      </c>
      <c r="K627" s="7" t="s">
        <v>5979</v>
      </c>
      <c r="L627" s="36"/>
      <c r="M627" s="7" t="s">
        <v>4799</v>
      </c>
    </row>
    <row r="628" spans="1:13" ht="19.5" hidden="1" customHeight="1" x14ac:dyDescent="0.25">
      <c r="A628" s="49">
        <f t="shared" ref="A628:A691" si="10">1+A627</f>
        <v>627</v>
      </c>
      <c r="B628" s="7" t="s">
        <v>8</v>
      </c>
      <c r="C628" s="7" t="s">
        <v>5974</v>
      </c>
      <c r="D628" s="7" t="s">
        <v>6002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36" t="s">
        <v>5290</v>
      </c>
      <c r="J628" s="36" t="s">
        <v>18</v>
      </c>
      <c r="K628" s="7" t="s">
        <v>5979</v>
      </c>
      <c r="L628" s="36"/>
      <c r="M628" s="7" t="s">
        <v>4799</v>
      </c>
    </row>
    <row r="629" spans="1:13" ht="19.5" hidden="1" customHeight="1" x14ac:dyDescent="0.25">
      <c r="A629" s="49">
        <f t="shared" si="10"/>
        <v>628</v>
      </c>
      <c r="B629" s="7" t="s">
        <v>8</v>
      </c>
      <c r="C629" s="7" t="s">
        <v>5974</v>
      </c>
      <c r="D629" s="7" t="s">
        <v>6003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36" t="s">
        <v>5290</v>
      </c>
      <c r="J629" s="36" t="s">
        <v>18</v>
      </c>
      <c r="K629" s="7" t="s">
        <v>5979</v>
      </c>
      <c r="L629" s="36"/>
      <c r="M629" s="7" t="s">
        <v>4799</v>
      </c>
    </row>
    <row r="630" spans="1:13" ht="19.5" hidden="1" customHeight="1" x14ac:dyDescent="0.25">
      <c r="A630" s="49">
        <f t="shared" si="10"/>
        <v>629</v>
      </c>
      <c r="B630" s="7" t="s">
        <v>8</v>
      </c>
      <c r="C630" s="7" t="s">
        <v>5974</v>
      </c>
      <c r="D630" s="7" t="s">
        <v>6004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36" t="s">
        <v>5290</v>
      </c>
      <c r="J630" s="36" t="s">
        <v>18</v>
      </c>
      <c r="K630" s="7" t="s">
        <v>5979</v>
      </c>
      <c r="L630" s="36"/>
      <c r="M630" s="7" t="s">
        <v>4799</v>
      </c>
    </row>
    <row r="631" spans="1:13" ht="19.5" hidden="1" customHeight="1" x14ac:dyDescent="0.25">
      <c r="A631" s="49">
        <f t="shared" si="10"/>
        <v>630</v>
      </c>
      <c r="B631" s="7" t="s">
        <v>8</v>
      </c>
      <c r="C631" s="7" t="s">
        <v>5974</v>
      </c>
      <c r="D631" s="7" t="s">
        <v>6005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36" t="s">
        <v>5290</v>
      </c>
      <c r="J631" s="36" t="s">
        <v>18</v>
      </c>
      <c r="K631" s="7" t="s">
        <v>5979</v>
      </c>
      <c r="L631" s="36"/>
      <c r="M631" s="7" t="s">
        <v>4799</v>
      </c>
    </row>
    <row r="632" spans="1:13" ht="19.5" hidden="1" customHeight="1" x14ac:dyDescent="0.25">
      <c r="A632" s="49">
        <f t="shared" si="10"/>
        <v>631</v>
      </c>
      <c r="B632" s="7" t="s">
        <v>8</v>
      </c>
      <c r="C632" s="7" t="s">
        <v>5974</v>
      </c>
      <c r="D632" s="7" t="s">
        <v>6006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36" t="s">
        <v>5290</v>
      </c>
      <c r="J632" s="36" t="s">
        <v>18</v>
      </c>
      <c r="K632" s="7" t="s">
        <v>5979</v>
      </c>
      <c r="L632" s="36"/>
      <c r="M632" s="7" t="s">
        <v>4799</v>
      </c>
    </row>
    <row r="633" spans="1:13" ht="19.5" hidden="1" customHeight="1" x14ac:dyDescent="0.25">
      <c r="A633" s="49">
        <f t="shared" si="10"/>
        <v>632</v>
      </c>
      <c r="B633" s="7" t="s">
        <v>8</v>
      </c>
      <c r="C633" s="7" t="s">
        <v>5974</v>
      </c>
      <c r="D633" s="7" t="s">
        <v>6007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36" t="s">
        <v>5290</v>
      </c>
      <c r="J633" s="36" t="s">
        <v>18</v>
      </c>
      <c r="K633" s="7" t="s">
        <v>5979</v>
      </c>
      <c r="L633" s="36"/>
      <c r="M633" s="7" t="s">
        <v>4799</v>
      </c>
    </row>
    <row r="634" spans="1:13" ht="19.5" hidden="1" customHeight="1" x14ac:dyDescent="0.25">
      <c r="A634" s="49">
        <f t="shared" si="10"/>
        <v>633</v>
      </c>
      <c r="B634" s="7" t="s">
        <v>8</v>
      </c>
      <c r="C634" s="7" t="s">
        <v>5974</v>
      </c>
      <c r="D634" s="7" t="s">
        <v>6008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36" t="s">
        <v>5290</v>
      </c>
      <c r="J634" s="36" t="s">
        <v>18</v>
      </c>
      <c r="K634" s="7" t="s">
        <v>5979</v>
      </c>
      <c r="L634" s="36"/>
      <c r="M634" s="7" t="s">
        <v>4799</v>
      </c>
    </row>
    <row r="635" spans="1:13" ht="19.5" hidden="1" customHeight="1" x14ac:dyDescent="0.25">
      <c r="A635" s="49">
        <f t="shared" si="10"/>
        <v>634</v>
      </c>
      <c r="B635" s="7" t="s">
        <v>8</v>
      </c>
      <c r="C635" s="7" t="s">
        <v>5974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36" t="s">
        <v>5290</v>
      </c>
      <c r="J635" s="36" t="s">
        <v>18</v>
      </c>
      <c r="K635" s="7" t="s">
        <v>5979</v>
      </c>
      <c r="L635" s="36"/>
      <c r="M635" s="7" t="s">
        <v>4799</v>
      </c>
    </row>
    <row r="636" spans="1:13" ht="19.5" hidden="1" customHeight="1" x14ac:dyDescent="0.25">
      <c r="A636" s="49">
        <f t="shared" si="10"/>
        <v>635</v>
      </c>
      <c r="B636" s="7" t="s">
        <v>8</v>
      </c>
      <c r="C636" s="7" t="s">
        <v>5974</v>
      </c>
      <c r="D636" s="7" t="s">
        <v>6009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36" t="s">
        <v>5290</v>
      </c>
      <c r="J636" s="36" t="s">
        <v>18</v>
      </c>
      <c r="K636" s="7" t="s">
        <v>5979</v>
      </c>
      <c r="L636" s="36"/>
      <c r="M636" s="7" t="s">
        <v>4799</v>
      </c>
    </row>
    <row r="637" spans="1:13" ht="19.5" hidden="1" customHeight="1" x14ac:dyDescent="0.25">
      <c r="A637" s="49">
        <f t="shared" si="10"/>
        <v>636</v>
      </c>
      <c r="B637" s="7" t="s">
        <v>8</v>
      </c>
      <c r="C637" s="7" t="s">
        <v>5974</v>
      </c>
      <c r="D637" s="7" t="s">
        <v>6010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36" t="s">
        <v>5290</v>
      </c>
      <c r="J637" s="36" t="s">
        <v>18</v>
      </c>
      <c r="K637" s="7" t="s">
        <v>5979</v>
      </c>
      <c r="L637" s="36"/>
      <c r="M637" s="7" t="s">
        <v>4799</v>
      </c>
    </row>
    <row r="638" spans="1:13" ht="19.5" hidden="1" customHeight="1" x14ac:dyDescent="0.25">
      <c r="A638" s="49">
        <f t="shared" si="10"/>
        <v>637</v>
      </c>
      <c r="B638" s="7" t="s">
        <v>8</v>
      </c>
      <c r="C638" s="7" t="s">
        <v>5974</v>
      </c>
      <c r="D638" s="7" t="s">
        <v>6011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36" t="s">
        <v>5290</v>
      </c>
      <c r="J638" s="36" t="s">
        <v>18</v>
      </c>
      <c r="K638" s="7" t="s">
        <v>5979</v>
      </c>
      <c r="L638" s="36"/>
      <c r="M638" s="7" t="s">
        <v>4799</v>
      </c>
    </row>
    <row r="639" spans="1:13" ht="19.5" hidden="1" customHeight="1" x14ac:dyDescent="0.25">
      <c r="A639" s="49">
        <f t="shared" si="10"/>
        <v>638</v>
      </c>
      <c r="B639" s="7" t="s">
        <v>8</v>
      </c>
      <c r="C639" s="7" t="s">
        <v>5974</v>
      </c>
      <c r="D639" s="7" t="s">
        <v>6012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18</v>
      </c>
      <c r="K639" s="7" t="s">
        <v>5979</v>
      </c>
      <c r="L639" s="36"/>
      <c r="M639" s="7" t="s">
        <v>4799</v>
      </c>
    </row>
    <row r="640" spans="1:13" ht="19.5" hidden="1" customHeight="1" x14ac:dyDescent="0.25">
      <c r="A640" s="49">
        <f t="shared" si="10"/>
        <v>639</v>
      </c>
      <c r="B640" s="7" t="s">
        <v>8</v>
      </c>
      <c r="C640" s="7" t="s">
        <v>5974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36" t="s">
        <v>5290</v>
      </c>
      <c r="J640" s="36" t="s">
        <v>18</v>
      </c>
      <c r="K640" s="7" t="s">
        <v>5979</v>
      </c>
      <c r="L640" s="36"/>
      <c r="M640" s="7" t="s">
        <v>4799</v>
      </c>
    </row>
    <row r="641" spans="1:13" ht="19.5" hidden="1" customHeight="1" x14ac:dyDescent="0.25">
      <c r="A641" s="49">
        <f t="shared" si="10"/>
        <v>640</v>
      </c>
      <c r="B641" s="7" t="s">
        <v>8</v>
      </c>
      <c r="C641" s="7" t="s">
        <v>5974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36" t="s">
        <v>5290</v>
      </c>
      <c r="J641" s="36" t="s">
        <v>18</v>
      </c>
      <c r="K641" s="7" t="s">
        <v>5979</v>
      </c>
      <c r="L641" s="36"/>
      <c r="M641" s="7" t="s">
        <v>4799</v>
      </c>
    </row>
    <row r="642" spans="1:13" ht="19.5" hidden="1" customHeight="1" x14ac:dyDescent="0.25">
      <c r="A642" s="49">
        <f t="shared" si="10"/>
        <v>641</v>
      </c>
      <c r="B642" s="7" t="s">
        <v>8</v>
      </c>
      <c r="C642" s="7" t="s">
        <v>5974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7" t="s">
        <v>5979</v>
      </c>
      <c r="L642" s="36"/>
      <c r="M642" s="7" t="s">
        <v>4799</v>
      </c>
    </row>
    <row r="643" spans="1:13" ht="19.5" hidden="1" customHeight="1" x14ac:dyDescent="0.25">
      <c r="A643" s="49">
        <f t="shared" si="10"/>
        <v>642</v>
      </c>
      <c r="B643" s="7" t="s">
        <v>8</v>
      </c>
      <c r="C643" s="7" t="s">
        <v>5974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36" t="s">
        <v>5290</v>
      </c>
      <c r="J643" s="36" t="s">
        <v>18</v>
      </c>
      <c r="K643" s="7" t="s">
        <v>5979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5974</v>
      </c>
      <c r="D644" s="7" t="s">
        <v>6013</v>
      </c>
      <c r="E644" s="7"/>
      <c r="F644" s="7" t="s">
        <v>6014</v>
      </c>
      <c r="G644" s="36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18</v>
      </c>
      <c r="K644" s="7" t="s">
        <v>5979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5974</v>
      </c>
      <c r="D645" s="7" t="s">
        <v>6015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36" t="s">
        <v>5290</v>
      </c>
      <c r="J645" s="36" t="s">
        <v>18</v>
      </c>
      <c r="K645" s="7" t="s">
        <v>5979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5974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36" t="s">
        <v>5290</v>
      </c>
      <c r="J646" s="36" t="s">
        <v>18</v>
      </c>
      <c r="K646" s="7" t="s">
        <v>5979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5974</v>
      </c>
      <c r="D647" s="7" t="s">
        <v>6016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36" t="s">
        <v>5290</v>
      </c>
      <c r="J647" s="36" t="s">
        <v>18</v>
      </c>
      <c r="K647" s="7" t="s">
        <v>5979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5974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36" t="s">
        <v>5290</v>
      </c>
      <c r="J648" s="36" t="s">
        <v>18</v>
      </c>
      <c r="K648" s="7" t="s">
        <v>5979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5974</v>
      </c>
      <c r="D649" s="7" t="s">
        <v>6017</v>
      </c>
      <c r="E649" s="7"/>
      <c r="F649" s="7" t="s">
        <v>5777</v>
      </c>
      <c r="G649" s="36" t="s">
        <v>13</v>
      </c>
      <c r="H649" s="36" t="str">
        <f>IFERROR(VLOOKUP(Table2[[#This Row], [Ticket]],Okey!A:B,2,0),"")</f>
        <v>ok</v>
      </c>
      <c r="I649" s="36" t="s">
        <v>5290</v>
      </c>
      <c r="J649" s="36" t="s">
        <v>18</v>
      </c>
      <c r="K649" s="7" t="s">
        <v>5979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5974</v>
      </c>
      <c r="D650" s="7" t="s">
        <v>5548</v>
      </c>
      <c r="E650" s="7"/>
      <c r="F650" s="7" t="s">
        <v>6018</v>
      </c>
      <c r="G650" s="36" t="s">
        <v>13</v>
      </c>
      <c r="H650" s="36" t="str">
        <f>IFERROR(VLOOKUP(Table2[[#This Row], [Ticket]],Okey!A:B,2,0),"")</f>
        <v>ok</v>
      </c>
      <c r="I650" s="36" t="s">
        <v>5290</v>
      </c>
      <c r="J650" s="36" t="s">
        <v>18</v>
      </c>
      <c r="K650" s="7" t="s">
        <v>5979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5974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36" t="s">
        <v>5290</v>
      </c>
      <c r="J651" s="36" t="s">
        <v>18</v>
      </c>
      <c r="K651" s="7" t="s">
        <v>5979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5974</v>
      </c>
      <c r="D652" s="7" t="s">
        <v>6019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36" t="s">
        <v>5290</v>
      </c>
      <c r="J652" s="36" t="s">
        <v>18</v>
      </c>
      <c r="K652" s="7" t="s">
        <v>5979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5974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36" t="s">
        <v>5290</v>
      </c>
      <c r="J653" s="36" t="s">
        <v>18</v>
      </c>
      <c r="K653" s="7" t="s">
        <v>5979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5974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36" t="s">
        <v>5290</v>
      </c>
      <c r="J654" s="36" t="s">
        <v>18</v>
      </c>
      <c r="K654" s="7" t="s">
        <v>5979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5974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36" t="s">
        <v>5290</v>
      </c>
      <c r="J655" s="36" t="s">
        <v>18</v>
      </c>
      <c r="K655" s="7" t="s">
        <v>5979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5974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36" t="s">
        <v>5290</v>
      </c>
      <c r="J656" s="36" t="s">
        <v>18</v>
      </c>
      <c r="K656" s="7" t="s">
        <v>5979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5974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36" t="s">
        <v>5290</v>
      </c>
      <c r="J657" s="36" t="s">
        <v>18</v>
      </c>
      <c r="K657" s="7" t="s">
        <v>5979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5974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36" t="s">
        <v>5290</v>
      </c>
      <c r="J658" s="36" t="s">
        <v>18</v>
      </c>
      <c r="K658" s="7" t="s">
        <v>5979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5974</v>
      </c>
      <c r="D659" s="7" t="s">
        <v>6020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36" t="s">
        <v>5290</v>
      </c>
      <c r="J659" s="36" t="s">
        <v>18</v>
      </c>
      <c r="K659" s="7" t="s">
        <v>5979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5974</v>
      </c>
      <c r="D660" s="7" t="s">
        <v>6021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36" t="s">
        <v>5290</v>
      </c>
      <c r="J660" s="36" t="s">
        <v>18</v>
      </c>
      <c r="K660" s="7" t="s">
        <v>5979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5974</v>
      </c>
      <c r="D661" s="7" t="s">
        <v>6022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36" t="s">
        <v>5290</v>
      </c>
      <c r="J661" s="36" t="s">
        <v>18</v>
      </c>
      <c r="K661" s="7" t="s">
        <v>5979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5974</v>
      </c>
      <c r="D662" s="7" t="s">
        <v>6023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36" t="s">
        <v>5290</v>
      </c>
      <c r="J662" s="36" t="s">
        <v>18</v>
      </c>
      <c r="K662" s="7" t="s">
        <v>5979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5974</v>
      </c>
      <c r="D663" s="7" t="s">
        <v>6024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36" t="s">
        <v>5290</v>
      </c>
      <c r="J663" s="36" t="s">
        <v>18</v>
      </c>
      <c r="K663" s="7" t="s">
        <v>5979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5974</v>
      </c>
      <c r="D664" s="7" t="s">
        <v>5784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36" t="s">
        <v>5290</v>
      </c>
      <c r="J664" s="36" t="s">
        <v>18</v>
      </c>
      <c r="K664" s="7" t="s">
        <v>5979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5974</v>
      </c>
      <c r="D665" s="7" t="s">
        <v>6025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36" t="s">
        <v>5290</v>
      </c>
      <c r="J665" s="36" t="s">
        <v>18</v>
      </c>
      <c r="K665" s="7" t="s">
        <v>5979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5974</v>
      </c>
      <c r="D666" s="7" t="s">
        <v>6026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36" t="s">
        <v>5290</v>
      </c>
      <c r="J666" s="36" t="s">
        <v>18</v>
      </c>
      <c r="K666" s="7" t="s">
        <v>5979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5974</v>
      </c>
      <c r="D667" s="7" t="s">
        <v>6027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36" t="s">
        <v>5290</v>
      </c>
      <c r="J667" s="36" t="s">
        <v>18</v>
      </c>
      <c r="K667" s="7" t="s">
        <v>5979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5974</v>
      </c>
      <c r="D668" s="7" t="s">
        <v>6028</v>
      </c>
      <c r="E668" s="7"/>
      <c r="F668" s="7" t="s">
        <v>6029</v>
      </c>
      <c r="G668" s="36" t="s">
        <v>13</v>
      </c>
      <c r="H668" s="36" t="str">
        <f>IFERROR(VLOOKUP(Table2[[#This Row], [Ticket]],Okey!A:B,2,0),"")</f>
        <v>ok</v>
      </c>
      <c r="I668" s="36" t="s">
        <v>5290</v>
      </c>
      <c r="J668" s="36" t="s">
        <v>18</v>
      </c>
      <c r="K668" s="7" t="s">
        <v>5979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5974</v>
      </c>
      <c r="D669" s="7" t="s">
        <v>6030</v>
      </c>
      <c r="E669" s="7"/>
      <c r="F669" s="7" t="s">
        <v>6029</v>
      </c>
      <c r="G669" s="36" t="s">
        <v>13</v>
      </c>
      <c r="H669" s="36" t="str">
        <f>IFERROR(VLOOKUP(Table2[[#This Row], [Ticket]],Okey!A:B,2,0),"")</f>
        <v>ok</v>
      </c>
      <c r="I669" s="36" t="s">
        <v>5290</v>
      </c>
      <c r="J669" s="36" t="s">
        <v>18</v>
      </c>
      <c r="K669" s="7" t="s">
        <v>5979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5974</v>
      </c>
      <c r="D670" s="7" t="s">
        <v>6031</v>
      </c>
      <c r="E670" s="7"/>
      <c r="F670" s="7" t="s">
        <v>6029</v>
      </c>
      <c r="G670" s="36" t="s">
        <v>13</v>
      </c>
      <c r="H670" s="36" t="str">
        <f>IFERROR(VLOOKUP(Table2[[#This Row], [Ticket]],Okey!A:B,2,0),"")</f>
        <v>ok</v>
      </c>
      <c r="I670" s="36" t="s">
        <v>5290</v>
      </c>
      <c r="J670" s="36" t="s">
        <v>18</v>
      </c>
      <c r="K670" s="7" t="s">
        <v>5979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5974</v>
      </c>
      <c r="D671" s="7" t="s">
        <v>6032</v>
      </c>
      <c r="E671" s="7"/>
      <c r="F671" s="7" t="s">
        <v>6029</v>
      </c>
      <c r="G671" s="36" t="s">
        <v>13</v>
      </c>
      <c r="H671" s="36" t="str">
        <f>IFERROR(VLOOKUP(Table2[[#This Row], [Ticket]],Okey!A:B,2,0),"")</f>
        <v>ok</v>
      </c>
      <c r="I671" s="36" t="s">
        <v>5290</v>
      </c>
      <c r="J671" s="36" t="s">
        <v>18</v>
      </c>
      <c r="K671" s="7" t="s">
        <v>5979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5974</v>
      </c>
      <c r="D672" s="7" t="s">
        <v>6033</v>
      </c>
      <c r="E672" s="7"/>
      <c r="F672" s="7" t="s">
        <v>6029</v>
      </c>
      <c r="G672" s="36" t="s">
        <v>13</v>
      </c>
      <c r="H672" s="36" t="str">
        <f>IFERROR(VLOOKUP(Table2[[#This Row], [Ticket]],Okey!A:B,2,0),"")</f>
        <v>ok</v>
      </c>
      <c r="I672" s="36" t="s">
        <v>5290</v>
      </c>
      <c r="J672" s="36" t="s">
        <v>18</v>
      </c>
      <c r="K672" s="7" t="s">
        <v>5979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5974</v>
      </c>
      <c r="D673" s="7" t="s">
        <v>6034</v>
      </c>
      <c r="E673" s="7"/>
      <c r="F673" s="7" t="s">
        <v>6029</v>
      </c>
      <c r="G673" s="36" t="s">
        <v>13</v>
      </c>
      <c r="H673" s="36" t="str">
        <f>IFERROR(VLOOKUP(Table2[[#This Row], [Ticket]],Okey!A:B,2,0),"")</f>
        <v>ok</v>
      </c>
      <c r="I673" s="36" t="s">
        <v>5290</v>
      </c>
      <c r="J673" s="36" t="s">
        <v>18</v>
      </c>
      <c r="K673" s="7" t="s">
        <v>5979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5974</v>
      </c>
      <c r="D674" s="7" t="s">
        <v>6035</v>
      </c>
      <c r="E674" s="7"/>
      <c r="F674" s="7" t="s">
        <v>6029</v>
      </c>
      <c r="G674" s="36" t="s">
        <v>13</v>
      </c>
      <c r="H674" s="36" t="str">
        <f>IFERROR(VLOOKUP(Table2[[#This Row], [Ticket]],Okey!A:B,2,0),"")</f>
        <v>ok</v>
      </c>
      <c r="I674" s="36" t="s">
        <v>5290</v>
      </c>
      <c r="J674" s="36" t="s">
        <v>18</v>
      </c>
      <c r="K674" s="7" t="s">
        <v>5979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5974</v>
      </c>
      <c r="D675" s="7" t="s">
        <v>6036</v>
      </c>
      <c r="E675" s="7"/>
      <c r="F675" s="7" t="s">
        <v>6029</v>
      </c>
      <c r="G675" s="36" t="s">
        <v>13</v>
      </c>
      <c r="H675" s="36" t="str">
        <f>IFERROR(VLOOKUP(Table2[[#This Row], [Ticket]],Okey!A:B,2,0),"")</f>
        <v>ok</v>
      </c>
      <c r="I675" s="36" t="s">
        <v>5290</v>
      </c>
      <c r="J675" s="36" t="s">
        <v>18</v>
      </c>
      <c r="K675" s="7" t="s">
        <v>5979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5974</v>
      </c>
      <c r="D676" s="7" t="s">
        <v>6037</v>
      </c>
      <c r="E676" s="7"/>
      <c r="F676" s="7" t="s">
        <v>6029</v>
      </c>
      <c r="G676" s="36" t="s">
        <v>13</v>
      </c>
      <c r="H676" s="36" t="str">
        <f>IFERROR(VLOOKUP(Table2[[#This Row], [Ticket]],Okey!A:B,2,0),"")</f>
        <v>ok</v>
      </c>
      <c r="I676" s="36" t="s">
        <v>5290</v>
      </c>
      <c r="J676" s="36" t="s">
        <v>18</v>
      </c>
      <c r="K676" s="7" t="s">
        <v>5979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5974</v>
      </c>
      <c r="D677" s="7" t="s">
        <v>6038</v>
      </c>
      <c r="E677" s="7"/>
      <c r="F677" s="7" t="s">
        <v>6029</v>
      </c>
      <c r="G677" s="36" t="s">
        <v>13</v>
      </c>
      <c r="H677" s="36" t="str">
        <f>IFERROR(VLOOKUP(Table2[[#This Row], [Ticket]],Okey!A:B,2,0),"")</f>
        <v>ok</v>
      </c>
      <c r="I677" s="36" t="s">
        <v>5290</v>
      </c>
      <c r="J677" s="36" t="s">
        <v>18</v>
      </c>
      <c r="K677" s="7" t="s">
        <v>5979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5974</v>
      </c>
      <c r="D678" s="7" t="s">
        <v>6039</v>
      </c>
      <c r="E678" s="7"/>
      <c r="F678" s="7" t="s">
        <v>6029</v>
      </c>
      <c r="G678" s="36" t="s">
        <v>13</v>
      </c>
      <c r="H678" s="36" t="str">
        <f>IFERROR(VLOOKUP(Table2[[#This Row], [Ticket]],Okey!A:B,2,0),"")</f>
        <v>ok</v>
      </c>
      <c r="I678" s="36" t="s">
        <v>5290</v>
      </c>
      <c r="J678" s="36" t="s">
        <v>18</v>
      </c>
      <c r="K678" s="7" t="s">
        <v>5979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5974</v>
      </c>
      <c r="D679" s="7" t="s">
        <v>6040</v>
      </c>
      <c r="E679" s="7"/>
      <c r="F679" s="7" t="s">
        <v>6029</v>
      </c>
      <c r="G679" s="36" t="s">
        <v>13</v>
      </c>
      <c r="H679" s="36" t="str">
        <f>IFERROR(VLOOKUP(Table2[[#This Row], [Ticket]],Okey!A:B,2,0),"")</f>
        <v>ok</v>
      </c>
      <c r="I679" s="36" t="s">
        <v>5290</v>
      </c>
      <c r="J679" s="36" t="s">
        <v>18</v>
      </c>
      <c r="K679" s="7" t="s">
        <v>5979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5974</v>
      </c>
      <c r="D680" s="7" t="s">
        <v>6041</v>
      </c>
      <c r="E680" s="7"/>
      <c r="F680" s="7" t="s">
        <v>6029</v>
      </c>
      <c r="G680" s="36" t="s">
        <v>13</v>
      </c>
      <c r="H680" s="36" t="str">
        <f>IFERROR(VLOOKUP(Table2[[#This Row], [Ticket]],Okey!A:B,2,0),"")</f>
        <v>ok</v>
      </c>
      <c r="I680" s="36" t="s">
        <v>5290</v>
      </c>
      <c r="J680" s="36" t="s">
        <v>18</v>
      </c>
      <c r="K680" s="7" t="s">
        <v>5979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5974</v>
      </c>
      <c r="D681" s="7" t="s">
        <v>6042</v>
      </c>
      <c r="E681" s="7"/>
      <c r="F681" s="7" t="s">
        <v>6029</v>
      </c>
      <c r="G681" s="36" t="s">
        <v>13</v>
      </c>
      <c r="H681" s="36" t="str">
        <f>IFERROR(VLOOKUP(Table2[[#This Row], [Ticket]],Okey!A:B,2,0),"")</f>
        <v>ok</v>
      </c>
      <c r="I681" s="36" t="s">
        <v>5290</v>
      </c>
      <c r="J681" s="36" t="s">
        <v>18</v>
      </c>
      <c r="K681" s="7" t="s">
        <v>5979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5974</v>
      </c>
      <c r="D682" s="7" t="s">
        <v>6043</v>
      </c>
      <c r="E682" s="7"/>
      <c r="F682" s="7" t="s">
        <v>6029</v>
      </c>
      <c r="G682" s="36" t="s">
        <v>13</v>
      </c>
      <c r="H682" s="36" t="str">
        <f>IFERROR(VLOOKUP(Table2[[#This Row], [Ticket]],Okey!A:B,2,0),"")</f>
        <v>ok</v>
      </c>
      <c r="I682" s="36" t="s">
        <v>5290</v>
      </c>
      <c r="J682" s="36" t="s">
        <v>18</v>
      </c>
      <c r="K682" s="7" t="s">
        <v>5979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5974</v>
      </c>
      <c r="D683" s="7" t="s">
        <v>6044</v>
      </c>
      <c r="E683" s="7"/>
      <c r="F683" s="7" t="s">
        <v>6029</v>
      </c>
      <c r="G683" s="36" t="s">
        <v>13</v>
      </c>
      <c r="H683" s="36" t="str">
        <f>IFERROR(VLOOKUP(Table2[[#This Row], [Ticket]],Okey!A:B,2,0),"")</f>
        <v>ok</v>
      </c>
      <c r="I683" s="36" t="s">
        <v>5290</v>
      </c>
      <c r="J683" s="36" t="s">
        <v>18</v>
      </c>
      <c r="K683" s="7" t="s">
        <v>5979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5974</v>
      </c>
      <c r="D684" s="7" t="s">
        <v>6045</v>
      </c>
      <c r="E684" s="7"/>
      <c r="F684" s="7" t="s">
        <v>6029</v>
      </c>
      <c r="G684" s="36" t="s">
        <v>13</v>
      </c>
      <c r="H684" s="36" t="str">
        <f>IFERROR(VLOOKUP(Table2[[#This Row], [Ticket]],Okey!A:B,2,0),"")</f>
        <v>ok</v>
      </c>
      <c r="I684" s="36" t="s">
        <v>5290</v>
      </c>
      <c r="J684" s="36" t="s">
        <v>18</v>
      </c>
      <c r="K684" s="7" t="s">
        <v>5979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5974</v>
      </c>
      <c r="D685" s="7" t="s">
        <v>6046</v>
      </c>
      <c r="E685" s="7"/>
      <c r="F685" s="7" t="s">
        <v>6029</v>
      </c>
      <c r="G685" s="36" t="s">
        <v>13</v>
      </c>
      <c r="H685" s="36" t="str">
        <f>IFERROR(VLOOKUP(Table2[[#This Row], [Ticket]],Okey!A:B,2,0),"")</f>
        <v>ok</v>
      </c>
      <c r="I685" s="36" t="s">
        <v>5290</v>
      </c>
      <c r="J685" s="36" t="s">
        <v>18</v>
      </c>
      <c r="K685" s="7" t="s">
        <v>5979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5974</v>
      </c>
      <c r="D686" s="7" t="s">
        <v>6047</v>
      </c>
      <c r="E686" s="7"/>
      <c r="F686" s="7" t="s">
        <v>6029</v>
      </c>
      <c r="G686" s="36" t="s">
        <v>13</v>
      </c>
      <c r="H686" s="36" t="str">
        <f>IFERROR(VLOOKUP(Table2[[#This Row], [Ticket]],Okey!A:B,2,0),"")</f>
        <v>ok</v>
      </c>
      <c r="I686" s="36" t="s">
        <v>5290</v>
      </c>
      <c r="J686" s="36" t="s">
        <v>18</v>
      </c>
      <c r="K686" s="7" t="s">
        <v>5979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5974</v>
      </c>
      <c r="D687" s="7" t="s">
        <v>6048</v>
      </c>
      <c r="E687" s="7"/>
      <c r="F687" s="7" t="s">
        <v>6029</v>
      </c>
      <c r="G687" s="36" t="s">
        <v>13</v>
      </c>
      <c r="H687" s="36" t="str">
        <f>IFERROR(VLOOKUP(Table2[[#This Row], [Ticket]],Okey!A:B,2,0),"")</f>
        <v>ok</v>
      </c>
      <c r="I687" s="36" t="s">
        <v>5290</v>
      </c>
      <c r="J687" s="36" t="s">
        <v>18</v>
      </c>
      <c r="K687" s="7" t="s">
        <v>5979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5974</v>
      </c>
      <c r="D688" s="7" t="s">
        <v>6049</v>
      </c>
      <c r="E688" s="7"/>
      <c r="F688" s="7" t="s">
        <v>6029</v>
      </c>
      <c r="G688" s="36" t="s">
        <v>13</v>
      </c>
      <c r="H688" s="36" t="str">
        <f>IFERROR(VLOOKUP(Table2[[#This Row], [Ticket]],Okey!A:B,2,0),"")</f>
        <v>ok</v>
      </c>
      <c r="I688" s="36" t="s">
        <v>5290</v>
      </c>
      <c r="J688" s="36" t="s">
        <v>18</v>
      </c>
      <c r="K688" s="7" t="s">
        <v>5979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5974</v>
      </c>
      <c r="D689" s="7" t="s">
        <v>6050</v>
      </c>
      <c r="E689" s="7"/>
      <c r="F689" s="7" t="s">
        <v>6029</v>
      </c>
      <c r="G689" s="36" t="s">
        <v>13</v>
      </c>
      <c r="H689" s="36" t="str">
        <f>IFERROR(VLOOKUP(Table2[[#This Row], [Ticket]],Okey!A:B,2,0),"")</f>
        <v>ok</v>
      </c>
      <c r="I689" s="36" t="s">
        <v>5290</v>
      </c>
      <c r="J689" s="36" t="s">
        <v>18</v>
      </c>
      <c r="K689" s="7" t="s">
        <v>5979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5974</v>
      </c>
      <c r="D690" s="7" t="s">
        <v>6051</v>
      </c>
      <c r="E690" s="7"/>
      <c r="F690" s="7" t="s">
        <v>6029</v>
      </c>
      <c r="G690" s="36" t="s">
        <v>13</v>
      </c>
      <c r="H690" s="36" t="str">
        <f>IFERROR(VLOOKUP(Table2[[#This Row], [Ticket]],Okey!A:B,2,0),"")</f>
        <v>ok</v>
      </c>
      <c r="I690" s="36" t="s">
        <v>5290</v>
      </c>
      <c r="J690" s="36" t="s">
        <v>18</v>
      </c>
      <c r="K690" s="7" t="s">
        <v>5979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5974</v>
      </c>
      <c r="D691" s="7" t="s">
        <v>6052</v>
      </c>
      <c r="E691" s="7"/>
      <c r="F691" s="7" t="s">
        <v>6029</v>
      </c>
      <c r="G691" s="36" t="s">
        <v>13</v>
      </c>
      <c r="H691" s="36" t="str">
        <f>IFERROR(VLOOKUP(Table2[[#This Row], [Ticket]],Okey!A:B,2,0),"")</f>
        <v>ok</v>
      </c>
      <c r="I691" s="36" t="s">
        <v>5290</v>
      </c>
      <c r="J691" s="36" t="s">
        <v>18</v>
      </c>
      <c r="K691" s="7" t="s">
        <v>5979</v>
      </c>
      <c r="L691" s="36"/>
      <c r="M691" s="7" t="s">
        <v>4799</v>
      </c>
    </row>
    <row r="692" spans="1:13" ht="19.5" hidden="1" customHeight="1" x14ac:dyDescent="0.25">
      <c r="A692" s="49">
        <f t="shared" ref="A692:A755" si="11">1+A691</f>
        <v>691</v>
      </c>
      <c r="B692" s="7" t="s">
        <v>8</v>
      </c>
      <c r="C692" s="7" t="s">
        <v>5974</v>
      </c>
      <c r="D692" s="7" t="s">
        <v>6053</v>
      </c>
      <c r="E692" s="7"/>
      <c r="F692" s="7" t="s">
        <v>6029</v>
      </c>
      <c r="G692" s="36" t="s">
        <v>13</v>
      </c>
      <c r="H692" s="36" t="str">
        <f>IFERROR(VLOOKUP(Table2[[#This Row], [Ticket]],Okey!A:B,2,0),"")</f>
        <v>ok</v>
      </c>
      <c r="I692" s="36" t="s">
        <v>5290</v>
      </c>
      <c r="J692" s="36" t="s">
        <v>18</v>
      </c>
      <c r="K692" s="7" t="s">
        <v>5979</v>
      </c>
      <c r="L692" s="36"/>
      <c r="M692" s="7" t="s">
        <v>4799</v>
      </c>
    </row>
    <row r="693" spans="1:13" ht="19.5" hidden="1" customHeight="1" x14ac:dyDescent="0.25">
      <c r="A693" s="49">
        <f t="shared" si="11"/>
        <v>692</v>
      </c>
      <c r="B693" s="7" t="s">
        <v>8</v>
      </c>
      <c r="C693" s="7" t="s">
        <v>5974</v>
      </c>
      <c r="D693" s="7" t="s">
        <v>6054</v>
      </c>
      <c r="E693" s="7"/>
      <c r="F693" s="7" t="s">
        <v>6029</v>
      </c>
      <c r="G693" s="36" t="s">
        <v>13</v>
      </c>
      <c r="H693" s="36" t="str">
        <f>IFERROR(VLOOKUP(Table2[[#This Row], [Ticket]],Okey!A:B,2,0),"")</f>
        <v>ok</v>
      </c>
      <c r="I693" s="36" t="s">
        <v>5290</v>
      </c>
      <c r="J693" s="36" t="s">
        <v>18</v>
      </c>
      <c r="K693" s="7" t="s">
        <v>5979</v>
      </c>
      <c r="L693" s="36"/>
      <c r="M693" s="7" t="s">
        <v>4799</v>
      </c>
    </row>
    <row r="694" spans="1:13" ht="19.5" hidden="1" customHeight="1" x14ac:dyDescent="0.25">
      <c r="A694" s="49">
        <f t="shared" si="11"/>
        <v>693</v>
      </c>
      <c r="B694" s="7" t="s">
        <v>8</v>
      </c>
      <c r="C694" s="7" t="s">
        <v>5974</v>
      </c>
      <c r="D694" s="7" t="s">
        <v>6055</v>
      </c>
      <c r="E694" s="7"/>
      <c r="F694" s="7" t="s">
        <v>6029</v>
      </c>
      <c r="G694" s="36" t="s">
        <v>13</v>
      </c>
      <c r="H694" s="36" t="str">
        <f>IFERROR(VLOOKUP(Table2[[#This Row], [Ticket]],Okey!A:B,2,0),"")</f>
        <v>ok</v>
      </c>
      <c r="I694" s="36" t="s">
        <v>5290</v>
      </c>
      <c r="J694" s="36" t="s">
        <v>18</v>
      </c>
      <c r="K694" s="7" t="s">
        <v>5979</v>
      </c>
      <c r="L694" s="36"/>
      <c r="M694" s="7" t="s">
        <v>4799</v>
      </c>
    </row>
    <row r="695" spans="1:13" ht="19.5" hidden="1" customHeight="1" x14ac:dyDescent="0.25">
      <c r="A695" s="49">
        <f t="shared" si="11"/>
        <v>694</v>
      </c>
      <c r="B695" s="7" t="s">
        <v>8</v>
      </c>
      <c r="C695" s="7" t="s">
        <v>5974</v>
      </c>
      <c r="D695" s="7" t="s">
        <v>6056</v>
      </c>
      <c r="E695" s="7"/>
      <c r="F695" s="7" t="s">
        <v>6029</v>
      </c>
      <c r="G695" s="36" t="s">
        <v>13</v>
      </c>
      <c r="H695" s="36" t="str">
        <f>IFERROR(VLOOKUP(Table2[[#This Row], [Ticket]],Okey!A:B,2,0),"")</f>
        <v>ok</v>
      </c>
      <c r="I695" s="36" t="s">
        <v>5290</v>
      </c>
      <c r="J695" s="36" t="s">
        <v>18</v>
      </c>
      <c r="K695" s="7" t="s">
        <v>5979</v>
      </c>
      <c r="L695" s="36"/>
      <c r="M695" s="7" t="s">
        <v>4799</v>
      </c>
    </row>
    <row r="696" spans="1:13" ht="19.5" hidden="1" customHeight="1" x14ac:dyDescent="0.25">
      <c r="A696" s="49">
        <f t="shared" si="11"/>
        <v>695</v>
      </c>
      <c r="B696" s="7" t="s">
        <v>8</v>
      </c>
      <c r="C696" s="7" t="s">
        <v>5974</v>
      </c>
      <c r="D696" s="7" t="s">
        <v>6057</v>
      </c>
      <c r="E696" s="7"/>
      <c r="F696" s="7" t="s">
        <v>6029</v>
      </c>
      <c r="G696" s="36" t="s">
        <v>13</v>
      </c>
      <c r="H696" s="36" t="str">
        <f>IFERROR(VLOOKUP(Table2[[#This Row], [Ticket]],Okey!A:B,2,0),"")</f>
        <v>ok</v>
      </c>
      <c r="I696" s="36" t="s">
        <v>5290</v>
      </c>
      <c r="J696" s="36" t="s">
        <v>18</v>
      </c>
      <c r="K696" s="7" t="s">
        <v>5979</v>
      </c>
      <c r="L696" s="36"/>
      <c r="M696" s="7" t="s">
        <v>4799</v>
      </c>
    </row>
    <row r="697" spans="1:13" ht="19.5" hidden="1" customHeight="1" x14ac:dyDescent="0.25">
      <c r="A697" s="49">
        <f t="shared" si="11"/>
        <v>696</v>
      </c>
      <c r="B697" s="7" t="s">
        <v>8</v>
      </c>
      <c r="C697" s="7" t="s">
        <v>5974</v>
      </c>
      <c r="D697" s="7" t="s">
        <v>6058</v>
      </c>
      <c r="E697" s="7"/>
      <c r="F697" s="7" t="s">
        <v>6029</v>
      </c>
      <c r="G697" s="36" t="s">
        <v>13</v>
      </c>
      <c r="H697" s="36" t="str">
        <f>IFERROR(VLOOKUP(Table2[[#This Row], [Ticket]],Okey!A:B,2,0),"")</f>
        <v>ok</v>
      </c>
      <c r="I697" s="36" t="s">
        <v>5290</v>
      </c>
      <c r="J697" s="36" t="s">
        <v>18</v>
      </c>
      <c r="K697" s="7" t="s">
        <v>5979</v>
      </c>
      <c r="L697" s="36"/>
      <c r="M697" s="7" t="s">
        <v>4799</v>
      </c>
    </row>
    <row r="698" spans="1:13" ht="19.5" hidden="1" customHeight="1" x14ac:dyDescent="0.25">
      <c r="A698" s="49">
        <f t="shared" si="11"/>
        <v>697</v>
      </c>
      <c r="B698" s="7" t="s">
        <v>8</v>
      </c>
      <c r="C698" s="7" t="s">
        <v>5974</v>
      </c>
      <c r="D698" s="7" t="s">
        <v>6059</v>
      </c>
      <c r="E698" s="7"/>
      <c r="F698" s="7" t="s">
        <v>6029</v>
      </c>
      <c r="G698" s="36" t="s">
        <v>13</v>
      </c>
      <c r="H698" s="36" t="str">
        <f>IFERROR(VLOOKUP(Table2[[#This Row], [Ticket]],Okey!A:B,2,0),"")</f>
        <v>ok</v>
      </c>
      <c r="I698" s="36" t="s">
        <v>5290</v>
      </c>
      <c r="J698" s="36" t="s">
        <v>18</v>
      </c>
      <c r="K698" s="7" t="s">
        <v>5979</v>
      </c>
      <c r="L698" s="36"/>
      <c r="M698" s="7" t="s">
        <v>4799</v>
      </c>
    </row>
    <row r="699" spans="1:13" ht="19.5" hidden="1" customHeight="1" x14ac:dyDescent="0.25">
      <c r="A699" s="49">
        <f t="shared" si="11"/>
        <v>698</v>
      </c>
      <c r="B699" s="7" t="s">
        <v>8</v>
      </c>
      <c r="C699" s="7" t="s">
        <v>5974</v>
      </c>
      <c r="D699" s="7" t="s">
        <v>6060</v>
      </c>
      <c r="E699" s="7"/>
      <c r="F699" s="7" t="s">
        <v>6029</v>
      </c>
      <c r="G699" s="36" t="s">
        <v>13</v>
      </c>
      <c r="H699" s="36" t="str">
        <f>IFERROR(VLOOKUP(Table2[[#This Row], [Ticket]],Okey!A:B,2,0),"")</f>
        <v>ok</v>
      </c>
      <c r="I699" s="36" t="s">
        <v>5290</v>
      </c>
      <c r="J699" s="36" t="s">
        <v>18</v>
      </c>
      <c r="K699" s="7" t="s">
        <v>5979</v>
      </c>
      <c r="L699" s="36"/>
      <c r="M699" s="7" t="s">
        <v>4799</v>
      </c>
    </row>
    <row r="700" spans="1:13" ht="19.5" hidden="1" customHeight="1" x14ac:dyDescent="0.25">
      <c r="A700" s="49">
        <f t="shared" si="11"/>
        <v>699</v>
      </c>
      <c r="B700" s="7" t="s">
        <v>8</v>
      </c>
      <c r="C700" s="7" t="s">
        <v>5974</v>
      </c>
      <c r="D700" s="7" t="s">
        <v>6061</v>
      </c>
      <c r="E700" s="7"/>
      <c r="F700" s="7" t="s">
        <v>6029</v>
      </c>
      <c r="G700" s="36" t="s">
        <v>13</v>
      </c>
      <c r="H700" s="36" t="str">
        <f>IFERROR(VLOOKUP(Table2[[#This Row], [Ticket]],Okey!A:B,2,0),"")</f>
        <v>ok</v>
      </c>
      <c r="I700" s="36" t="s">
        <v>5290</v>
      </c>
      <c r="J700" s="36" t="s">
        <v>18</v>
      </c>
      <c r="K700" s="7" t="s">
        <v>5979</v>
      </c>
      <c r="L700" s="36"/>
      <c r="M700" s="7" t="s">
        <v>4799</v>
      </c>
    </row>
    <row r="701" spans="1:13" ht="19.5" hidden="1" customHeight="1" x14ac:dyDescent="0.25">
      <c r="A701" s="49">
        <f t="shared" si="11"/>
        <v>700</v>
      </c>
      <c r="B701" s="7" t="s">
        <v>8</v>
      </c>
      <c r="C701" s="7" t="s">
        <v>5974</v>
      </c>
      <c r="D701" s="7" t="s">
        <v>6062</v>
      </c>
      <c r="E701" s="7"/>
      <c r="F701" s="7" t="s">
        <v>6029</v>
      </c>
      <c r="G701" s="36" t="s">
        <v>13</v>
      </c>
      <c r="H701" s="36" t="str">
        <f>IFERROR(VLOOKUP(Table2[[#This Row], [Ticket]],Okey!A:B,2,0),"")</f>
        <v>ok</v>
      </c>
      <c r="I701" s="36" t="s">
        <v>5290</v>
      </c>
      <c r="J701" s="36" t="s">
        <v>18</v>
      </c>
      <c r="K701" s="7" t="s">
        <v>5979</v>
      </c>
      <c r="L701" s="36"/>
      <c r="M701" s="7" t="s">
        <v>4799</v>
      </c>
    </row>
    <row r="702" spans="1:13" ht="19.5" hidden="1" customHeight="1" x14ac:dyDescent="0.25">
      <c r="A702" s="49">
        <f t="shared" si="11"/>
        <v>701</v>
      </c>
      <c r="B702" s="7" t="s">
        <v>8</v>
      </c>
      <c r="C702" s="7" t="s">
        <v>5974</v>
      </c>
      <c r="D702" s="7" t="s">
        <v>6063</v>
      </c>
      <c r="E702" s="7"/>
      <c r="F702" s="7" t="s">
        <v>6029</v>
      </c>
      <c r="G702" s="36" t="s">
        <v>13</v>
      </c>
      <c r="H702" s="36" t="str">
        <f>IFERROR(VLOOKUP(Table2[[#This Row], [Ticket]],Okey!A:B,2,0),"")</f>
        <v>ok</v>
      </c>
      <c r="I702" s="36" t="s">
        <v>5290</v>
      </c>
      <c r="J702" s="36" t="s">
        <v>18</v>
      </c>
      <c r="K702" s="7" t="s">
        <v>5979</v>
      </c>
      <c r="L702" s="36"/>
      <c r="M702" s="7" t="s">
        <v>4799</v>
      </c>
    </row>
    <row r="703" spans="1:13" ht="19.5" hidden="1" customHeight="1" x14ac:dyDescent="0.25">
      <c r="A703" s="49">
        <f t="shared" si="11"/>
        <v>702</v>
      </c>
      <c r="B703" s="7" t="s">
        <v>8</v>
      </c>
      <c r="C703" s="7" t="s">
        <v>5974</v>
      </c>
      <c r="D703" s="7" t="s">
        <v>6064</v>
      </c>
      <c r="E703" s="7"/>
      <c r="F703" s="7" t="s">
        <v>6029</v>
      </c>
      <c r="G703" s="36" t="s">
        <v>13</v>
      </c>
      <c r="H703" s="36" t="str">
        <f>IFERROR(VLOOKUP(Table2[[#This Row], [Ticket]],Okey!A:B,2,0),"")</f>
        <v>ok</v>
      </c>
      <c r="I703" s="36" t="s">
        <v>5290</v>
      </c>
      <c r="J703" s="36" t="s">
        <v>18</v>
      </c>
      <c r="K703" s="7" t="s">
        <v>5979</v>
      </c>
      <c r="L703" s="36"/>
      <c r="M703" s="7" t="s">
        <v>4799</v>
      </c>
    </row>
    <row r="704" spans="1:13" ht="19.5" hidden="1" customHeight="1" x14ac:dyDescent="0.25">
      <c r="A704" s="49">
        <f t="shared" si="11"/>
        <v>703</v>
      </c>
      <c r="B704" s="7" t="s">
        <v>8</v>
      </c>
      <c r="C704" s="7" t="s">
        <v>5974</v>
      </c>
      <c r="D704" s="7" t="s">
        <v>6065</v>
      </c>
      <c r="E704" s="7"/>
      <c r="F704" s="7" t="s">
        <v>6029</v>
      </c>
      <c r="G704" s="36" t="s">
        <v>13</v>
      </c>
      <c r="H704" s="36" t="str">
        <f>IFERROR(VLOOKUP(Table2[[#This Row], [Ticket]],Okey!A:B,2,0),"")</f>
        <v>ok</v>
      </c>
      <c r="I704" s="36" t="s">
        <v>5290</v>
      </c>
      <c r="J704" s="36" t="s">
        <v>18</v>
      </c>
      <c r="K704" s="7" t="s">
        <v>5979</v>
      </c>
      <c r="L704" s="36"/>
      <c r="M704" s="7" t="s">
        <v>4799</v>
      </c>
    </row>
    <row r="705" spans="1:13" ht="19.5" hidden="1" customHeight="1" x14ac:dyDescent="0.25">
      <c r="A705" s="49">
        <f t="shared" si="11"/>
        <v>704</v>
      </c>
      <c r="B705" s="7" t="s">
        <v>8</v>
      </c>
      <c r="C705" s="7" t="s">
        <v>5974</v>
      </c>
      <c r="D705" s="7" t="s">
        <v>6066</v>
      </c>
      <c r="E705" s="7"/>
      <c r="F705" s="7" t="s">
        <v>6029</v>
      </c>
      <c r="G705" s="36" t="s">
        <v>13</v>
      </c>
      <c r="H705" s="36" t="str">
        <f>IFERROR(VLOOKUP(Table2[[#This Row], [Ticket]],Okey!A:B,2,0),"")</f>
        <v>ok</v>
      </c>
      <c r="I705" s="36" t="s">
        <v>5290</v>
      </c>
      <c r="J705" s="36" t="s">
        <v>18</v>
      </c>
      <c r="K705" s="7" t="s">
        <v>5979</v>
      </c>
      <c r="L705" s="36"/>
      <c r="M705" s="7" t="s">
        <v>4799</v>
      </c>
    </row>
    <row r="706" spans="1:13" ht="19.5" hidden="1" customHeight="1" x14ac:dyDescent="0.25">
      <c r="A706" s="49">
        <f t="shared" si="11"/>
        <v>705</v>
      </c>
      <c r="B706" s="7" t="s">
        <v>8</v>
      </c>
      <c r="C706" s="7" t="s">
        <v>5974</v>
      </c>
      <c r="D706" s="7" t="s">
        <v>6067</v>
      </c>
      <c r="E706" s="7"/>
      <c r="F706" s="7" t="s">
        <v>6029</v>
      </c>
      <c r="G706" s="36" t="s">
        <v>13</v>
      </c>
      <c r="H706" s="36" t="str">
        <f>IFERROR(VLOOKUP(Table2[[#This Row], [Ticket]],Okey!A:B,2,0),"")</f>
        <v>ok</v>
      </c>
      <c r="I706" s="36" t="s">
        <v>5290</v>
      </c>
      <c r="J706" s="36" t="s">
        <v>18</v>
      </c>
      <c r="K706" s="7" t="s">
        <v>5979</v>
      </c>
      <c r="L706" s="36"/>
      <c r="M706" s="7" t="s">
        <v>4799</v>
      </c>
    </row>
    <row r="707" spans="1:13" ht="19.5" hidden="1" customHeight="1" x14ac:dyDescent="0.25">
      <c r="A707" s="49">
        <f t="shared" si="11"/>
        <v>706</v>
      </c>
      <c r="B707" s="7" t="s">
        <v>8</v>
      </c>
      <c r="C707" s="7" t="s">
        <v>5974</v>
      </c>
      <c r="D707" s="7" t="s">
        <v>6068</v>
      </c>
      <c r="E707" s="7"/>
      <c r="F707" s="7" t="s">
        <v>6029</v>
      </c>
      <c r="G707" s="36" t="s">
        <v>13</v>
      </c>
      <c r="H707" s="36" t="str">
        <f>IFERROR(VLOOKUP(Table2[[#This Row], [Ticket]],Okey!A:B,2,0),"")</f>
        <v>ok</v>
      </c>
      <c r="I707" s="36" t="s">
        <v>5290</v>
      </c>
      <c r="J707" s="36" t="s">
        <v>18</v>
      </c>
      <c r="K707" s="7" t="s">
        <v>5979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5974</v>
      </c>
      <c r="D708" s="7" t="s">
        <v>6069</v>
      </c>
      <c r="E708" s="7"/>
      <c r="F708" s="7" t="s">
        <v>6029</v>
      </c>
      <c r="G708" s="36" t="s">
        <v>13</v>
      </c>
      <c r="H708" s="36" t="str">
        <f>IFERROR(VLOOKUP(Table2[[#This Row], [Ticket]],Okey!A:B,2,0),"")</f>
        <v>ok</v>
      </c>
      <c r="I708" s="36" t="s">
        <v>5290</v>
      </c>
      <c r="J708" s="36" t="s">
        <v>18</v>
      </c>
      <c r="K708" s="7" t="s">
        <v>5979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5974</v>
      </c>
      <c r="D709" s="7" t="s">
        <v>6070</v>
      </c>
      <c r="E709" s="7"/>
      <c r="F709" s="7" t="s">
        <v>6029</v>
      </c>
      <c r="G709" s="36" t="s">
        <v>13</v>
      </c>
      <c r="H709" s="36" t="str">
        <f>IFERROR(VLOOKUP(Table2[[#This Row], [Ticket]],Okey!A:B,2,0),"")</f>
        <v>ok</v>
      </c>
      <c r="I709" s="36" t="s">
        <v>5290</v>
      </c>
      <c r="J709" s="36" t="s">
        <v>18</v>
      </c>
      <c r="K709" s="7" t="s">
        <v>5979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5974</v>
      </c>
      <c r="D710" s="7" t="s">
        <v>6071</v>
      </c>
      <c r="E710" s="7"/>
      <c r="F710" s="7" t="s">
        <v>6029</v>
      </c>
      <c r="G710" s="36" t="s">
        <v>13</v>
      </c>
      <c r="H710" s="36" t="str">
        <f>IFERROR(VLOOKUP(Table2[[#This Row], [Ticket]],Okey!A:B,2,0),"")</f>
        <v>ok</v>
      </c>
      <c r="I710" s="36" t="s">
        <v>5290</v>
      </c>
      <c r="J710" s="36" t="s">
        <v>18</v>
      </c>
      <c r="K710" s="7" t="s">
        <v>5979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5974</v>
      </c>
      <c r="D711" s="7" t="s">
        <v>6072</v>
      </c>
      <c r="E711" s="7"/>
      <c r="F711" s="7" t="s">
        <v>6029</v>
      </c>
      <c r="G711" s="36" t="s">
        <v>13</v>
      </c>
      <c r="H711" s="36" t="str">
        <f>IFERROR(VLOOKUP(Table2[[#This Row], [Ticket]],Okey!A:B,2,0),"")</f>
        <v>ok</v>
      </c>
      <c r="I711" s="36" t="s">
        <v>5290</v>
      </c>
      <c r="J711" s="36" t="s">
        <v>18</v>
      </c>
      <c r="K711" s="7" t="s">
        <v>5979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5974</v>
      </c>
      <c r="D712" s="7" t="s">
        <v>6073</v>
      </c>
      <c r="E712" s="7"/>
      <c r="F712" s="7" t="s">
        <v>6029</v>
      </c>
      <c r="G712" s="36" t="s">
        <v>13</v>
      </c>
      <c r="H712" s="36" t="str">
        <f>IFERROR(VLOOKUP(Table2[[#This Row], [Ticket]],Okey!A:B,2,0),"")</f>
        <v>ok</v>
      </c>
      <c r="I712" s="36" t="s">
        <v>5290</v>
      </c>
      <c r="J712" s="36" t="s">
        <v>18</v>
      </c>
      <c r="K712" s="7" t="s">
        <v>5979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5974</v>
      </c>
      <c r="D713" s="7" t="s">
        <v>6074</v>
      </c>
      <c r="E713" s="7"/>
      <c r="F713" s="7" t="s">
        <v>6029</v>
      </c>
      <c r="G713" s="36" t="s">
        <v>13</v>
      </c>
      <c r="H713" s="36" t="str">
        <f>IFERROR(VLOOKUP(Table2[[#This Row], [Ticket]],Okey!A:B,2,0),"")</f>
        <v>ok</v>
      </c>
      <c r="I713" s="36" t="s">
        <v>5290</v>
      </c>
      <c r="J713" s="36" t="s">
        <v>18</v>
      </c>
      <c r="K713" s="7" t="s">
        <v>5979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5974</v>
      </c>
      <c r="D714" s="7" t="s">
        <v>6075</v>
      </c>
      <c r="E714" s="7"/>
      <c r="F714" s="7" t="s">
        <v>6029</v>
      </c>
      <c r="G714" s="36" t="s">
        <v>13</v>
      </c>
      <c r="H714" s="36" t="str">
        <f>IFERROR(VLOOKUP(Table2[[#This Row], [Ticket]],Okey!A:B,2,0),"")</f>
        <v>ok</v>
      </c>
      <c r="I714" s="36" t="s">
        <v>5290</v>
      </c>
      <c r="J714" s="36" t="s">
        <v>18</v>
      </c>
      <c r="K714" s="7" t="s">
        <v>5979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5974</v>
      </c>
      <c r="D715" s="7" t="s">
        <v>6076</v>
      </c>
      <c r="E715" s="7"/>
      <c r="F715" s="7" t="s">
        <v>6029</v>
      </c>
      <c r="G715" s="36" t="s">
        <v>13</v>
      </c>
      <c r="H715" s="36" t="str">
        <f>IFERROR(VLOOKUP(Table2[[#This Row], [Ticket]],Okey!A:B,2,0),"")</f>
        <v>ok</v>
      </c>
      <c r="I715" s="36" t="s">
        <v>5290</v>
      </c>
      <c r="J715" s="36" t="s">
        <v>18</v>
      </c>
      <c r="K715" s="7" t="s">
        <v>5979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5974</v>
      </c>
      <c r="D716" s="7" t="s">
        <v>6077</v>
      </c>
      <c r="E716" s="7"/>
      <c r="F716" s="7" t="s">
        <v>6029</v>
      </c>
      <c r="G716" s="36" t="s">
        <v>13</v>
      </c>
      <c r="H716" s="36" t="str">
        <f>IFERROR(VLOOKUP(Table2[[#This Row], [Ticket]],Okey!A:B,2,0),"")</f>
        <v>ok</v>
      </c>
      <c r="I716" s="36" t="s">
        <v>5290</v>
      </c>
      <c r="J716" s="36" t="s">
        <v>18</v>
      </c>
      <c r="K716" s="7" t="s">
        <v>5979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5974</v>
      </c>
      <c r="D717" s="7" t="s">
        <v>6078</v>
      </c>
      <c r="E717" s="7"/>
      <c r="F717" s="7" t="s">
        <v>6029</v>
      </c>
      <c r="G717" s="36" t="s">
        <v>13</v>
      </c>
      <c r="H717" s="36" t="str">
        <f>IFERROR(VLOOKUP(Table2[[#This Row], [Ticket]],Okey!A:B,2,0),"")</f>
        <v>ok</v>
      </c>
      <c r="I717" s="36" t="s">
        <v>5290</v>
      </c>
      <c r="J717" s="36" t="s">
        <v>18</v>
      </c>
      <c r="K717" s="7" t="s">
        <v>5979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5974</v>
      </c>
      <c r="D718" s="7" t="s">
        <v>6079</v>
      </c>
      <c r="E718" s="7"/>
      <c r="F718" s="7" t="s">
        <v>6029</v>
      </c>
      <c r="G718" s="36" t="s">
        <v>13</v>
      </c>
      <c r="H718" s="36" t="str">
        <f>IFERROR(VLOOKUP(Table2[[#This Row], [Ticket]],Okey!A:B,2,0),"")</f>
        <v>ok</v>
      </c>
      <c r="I718" s="36" t="s">
        <v>5290</v>
      </c>
      <c r="J718" s="36" t="s">
        <v>18</v>
      </c>
      <c r="K718" s="7" t="s">
        <v>5979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5974</v>
      </c>
      <c r="D719" s="7" t="s">
        <v>6080</v>
      </c>
      <c r="E719" s="7"/>
      <c r="F719" s="7" t="s">
        <v>6029</v>
      </c>
      <c r="G719" s="36" t="s">
        <v>13</v>
      </c>
      <c r="H719" s="36" t="str">
        <f>IFERROR(VLOOKUP(Table2[[#This Row], [Ticket]],Okey!A:B,2,0),"")</f>
        <v>ok</v>
      </c>
      <c r="I719" s="36" t="s">
        <v>5290</v>
      </c>
      <c r="J719" s="36" t="s">
        <v>18</v>
      </c>
      <c r="K719" s="7" t="s">
        <v>5979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5974</v>
      </c>
      <c r="D720" s="7" t="s">
        <v>6081</v>
      </c>
      <c r="E720" s="7"/>
      <c r="F720" s="7" t="s">
        <v>6029</v>
      </c>
      <c r="G720" s="36" t="s">
        <v>13</v>
      </c>
      <c r="H720" s="36" t="str">
        <f>IFERROR(VLOOKUP(Table2[[#This Row], [Ticket]],Okey!A:B,2,0),"")</f>
        <v>ok</v>
      </c>
      <c r="I720" s="36" t="s">
        <v>5290</v>
      </c>
      <c r="J720" s="36" t="s">
        <v>18</v>
      </c>
      <c r="K720" s="7" t="s">
        <v>5979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5974</v>
      </c>
      <c r="D721" s="7" t="s">
        <v>6082</v>
      </c>
      <c r="E721" s="7"/>
      <c r="F721" s="7" t="s">
        <v>6029</v>
      </c>
      <c r="G721" s="36" t="s">
        <v>13</v>
      </c>
      <c r="H721" s="36" t="str">
        <f>IFERROR(VLOOKUP(Table2[[#This Row], [Ticket]],Okey!A:B,2,0),"")</f>
        <v>ok</v>
      </c>
      <c r="I721" s="36" t="s">
        <v>5290</v>
      </c>
      <c r="J721" s="36" t="s">
        <v>18</v>
      </c>
      <c r="K721" s="7" t="s">
        <v>5979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5974</v>
      </c>
      <c r="D722" s="7" t="s">
        <v>6083</v>
      </c>
      <c r="E722" s="7"/>
      <c r="F722" s="7" t="s">
        <v>6029</v>
      </c>
      <c r="G722" s="36" t="s">
        <v>13</v>
      </c>
      <c r="H722" s="36" t="str">
        <f>IFERROR(VLOOKUP(Table2[[#This Row], [Ticket]],Okey!A:B,2,0),"")</f>
        <v>ok</v>
      </c>
      <c r="I722" s="36" t="s">
        <v>5290</v>
      </c>
      <c r="J722" s="36" t="s">
        <v>18</v>
      </c>
      <c r="K722" s="7" t="s">
        <v>5979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5974</v>
      </c>
      <c r="D723" s="7" t="s">
        <v>6084</v>
      </c>
      <c r="E723" s="7"/>
      <c r="F723" s="7" t="s">
        <v>6029</v>
      </c>
      <c r="G723" s="36" t="s">
        <v>13</v>
      </c>
      <c r="H723" s="36" t="str">
        <f>IFERROR(VLOOKUP(Table2[[#This Row], [Ticket]],Okey!A:B,2,0),"")</f>
        <v>ok</v>
      </c>
      <c r="I723" s="36" t="s">
        <v>5290</v>
      </c>
      <c r="J723" s="36" t="s">
        <v>18</v>
      </c>
      <c r="K723" s="7" t="s">
        <v>5979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5974</v>
      </c>
      <c r="D724" s="7" t="s">
        <v>6085</v>
      </c>
      <c r="E724" s="7"/>
      <c r="F724" s="7" t="s">
        <v>6029</v>
      </c>
      <c r="G724" s="36" t="s">
        <v>13</v>
      </c>
      <c r="H724" s="36" t="str">
        <f>IFERROR(VLOOKUP(Table2[[#This Row], [Ticket]],Okey!A:B,2,0),"")</f>
        <v>ok</v>
      </c>
      <c r="I724" s="36" t="s">
        <v>5290</v>
      </c>
      <c r="J724" s="36" t="s">
        <v>18</v>
      </c>
      <c r="K724" s="7" t="s">
        <v>5979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5974</v>
      </c>
      <c r="D725" s="7" t="s">
        <v>6086</v>
      </c>
      <c r="E725" s="7"/>
      <c r="F725" s="7" t="s">
        <v>6029</v>
      </c>
      <c r="G725" s="36" t="s">
        <v>13</v>
      </c>
      <c r="H725" s="36" t="str">
        <f>IFERROR(VLOOKUP(Table2[[#This Row], [Ticket]],Okey!A:B,2,0),"")</f>
        <v>ok</v>
      </c>
      <c r="I725" s="36" t="s">
        <v>5290</v>
      </c>
      <c r="J725" s="36" t="s">
        <v>18</v>
      </c>
      <c r="K725" s="7" t="s">
        <v>5979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5974</v>
      </c>
      <c r="D726" s="7" t="s">
        <v>6087</v>
      </c>
      <c r="E726" s="7"/>
      <c r="F726" s="7" t="s">
        <v>6029</v>
      </c>
      <c r="G726" s="36" t="s">
        <v>13</v>
      </c>
      <c r="H726" s="36" t="str">
        <f>IFERROR(VLOOKUP(Table2[[#This Row], [Ticket]],Okey!A:B,2,0),"")</f>
        <v>ok</v>
      </c>
      <c r="I726" s="36" t="s">
        <v>5290</v>
      </c>
      <c r="J726" s="36" t="s">
        <v>18</v>
      </c>
      <c r="K726" s="7" t="s">
        <v>5979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5974</v>
      </c>
      <c r="D727" s="7" t="s">
        <v>6088</v>
      </c>
      <c r="E727" s="7"/>
      <c r="F727" s="7" t="s">
        <v>6029</v>
      </c>
      <c r="G727" s="36" t="s">
        <v>13</v>
      </c>
      <c r="H727" s="36" t="str">
        <f>IFERROR(VLOOKUP(Table2[[#This Row], [Ticket]],Okey!A:B,2,0),"")</f>
        <v>ok</v>
      </c>
      <c r="I727" s="36" t="s">
        <v>5290</v>
      </c>
      <c r="J727" s="36" t="s">
        <v>18</v>
      </c>
      <c r="K727" s="7" t="s">
        <v>5979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5974</v>
      </c>
      <c r="D728" s="7" t="s">
        <v>6089</v>
      </c>
      <c r="E728" s="7"/>
      <c r="F728" s="7" t="s">
        <v>6029</v>
      </c>
      <c r="G728" s="36" t="s">
        <v>13</v>
      </c>
      <c r="H728" s="36" t="str">
        <f>IFERROR(VLOOKUP(Table2[[#This Row], [Ticket]],Okey!A:B,2,0),"")</f>
        <v>ok</v>
      </c>
      <c r="I728" s="36" t="s">
        <v>5290</v>
      </c>
      <c r="J728" s="36" t="s">
        <v>18</v>
      </c>
      <c r="K728" s="7" t="s">
        <v>5979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5974</v>
      </c>
      <c r="D729" s="7" t="s">
        <v>6090</v>
      </c>
      <c r="E729" s="7"/>
      <c r="F729" s="7" t="s">
        <v>6029</v>
      </c>
      <c r="G729" s="36" t="s">
        <v>13</v>
      </c>
      <c r="H729" s="36" t="str">
        <f>IFERROR(VLOOKUP(Table2[[#This Row], [Ticket]],Okey!A:B,2,0),"")</f>
        <v>ok</v>
      </c>
      <c r="I729" s="36" t="s">
        <v>5290</v>
      </c>
      <c r="J729" s="36" t="s">
        <v>18</v>
      </c>
      <c r="K729" s="7" t="s">
        <v>5979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5974</v>
      </c>
      <c r="D730" s="7" t="s">
        <v>6091</v>
      </c>
      <c r="E730" s="7"/>
      <c r="F730" s="7" t="s">
        <v>6029</v>
      </c>
      <c r="G730" s="36" t="s">
        <v>13</v>
      </c>
      <c r="H730" s="36" t="str">
        <f>IFERROR(VLOOKUP(Table2[[#This Row], [Ticket]],Okey!A:B,2,0),"")</f>
        <v>ok</v>
      </c>
      <c r="I730" s="36" t="s">
        <v>5290</v>
      </c>
      <c r="J730" s="36" t="s">
        <v>18</v>
      </c>
      <c r="K730" s="7" t="s">
        <v>5979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5974</v>
      </c>
      <c r="D731" s="7" t="s">
        <v>6092</v>
      </c>
      <c r="E731" s="7"/>
      <c r="F731" s="7" t="s">
        <v>6029</v>
      </c>
      <c r="G731" s="36" t="s">
        <v>13</v>
      </c>
      <c r="H731" s="36" t="str">
        <f>IFERROR(VLOOKUP(Table2[[#This Row], [Ticket]],Okey!A:B,2,0),"")</f>
        <v>ok</v>
      </c>
      <c r="I731" s="36" t="s">
        <v>5290</v>
      </c>
      <c r="J731" s="36" t="s">
        <v>18</v>
      </c>
      <c r="K731" s="7" t="s">
        <v>5979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6093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7" t="s">
        <v>5969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6093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7" t="s">
        <v>5969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6093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7" t="s">
        <v>5969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6093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7" t="s">
        <v>5969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6093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7" t="s">
        <v>5969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6093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7" t="s">
        <v>5969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6093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7" t="s">
        <v>5969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6093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7" t="s">
        <v>5969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6093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7" t="s">
        <v>5969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6093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7" t="s">
        <v>5969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6093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7" t="s">
        <v>5969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6093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7" t="s">
        <v>5969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6093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7" t="s">
        <v>5969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6093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7" t="s">
        <v>5969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6093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7" t="s">
        <v>5969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6093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7" t="s">
        <v>5969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6093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7" t="s">
        <v>5969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6093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7" t="s">
        <v>5969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6093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7" t="s">
        <v>5969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6093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7" t="s">
        <v>5969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6093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7" t="s">
        <v>5969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6093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7" t="s">
        <v>5969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6093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7" t="s">
        <v>5969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6093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7" t="s">
        <v>5969</v>
      </c>
      <c r="L755" s="7"/>
      <c r="M755" s="7" t="s">
        <v>4778</v>
      </c>
    </row>
    <row r="756" spans="1:13" ht="19.5" hidden="1" customHeight="1" x14ac:dyDescent="0.25">
      <c r="A756" s="49">
        <f t="shared" ref="A756:A819" si="12">1+A755</f>
        <v>755</v>
      </c>
      <c r="B756" s="7" t="s">
        <v>8</v>
      </c>
      <c r="C756" s="7" t="s">
        <v>6093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7" t="s">
        <v>5969</v>
      </c>
      <c r="L756" s="7"/>
      <c r="M756" s="7" t="s">
        <v>4778</v>
      </c>
    </row>
    <row r="757" spans="1:13" ht="19.5" hidden="1" customHeight="1" x14ac:dyDescent="0.25">
      <c r="A757" s="49">
        <f t="shared" si="12"/>
        <v>756</v>
      </c>
      <c r="B757" s="7" t="s">
        <v>8</v>
      </c>
      <c r="C757" s="7" t="s">
        <v>6093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7" t="s">
        <v>5969</v>
      </c>
      <c r="L757" s="7"/>
      <c r="M757" s="7" t="s">
        <v>4778</v>
      </c>
    </row>
    <row r="758" spans="1:13" ht="19.5" hidden="1" customHeight="1" x14ac:dyDescent="0.25">
      <c r="A758" s="49">
        <f t="shared" si="12"/>
        <v>757</v>
      </c>
      <c r="B758" s="7" t="s">
        <v>8</v>
      </c>
      <c r="C758" s="7" t="s">
        <v>6093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7" t="s">
        <v>5969</v>
      </c>
      <c r="L758" s="7"/>
      <c r="M758" s="7" t="s">
        <v>4778</v>
      </c>
    </row>
    <row r="759" spans="1:13" ht="19.5" hidden="1" customHeight="1" x14ac:dyDescent="0.25">
      <c r="A759" s="49">
        <f t="shared" si="12"/>
        <v>758</v>
      </c>
      <c r="B759" s="7" t="s">
        <v>8</v>
      </c>
      <c r="C759" s="7" t="s">
        <v>6093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7" t="s">
        <v>5969</v>
      </c>
      <c r="L759" s="7"/>
      <c r="M759" s="7" t="s">
        <v>4778</v>
      </c>
    </row>
    <row r="760" spans="1:13" ht="19.5" hidden="1" customHeight="1" x14ac:dyDescent="0.25">
      <c r="A760" s="49">
        <f t="shared" si="12"/>
        <v>759</v>
      </c>
      <c r="B760" s="7" t="s">
        <v>8</v>
      </c>
      <c r="C760" s="7" t="s">
        <v>6093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7" t="s">
        <v>5969</v>
      </c>
      <c r="L760" s="7"/>
      <c r="M760" s="7" t="s">
        <v>4778</v>
      </c>
    </row>
    <row r="761" spans="1:13" ht="19.5" hidden="1" customHeight="1" x14ac:dyDescent="0.25">
      <c r="A761" s="49">
        <f t="shared" si="12"/>
        <v>760</v>
      </c>
      <c r="B761" s="7" t="s">
        <v>8</v>
      </c>
      <c r="C761" s="7" t="s">
        <v>6093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7" t="s">
        <v>5969</v>
      </c>
      <c r="L761" s="7"/>
      <c r="M761" s="7" t="s">
        <v>4778</v>
      </c>
    </row>
    <row r="762" spans="1:13" ht="19.5" hidden="1" customHeight="1" x14ac:dyDescent="0.25">
      <c r="A762" s="49">
        <f t="shared" si="12"/>
        <v>761</v>
      </c>
      <c r="B762" s="7" t="s">
        <v>8</v>
      </c>
      <c r="C762" s="7" t="s">
        <v>6093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7" t="s">
        <v>5969</v>
      </c>
      <c r="L762" s="7"/>
      <c r="M762" s="7" t="s">
        <v>4778</v>
      </c>
    </row>
    <row r="763" spans="1:13" ht="19.5" hidden="1" customHeight="1" x14ac:dyDescent="0.25">
      <c r="A763" s="49">
        <f t="shared" si="12"/>
        <v>762</v>
      </c>
      <c r="B763" s="7" t="s">
        <v>8</v>
      </c>
      <c r="C763" s="7" t="s">
        <v>6093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7" t="s">
        <v>5969</v>
      </c>
      <c r="L763" s="7"/>
      <c r="M763" s="7" t="s">
        <v>4778</v>
      </c>
    </row>
    <row r="764" spans="1:13" ht="19.5" hidden="1" customHeight="1" x14ac:dyDescent="0.25">
      <c r="A764" s="49">
        <f t="shared" si="12"/>
        <v>763</v>
      </c>
      <c r="B764" s="7" t="s">
        <v>8</v>
      </c>
      <c r="C764" s="7" t="s">
        <v>6093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7" t="s">
        <v>5969</v>
      </c>
      <c r="L764" s="7"/>
      <c r="M764" s="7" t="s">
        <v>4778</v>
      </c>
    </row>
    <row r="765" spans="1:13" ht="19.5" hidden="1" customHeight="1" x14ac:dyDescent="0.25">
      <c r="A765" s="49">
        <f t="shared" si="12"/>
        <v>764</v>
      </c>
      <c r="B765" s="7" t="s">
        <v>8</v>
      </c>
      <c r="C765" s="7" t="s">
        <v>6093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7" t="s">
        <v>5969</v>
      </c>
      <c r="L765" s="7"/>
      <c r="M765" s="7" t="s">
        <v>4778</v>
      </c>
    </row>
    <row r="766" spans="1:13" ht="19.5" hidden="1" customHeight="1" x14ac:dyDescent="0.25">
      <c r="A766" s="49">
        <f t="shared" si="12"/>
        <v>765</v>
      </c>
      <c r="B766" s="7" t="s">
        <v>8</v>
      </c>
      <c r="C766" s="7" t="s">
        <v>6093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7" t="s">
        <v>5969</v>
      </c>
      <c r="L766" s="7"/>
      <c r="M766" s="7" t="s">
        <v>4778</v>
      </c>
    </row>
    <row r="767" spans="1:13" ht="19.5" hidden="1" customHeight="1" x14ac:dyDescent="0.25">
      <c r="A767" s="49">
        <f t="shared" si="12"/>
        <v>766</v>
      </c>
      <c r="B767" s="7" t="s">
        <v>8</v>
      </c>
      <c r="C767" s="7" t="s">
        <v>6093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7" t="s">
        <v>5969</v>
      </c>
      <c r="L767" s="7"/>
      <c r="M767" s="7" t="s">
        <v>4778</v>
      </c>
    </row>
    <row r="768" spans="1:13" ht="19.5" hidden="1" customHeight="1" x14ac:dyDescent="0.25">
      <c r="A768" s="49">
        <f t="shared" si="12"/>
        <v>767</v>
      </c>
      <c r="B768" s="7" t="s">
        <v>8</v>
      </c>
      <c r="C768" s="7" t="s">
        <v>6093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7" t="s">
        <v>5969</v>
      </c>
      <c r="L768" s="7"/>
      <c r="M768" s="7" t="s">
        <v>4778</v>
      </c>
    </row>
    <row r="769" spans="1:13" ht="19.5" hidden="1" customHeight="1" x14ac:dyDescent="0.25">
      <c r="A769" s="49">
        <f t="shared" si="12"/>
        <v>768</v>
      </c>
      <c r="B769" s="7" t="s">
        <v>8</v>
      </c>
      <c r="C769" s="7" t="s">
        <v>6093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7" t="s">
        <v>5969</v>
      </c>
      <c r="L769" s="7"/>
      <c r="M769" s="7" t="s">
        <v>4778</v>
      </c>
    </row>
    <row r="770" spans="1:13" ht="19.5" hidden="1" customHeight="1" x14ac:dyDescent="0.25">
      <c r="A770" s="49">
        <f t="shared" si="12"/>
        <v>769</v>
      </c>
      <c r="B770" s="7" t="s">
        <v>8</v>
      </c>
      <c r="C770" s="7" t="s">
        <v>6093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7" t="s">
        <v>5969</v>
      </c>
      <c r="L770" s="7"/>
      <c r="M770" s="7" t="s">
        <v>4778</v>
      </c>
    </row>
    <row r="771" spans="1:13" ht="19.5" hidden="1" customHeight="1" x14ac:dyDescent="0.25">
      <c r="A771" s="49">
        <f t="shared" si="12"/>
        <v>770</v>
      </c>
      <c r="B771" s="7" t="s">
        <v>8</v>
      </c>
      <c r="C771" s="7" t="s">
        <v>6093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7" t="s">
        <v>5969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6093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7" t="s">
        <v>5969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6093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7" t="s">
        <v>5969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6093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7" t="s">
        <v>5969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6093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7" t="s">
        <v>5969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6093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7" t="s">
        <v>5969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6093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7" t="s">
        <v>5969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6093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7" t="s">
        <v>5969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6093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7" t="s">
        <v>5969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6093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7" t="s">
        <v>5969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6093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7" t="s">
        <v>5969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6093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7" t="s">
        <v>5969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6093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7" t="s">
        <v>5969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6093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7" t="s">
        <v>5969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6093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7" t="s">
        <v>5969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6093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7" t="s">
        <v>5969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6093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7" t="s">
        <v>5969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6093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7" t="s">
        <v>5969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6093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7" t="s">
        <v>5969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6093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7" t="s">
        <v>5969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6093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7" t="s">
        <v>5969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6093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7" t="s">
        <v>5969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6093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7" t="s">
        <v>5969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6093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7" t="s">
        <v>5969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6093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7" t="s">
        <v>5969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6093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7" t="s">
        <v>5969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6093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7" t="s">
        <v>5969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6093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7" t="s">
        <v>5969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6093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7" t="s">
        <v>5969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6093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7" t="s">
        <v>5969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6093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7" t="s">
        <v>5969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6093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7" t="s">
        <v>5969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6093</v>
      </c>
      <c r="D803" s="7" t="s">
        <v>6094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7" t="s">
        <v>5969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6095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36" t="s">
        <v>5290</v>
      </c>
      <c r="J804" s="36" t="s">
        <v>20</v>
      </c>
      <c r="K804" s="7" t="s">
        <v>5969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6095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36" t="s">
        <v>5290</v>
      </c>
      <c r="J805" s="36" t="s">
        <v>20</v>
      </c>
      <c r="K805" s="7" t="s">
        <v>5969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6095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36" t="s">
        <v>5290</v>
      </c>
      <c r="J806" s="36" t="s">
        <v>20</v>
      </c>
      <c r="K806" s="7" t="s">
        <v>5969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6095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36" t="s">
        <v>5290</v>
      </c>
      <c r="J807" s="36" t="s">
        <v>20</v>
      </c>
      <c r="K807" s="7" t="s">
        <v>5969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6095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36" t="s">
        <v>5290</v>
      </c>
      <c r="J808" s="36" t="s">
        <v>20</v>
      </c>
      <c r="K808" s="7" t="s">
        <v>5969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6095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36" t="s">
        <v>5290</v>
      </c>
      <c r="J809" s="36" t="s">
        <v>20</v>
      </c>
      <c r="K809" s="7" t="s">
        <v>5969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6095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36" t="s">
        <v>5290</v>
      </c>
      <c r="J810" s="36" t="s">
        <v>20</v>
      </c>
      <c r="K810" s="7" t="s">
        <v>5969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6095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36" t="s">
        <v>5290</v>
      </c>
      <c r="J811" s="36" t="s">
        <v>20</v>
      </c>
      <c r="K811" s="7" t="s">
        <v>5969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6095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36" t="s">
        <v>5290</v>
      </c>
      <c r="J812" s="36" t="s">
        <v>20</v>
      </c>
      <c r="K812" s="7" t="s">
        <v>5969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6095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36" t="s">
        <v>5290</v>
      </c>
      <c r="J813" s="36" t="s">
        <v>20</v>
      </c>
      <c r="K813" s="7" t="s">
        <v>5969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6095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36" t="s">
        <v>5290</v>
      </c>
      <c r="J814" s="36" t="s">
        <v>20</v>
      </c>
      <c r="K814" s="7" t="s">
        <v>5969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6095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36" t="s">
        <v>5290</v>
      </c>
      <c r="J815" s="36" t="s">
        <v>20</v>
      </c>
      <c r="K815" s="7" t="s">
        <v>5969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6095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36" t="s">
        <v>5290</v>
      </c>
      <c r="J816" s="36" t="s">
        <v>20</v>
      </c>
      <c r="K816" s="7" t="s">
        <v>5969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6095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36" t="s">
        <v>5290</v>
      </c>
      <c r="J817" s="36" t="s">
        <v>20</v>
      </c>
      <c r="K817" s="7" t="s">
        <v>5969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6095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36" t="s">
        <v>5290</v>
      </c>
      <c r="J818" s="36" t="s">
        <v>20</v>
      </c>
      <c r="K818" s="7" t="s">
        <v>5969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6095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36" t="s">
        <v>5290</v>
      </c>
      <c r="J819" s="36" t="s">
        <v>20</v>
      </c>
      <c r="K819" s="7" t="s">
        <v>5969</v>
      </c>
      <c r="L819" s="7"/>
      <c r="M819" s="7" t="s">
        <v>4794</v>
      </c>
    </row>
    <row r="820" spans="1:13" ht="19.5" hidden="1" customHeight="1" x14ac:dyDescent="0.25">
      <c r="A820" s="49">
        <f t="shared" ref="A820:A883" si="13">1+A819</f>
        <v>819</v>
      </c>
      <c r="B820" s="7" t="s">
        <v>8</v>
      </c>
      <c r="C820" s="7" t="s">
        <v>6095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36" t="s">
        <v>5290</v>
      </c>
      <c r="J820" s="36" t="s">
        <v>20</v>
      </c>
      <c r="K820" s="7" t="s">
        <v>5969</v>
      </c>
      <c r="L820" s="7"/>
      <c r="M820" s="7" t="s">
        <v>4794</v>
      </c>
    </row>
    <row r="821" spans="1:13" ht="19.5" hidden="1" customHeight="1" x14ac:dyDescent="0.25">
      <c r="A821" s="49">
        <f t="shared" si="13"/>
        <v>820</v>
      </c>
      <c r="B821" s="7" t="s">
        <v>8</v>
      </c>
      <c r="C821" s="7" t="s">
        <v>6095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36" t="s">
        <v>5290</v>
      </c>
      <c r="J821" s="36" t="s">
        <v>20</v>
      </c>
      <c r="K821" s="7" t="s">
        <v>5969</v>
      </c>
      <c r="L821" s="7"/>
      <c r="M821" s="7" t="s">
        <v>4794</v>
      </c>
    </row>
    <row r="822" spans="1:13" ht="19.5" hidden="1" customHeight="1" x14ac:dyDescent="0.25">
      <c r="A822" s="49">
        <f t="shared" si="13"/>
        <v>821</v>
      </c>
      <c r="B822" s="7" t="s">
        <v>8</v>
      </c>
      <c r="C822" s="7" t="s">
        <v>6095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36" t="s">
        <v>5290</v>
      </c>
      <c r="J822" s="36" t="s">
        <v>20</v>
      </c>
      <c r="K822" s="7" t="s">
        <v>5969</v>
      </c>
      <c r="L822" s="7"/>
      <c r="M822" s="7" t="s">
        <v>4794</v>
      </c>
    </row>
    <row r="823" spans="1:13" ht="19.5" hidden="1" customHeight="1" x14ac:dyDescent="0.25">
      <c r="A823" s="49">
        <f t="shared" si="13"/>
        <v>822</v>
      </c>
      <c r="B823" s="7" t="s">
        <v>8</v>
      </c>
      <c r="C823" s="7" t="s">
        <v>6095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36" t="s">
        <v>5290</v>
      </c>
      <c r="J823" s="36" t="s">
        <v>20</v>
      </c>
      <c r="K823" s="7" t="s">
        <v>5969</v>
      </c>
      <c r="L823" s="7"/>
      <c r="M823" s="7" t="s">
        <v>4794</v>
      </c>
    </row>
    <row r="824" spans="1:13" ht="19.5" hidden="1" customHeight="1" x14ac:dyDescent="0.25">
      <c r="A824" s="49">
        <f t="shared" si="13"/>
        <v>823</v>
      </c>
      <c r="B824" s="7" t="s">
        <v>8</v>
      </c>
      <c r="C824" s="7" t="s">
        <v>6095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36" t="s">
        <v>5290</v>
      </c>
      <c r="J824" s="36" t="s">
        <v>20</v>
      </c>
      <c r="K824" s="7" t="s">
        <v>5969</v>
      </c>
      <c r="L824" s="7"/>
      <c r="M824" s="7" t="s">
        <v>4794</v>
      </c>
    </row>
    <row r="825" spans="1:13" ht="19.5" hidden="1" customHeight="1" x14ac:dyDescent="0.25">
      <c r="A825" s="49">
        <f t="shared" si="13"/>
        <v>824</v>
      </c>
      <c r="B825" s="7" t="s">
        <v>8</v>
      </c>
      <c r="C825" s="7" t="s">
        <v>6095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36" t="s">
        <v>5290</v>
      </c>
      <c r="J825" s="36" t="s">
        <v>20</v>
      </c>
      <c r="K825" s="7" t="s">
        <v>5969</v>
      </c>
      <c r="L825" s="7"/>
      <c r="M825" s="7" t="s">
        <v>4794</v>
      </c>
    </row>
    <row r="826" spans="1:13" ht="19.5" hidden="1" customHeight="1" x14ac:dyDescent="0.25">
      <c r="A826" s="49">
        <f t="shared" si="13"/>
        <v>825</v>
      </c>
      <c r="B826" s="7" t="s">
        <v>8</v>
      </c>
      <c r="C826" s="7" t="s">
        <v>6095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36" t="s">
        <v>5290</v>
      </c>
      <c r="J826" s="36" t="s">
        <v>20</v>
      </c>
      <c r="K826" s="7" t="s">
        <v>5969</v>
      </c>
      <c r="L826" s="7"/>
      <c r="M826" s="7" t="s">
        <v>4794</v>
      </c>
    </row>
    <row r="827" spans="1:13" ht="19.5" hidden="1" customHeight="1" x14ac:dyDescent="0.25">
      <c r="A827" s="49">
        <f t="shared" si="13"/>
        <v>826</v>
      </c>
      <c r="B827" s="7" t="s">
        <v>8</v>
      </c>
      <c r="C827" s="7" t="s">
        <v>6095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36" t="s">
        <v>5290</v>
      </c>
      <c r="J827" s="36" t="s">
        <v>20</v>
      </c>
      <c r="K827" s="7" t="s">
        <v>5969</v>
      </c>
      <c r="L827" s="7"/>
      <c r="M827" s="7" t="s">
        <v>4794</v>
      </c>
    </row>
    <row r="828" spans="1:13" ht="19.5" hidden="1" customHeight="1" x14ac:dyDescent="0.25">
      <c r="A828" s="49">
        <f t="shared" si="13"/>
        <v>827</v>
      </c>
      <c r="B828" s="7" t="s">
        <v>8</v>
      </c>
      <c r="C828" s="7" t="s">
        <v>6095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36" t="s">
        <v>5290</v>
      </c>
      <c r="J828" s="36" t="s">
        <v>20</v>
      </c>
      <c r="K828" s="7" t="s">
        <v>5969</v>
      </c>
      <c r="L828" s="7"/>
      <c r="M828" s="7" t="s">
        <v>4794</v>
      </c>
    </row>
    <row r="829" spans="1:13" ht="19.5" hidden="1" customHeight="1" x14ac:dyDescent="0.25">
      <c r="A829" s="49">
        <f t="shared" si="13"/>
        <v>828</v>
      </c>
      <c r="B829" s="7" t="s">
        <v>8</v>
      </c>
      <c r="C829" s="7" t="s">
        <v>6095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36" t="s">
        <v>5290</v>
      </c>
      <c r="J829" s="36" t="s">
        <v>20</v>
      </c>
      <c r="K829" s="7" t="s">
        <v>5969</v>
      </c>
      <c r="L829" s="7"/>
      <c r="M829" s="7" t="s">
        <v>4794</v>
      </c>
    </row>
    <row r="830" spans="1:13" ht="19.5" hidden="1" customHeight="1" x14ac:dyDescent="0.25">
      <c r="A830" s="49">
        <f t="shared" si="13"/>
        <v>829</v>
      </c>
      <c r="B830" s="7" t="s">
        <v>8</v>
      </c>
      <c r="C830" s="7" t="s">
        <v>6095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36" t="s">
        <v>5290</v>
      </c>
      <c r="J830" s="36" t="s">
        <v>20</v>
      </c>
      <c r="K830" s="7" t="s">
        <v>5969</v>
      </c>
      <c r="L830" s="7"/>
      <c r="M830" s="7" t="s">
        <v>4794</v>
      </c>
    </row>
    <row r="831" spans="1:13" ht="19.5" hidden="1" customHeight="1" x14ac:dyDescent="0.25">
      <c r="A831" s="49">
        <f t="shared" si="13"/>
        <v>830</v>
      </c>
      <c r="B831" s="7" t="s">
        <v>8</v>
      </c>
      <c r="C831" s="7" t="s">
        <v>6095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36" t="s">
        <v>5290</v>
      </c>
      <c r="J831" s="36" t="s">
        <v>20</v>
      </c>
      <c r="K831" s="7" t="s">
        <v>5969</v>
      </c>
      <c r="L831" s="7"/>
      <c r="M831" s="7" t="s">
        <v>4794</v>
      </c>
    </row>
    <row r="832" spans="1:13" ht="19.5" hidden="1" customHeight="1" x14ac:dyDescent="0.25">
      <c r="A832" s="49">
        <f t="shared" si="13"/>
        <v>831</v>
      </c>
      <c r="B832" s="7" t="s">
        <v>8</v>
      </c>
      <c r="C832" s="7" t="s">
        <v>6095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36" t="s">
        <v>5290</v>
      </c>
      <c r="J832" s="36" t="s">
        <v>20</v>
      </c>
      <c r="K832" s="7" t="s">
        <v>5969</v>
      </c>
      <c r="L832" s="7"/>
      <c r="M832" s="7" t="s">
        <v>4794</v>
      </c>
    </row>
    <row r="833" spans="1:13" ht="19.5" hidden="1" customHeight="1" x14ac:dyDescent="0.25">
      <c r="A833" s="49">
        <f t="shared" si="13"/>
        <v>832</v>
      </c>
      <c r="B833" s="7" t="s">
        <v>8</v>
      </c>
      <c r="C833" s="7" t="s">
        <v>6095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36" t="s">
        <v>5290</v>
      </c>
      <c r="J833" s="36" t="s">
        <v>20</v>
      </c>
      <c r="K833" s="7" t="s">
        <v>5969</v>
      </c>
      <c r="L833" s="7"/>
      <c r="M833" s="7" t="s">
        <v>4794</v>
      </c>
    </row>
    <row r="834" spans="1:13" ht="19.5" hidden="1" customHeight="1" x14ac:dyDescent="0.25">
      <c r="A834" s="49">
        <f t="shared" si="13"/>
        <v>833</v>
      </c>
      <c r="B834" s="7" t="s">
        <v>8</v>
      </c>
      <c r="C834" s="7" t="s">
        <v>6095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36" t="s">
        <v>5290</v>
      </c>
      <c r="J834" s="36" t="s">
        <v>20</v>
      </c>
      <c r="K834" s="7" t="s">
        <v>5969</v>
      </c>
      <c r="L834" s="7"/>
      <c r="M834" s="7" t="s">
        <v>4794</v>
      </c>
    </row>
    <row r="835" spans="1:13" ht="19.5" hidden="1" customHeight="1" x14ac:dyDescent="0.25">
      <c r="A835" s="49">
        <f t="shared" si="13"/>
        <v>834</v>
      </c>
      <c r="B835" s="7" t="s">
        <v>8</v>
      </c>
      <c r="C835" s="7" t="s">
        <v>6095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36" t="s">
        <v>5290</v>
      </c>
      <c r="J835" s="36" t="s">
        <v>20</v>
      </c>
      <c r="K835" s="7" t="s">
        <v>5969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6095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36" t="s">
        <v>5290</v>
      </c>
      <c r="J836" s="36" t="s">
        <v>20</v>
      </c>
      <c r="K836" s="7" t="s">
        <v>5969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6095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36" t="s">
        <v>5290</v>
      </c>
      <c r="J837" s="36" t="s">
        <v>20</v>
      </c>
      <c r="K837" s="7" t="s">
        <v>5969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6095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36" t="s">
        <v>5290</v>
      </c>
      <c r="J838" s="36" t="s">
        <v>20</v>
      </c>
      <c r="K838" s="7" t="s">
        <v>5969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6095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36" t="s">
        <v>5290</v>
      </c>
      <c r="J839" s="36" t="s">
        <v>20</v>
      </c>
      <c r="K839" s="7" t="s">
        <v>5969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6095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36" t="s">
        <v>5290</v>
      </c>
      <c r="J840" s="36" t="s">
        <v>20</v>
      </c>
      <c r="K840" s="7" t="s">
        <v>5969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6095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36" t="s">
        <v>5290</v>
      </c>
      <c r="J841" s="36" t="s">
        <v>20</v>
      </c>
      <c r="K841" s="7" t="s">
        <v>5969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6095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36" t="s">
        <v>5290</v>
      </c>
      <c r="J842" s="36" t="s">
        <v>20</v>
      </c>
      <c r="K842" s="7" t="s">
        <v>5969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6095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36" t="s">
        <v>5290</v>
      </c>
      <c r="J843" s="36" t="s">
        <v>20</v>
      </c>
      <c r="K843" s="7" t="s">
        <v>5969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6095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36" t="s">
        <v>5290</v>
      </c>
      <c r="J844" s="36" t="s">
        <v>20</v>
      </c>
      <c r="K844" s="7" t="s">
        <v>5969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6095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36" t="s">
        <v>5290</v>
      </c>
      <c r="J845" s="36" t="s">
        <v>20</v>
      </c>
      <c r="K845" s="7" t="s">
        <v>5969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6095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36" t="s">
        <v>5290</v>
      </c>
      <c r="J846" s="36" t="s">
        <v>20</v>
      </c>
      <c r="K846" s="7" t="s">
        <v>5969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6095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36" t="s">
        <v>5290</v>
      </c>
      <c r="J847" s="36" t="s">
        <v>20</v>
      </c>
      <c r="K847" s="7" t="s">
        <v>5969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6095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36" t="s">
        <v>5290</v>
      </c>
      <c r="J848" s="36" t="s">
        <v>20</v>
      </c>
      <c r="K848" s="7" t="s">
        <v>5969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6095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20</v>
      </c>
      <c r="K849" s="7" t="s">
        <v>5969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6095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20</v>
      </c>
      <c r="K850" s="7" t="s">
        <v>5969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6095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20</v>
      </c>
      <c r="K851" s="7" t="s">
        <v>5969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6095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20</v>
      </c>
      <c r="K852" s="7" t="s">
        <v>5969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6095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20</v>
      </c>
      <c r="K853" s="7" t="s">
        <v>5969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6095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20</v>
      </c>
      <c r="K854" s="7" t="s">
        <v>5969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6095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20</v>
      </c>
      <c r="K855" s="7" t="s">
        <v>5969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6095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20</v>
      </c>
      <c r="K856" s="7" t="s">
        <v>5969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6095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20</v>
      </c>
      <c r="K857" s="7" t="s">
        <v>5969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6095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20</v>
      </c>
      <c r="K858" s="7" t="s">
        <v>5969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6095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36" t="s">
        <v>5290</v>
      </c>
      <c r="J859" s="36" t="s">
        <v>20</v>
      </c>
      <c r="K859" s="7" t="s">
        <v>5969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6095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36" t="s">
        <v>5290</v>
      </c>
      <c r="J860" s="36" t="s">
        <v>20</v>
      </c>
      <c r="K860" s="7" t="s">
        <v>5969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6095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20</v>
      </c>
      <c r="K861" s="7" t="s">
        <v>5969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6095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20</v>
      </c>
      <c r="K862" s="7" t="s">
        <v>5969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6095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20</v>
      </c>
      <c r="K863" s="7" t="s">
        <v>5969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6095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20</v>
      </c>
      <c r="K864" s="7" t="s">
        <v>5969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6095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20</v>
      </c>
      <c r="K865" s="7" t="s">
        <v>5969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6095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36" t="s">
        <v>5290</v>
      </c>
      <c r="J866" s="36" t="s">
        <v>20</v>
      </c>
      <c r="K866" s="7" t="s">
        <v>5969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6095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36" t="s">
        <v>5290</v>
      </c>
      <c r="J867" s="36" t="s">
        <v>20</v>
      </c>
      <c r="K867" s="7" t="s">
        <v>5969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6095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36" t="s">
        <v>5290</v>
      </c>
      <c r="J868" s="36" t="s">
        <v>20</v>
      </c>
      <c r="K868" s="7" t="s">
        <v>5969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6095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36" t="s">
        <v>5290</v>
      </c>
      <c r="J869" s="36" t="s">
        <v>20</v>
      </c>
      <c r="K869" s="7" t="s">
        <v>5969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6095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36" t="s">
        <v>5290</v>
      </c>
      <c r="J870" s="36" t="s">
        <v>20</v>
      </c>
      <c r="K870" s="7" t="s">
        <v>5969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6095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36" t="s">
        <v>5290</v>
      </c>
      <c r="J871" s="36" t="s">
        <v>20</v>
      </c>
      <c r="K871" s="7" t="s">
        <v>5969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6095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36" t="s">
        <v>5290</v>
      </c>
      <c r="J872" s="36" t="s">
        <v>20</v>
      </c>
      <c r="K872" s="7" t="s">
        <v>5969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6095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36" t="s">
        <v>5290</v>
      </c>
      <c r="J873" s="36" t="s">
        <v>20</v>
      </c>
      <c r="K873" s="7" t="s">
        <v>5969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6095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36" t="s">
        <v>5290</v>
      </c>
      <c r="J874" s="36" t="s">
        <v>20</v>
      </c>
      <c r="K874" s="7" t="s">
        <v>5969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6095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36" t="s">
        <v>5290</v>
      </c>
      <c r="J875" s="36" t="s">
        <v>20</v>
      </c>
      <c r="K875" s="7" t="s">
        <v>5969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6095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36" t="s">
        <v>5290</v>
      </c>
      <c r="J876" s="36" t="s">
        <v>20</v>
      </c>
      <c r="K876" s="7" t="s">
        <v>5969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6095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36" t="s">
        <v>5290</v>
      </c>
      <c r="J877" s="36" t="s">
        <v>20</v>
      </c>
      <c r="K877" s="7" t="s">
        <v>5969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6096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36" t="s">
        <v>5290</v>
      </c>
      <c r="J878" s="36" t="s">
        <v>19</v>
      </c>
      <c r="K878" s="7" t="s">
        <v>5969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6096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36" t="s">
        <v>5290</v>
      </c>
      <c r="J879" s="36" t="s">
        <v>19</v>
      </c>
      <c r="K879" s="7" t="s">
        <v>5969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6096</v>
      </c>
      <c r="D880" s="7" t="s">
        <v>6097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36" t="s">
        <v>5290</v>
      </c>
      <c r="J880" s="36" t="s">
        <v>19</v>
      </c>
      <c r="K880" s="7" t="s">
        <v>5979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6096</v>
      </c>
      <c r="D881" s="7" t="s">
        <v>6098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36" t="s">
        <v>5290</v>
      </c>
      <c r="J881" s="36" t="s">
        <v>19</v>
      </c>
      <c r="K881" s="7" t="s">
        <v>5979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6096</v>
      </c>
      <c r="D882" s="7" t="s">
        <v>6099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36" t="s">
        <v>5290</v>
      </c>
      <c r="J882" s="36" t="s">
        <v>19</v>
      </c>
      <c r="K882" s="7" t="s">
        <v>5979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6096</v>
      </c>
      <c r="D883" s="7" t="s">
        <v>6100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36" t="s">
        <v>5290</v>
      </c>
      <c r="J883" s="36" t="s">
        <v>19</v>
      </c>
      <c r="K883" s="7" t="s">
        <v>5979</v>
      </c>
      <c r="L883" s="36"/>
      <c r="M883" s="7" t="s">
        <v>1613</v>
      </c>
    </row>
    <row r="884" spans="1:13" ht="19.5" hidden="1" customHeight="1" x14ac:dyDescent="0.25">
      <c r="A884" s="49">
        <f t="shared" ref="A884:A926" si="14">1+A883</f>
        <v>883</v>
      </c>
      <c r="B884" s="7" t="s">
        <v>8</v>
      </c>
      <c r="C884" s="7" t="s">
        <v>6096</v>
      </c>
      <c r="D884" s="7" t="s">
        <v>6101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36" t="s">
        <v>5290</v>
      </c>
      <c r="J884" s="36" t="s">
        <v>19</v>
      </c>
      <c r="K884" s="7" t="s">
        <v>5979</v>
      </c>
      <c r="L884" s="36"/>
      <c r="M884" s="7" t="s">
        <v>1613</v>
      </c>
    </row>
    <row r="885" spans="1:13" ht="19.5" hidden="1" customHeight="1" x14ac:dyDescent="0.25">
      <c r="A885" s="49">
        <f t="shared" si="14"/>
        <v>884</v>
      </c>
      <c r="B885" s="7" t="s">
        <v>8</v>
      </c>
      <c r="C885" s="7" t="s">
        <v>6102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 t="s">
        <v>5290</v>
      </c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4"/>
        <v>885</v>
      </c>
      <c r="B886" s="7" t="s">
        <v>8</v>
      </c>
      <c r="C886" s="7" t="s">
        <v>6102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36" t="s">
        <v>5290</v>
      </c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4"/>
        <v>886</v>
      </c>
      <c r="B887" s="7" t="s">
        <v>8</v>
      </c>
      <c r="C887" s="7" t="s">
        <v>6102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36" t="s">
        <v>5290</v>
      </c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4"/>
        <v>887</v>
      </c>
      <c r="B888" s="7" t="s">
        <v>8</v>
      </c>
      <c r="C888" s="7" t="s">
        <v>6102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36" t="s">
        <v>5290</v>
      </c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4"/>
        <v>888</v>
      </c>
      <c r="B889" s="7" t="s">
        <v>8</v>
      </c>
      <c r="C889" s="7" t="s">
        <v>6102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36" t="s">
        <v>5290</v>
      </c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4"/>
        <v>889</v>
      </c>
      <c r="B890" s="7" t="s">
        <v>8</v>
      </c>
      <c r="C890" s="7" t="s">
        <v>6102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36" t="s">
        <v>5290</v>
      </c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4"/>
        <v>890</v>
      </c>
      <c r="B891" s="7" t="s">
        <v>8</v>
      </c>
      <c r="C891" s="7" t="s">
        <v>6102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36" t="s">
        <v>5290</v>
      </c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4"/>
        <v>891</v>
      </c>
      <c r="B892" s="7" t="s">
        <v>8</v>
      </c>
      <c r="C892" s="7" t="s">
        <v>6102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36" t="s">
        <v>5290</v>
      </c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4"/>
        <v>892</v>
      </c>
      <c r="B893" s="7" t="s">
        <v>8</v>
      </c>
      <c r="C893" s="7" t="s">
        <v>6102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36" t="s">
        <v>5290</v>
      </c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4"/>
        <v>893</v>
      </c>
      <c r="B894" s="7" t="s">
        <v>8</v>
      </c>
      <c r="C894" s="7" t="s">
        <v>6102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36" t="s">
        <v>5290</v>
      </c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4"/>
        <v>894</v>
      </c>
      <c r="B895" s="7" t="s">
        <v>8</v>
      </c>
      <c r="C895" s="7" t="s">
        <v>6102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36" t="s">
        <v>5290</v>
      </c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4"/>
        <v>895</v>
      </c>
      <c r="B896" s="7" t="s">
        <v>8</v>
      </c>
      <c r="C896" s="7" t="s">
        <v>6102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36" t="s">
        <v>5290</v>
      </c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4"/>
        <v>896</v>
      </c>
      <c r="B897" s="7" t="s">
        <v>8</v>
      </c>
      <c r="C897" s="7" t="s">
        <v>6102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36" t="s">
        <v>5290</v>
      </c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4"/>
        <v>897</v>
      </c>
      <c r="B898" s="7" t="s">
        <v>8</v>
      </c>
      <c r="C898" s="7" t="s">
        <v>6102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36" t="s">
        <v>5290</v>
      </c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si="14"/>
        <v>898</v>
      </c>
      <c r="B899" s="7" t="s">
        <v>8</v>
      </c>
      <c r="C899" s="7" t="s">
        <v>6102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36" t="s">
        <v>5290</v>
      </c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6102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36" t="s">
        <v>5290</v>
      </c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6102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36" t="s">
        <v>5290</v>
      </c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6102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36" t="s">
        <v>5290</v>
      </c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6102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36" t="s">
        <v>5290</v>
      </c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6102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36" t="s">
        <v>5290</v>
      </c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6102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36" t="s">
        <v>5290</v>
      </c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6102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36" t="s">
        <v>5290</v>
      </c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6102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36" t="s">
        <v>5290</v>
      </c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6102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36" t="s">
        <v>5290</v>
      </c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6102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36" t="s">
        <v>5290</v>
      </c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6102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36" t="s">
        <v>5290</v>
      </c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6102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36" t="s">
        <v>5290</v>
      </c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6102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36" t="s">
        <v>5290</v>
      </c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6102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36" t="s">
        <v>5290</v>
      </c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6102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36" t="s">
        <v>5290</v>
      </c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6102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36" t="s">
        <v>5290</v>
      </c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6102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36" t="s">
        <v>5290</v>
      </c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6102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36" t="s">
        <v>5290</v>
      </c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6103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36" t="s">
        <v>5290</v>
      </c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6103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36" t="s">
        <v>5290</v>
      </c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6103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36" t="s">
        <v>5290</v>
      </c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6104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36" t="s">
        <v>5290</v>
      </c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6104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36" t="s">
        <v>5290</v>
      </c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6104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36" t="s">
        <v>5290</v>
      </c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6104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36" t="s">
        <v>5290</v>
      </c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6104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36" t="s">
        <v>5290</v>
      </c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6104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36" t="s">
        <v>5290</v>
      </c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6104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36" t="s">
        <v>5290</v>
      </c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6105</v>
      </c>
      <c r="D928" s="7" t="s">
        <v>6106</v>
      </c>
      <c r="E928" s="7"/>
      <c r="F928" s="7" t="s">
        <v>6107</v>
      </c>
      <c r="G928" s="36" t="s">
        <v>13</v>
      </c>
      <c r="H928" s="36" t="str">
        <f>IFERROR(VLOOKUP(Table2[[#This Row], [Ticket]],Okey!A:B,2,0),"")</f>
        <v>ok</v>
      </c>
      <c r="I928" s="36" t="s">
        <v>5290</v>
      </c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6109</v>
      </c>
      <c r="D929" s="36" t="s">
        <v>6112</v>
      </c>
      <c r="E929" s="43" t="s">
        <v>6108</v>
      </c>
      <c r="F929" s="9" t="s">
        <v>6118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6111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6456</v>
      </c>
      <c r="L930" s="36"/>
      <c r="M930" s="9" t="s">
        <v>6110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6111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6456</v>
      </c>
      <c r="L931" s="36"/>
      <c r="M931" s="9" t="s">
        <v>6110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6114</v>
      </c>
      <c r="D932" s="36" t="s">
        <v>6117</v>
      </c>
      <c r="E932" s="9" t="s">
        <v>6113</v>
      </c>
      <c r="F932" s="9" t="s">
        <v>6115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6116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6120</v>
      </c>
      <c r="D933" s="9" t="s">
        <v>6119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6456</v>
      </c>
      <c r="L933" s="36"/>
      <c r="M933" s="9" t="s">
        <v>6121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6123</v>
      </c>
      <c r="D934" s="9" t="s">
        <v>987</v>
      </c>
      <c r="E934" s="9" t="s">
        <v>6122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6397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6132</v>
      </c>
      <c r="D935" s="9" t="s">
        <v>6391</v>
      </c>
      <c r="E935" s="9" t="s">
        <v>6124</v>
      </c>
      <c r="F935" s="9" t="s">
        <v>6129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6396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6132</v>
      </c>
      <c r="D936" s="9" t="s">
        <v>6392</v>
      </c>
      <c r="E936" s="9" t="s">
        <v>6125</v>
      </c>
      <c r="F936" s="9" t="s">
        <v>6129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6396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6132</v>
      </c>
      <c r="D937" s="9" t="s">
        <v>6393</v>
      </c>
      <c r="E937" s="9" t="s">
        <v>6126</v>
      </c>
      <c r="F937" s="9" t="s">
        <v>6130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6396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6132</v>
      </c>
      <c r="D938" s="9" t="s">
        <v>6394</v>
      </c>
      <c r="E938" s="9" t="s">
        <v>6127</v>
      </c>
      <c r="F938" s="9" t="s">
        <v>6130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6396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6132</v>
      </c>
      <c r="D939" s="9" t="s">
        <v>6395</v>
      </c>
      <c r="E939" s="9" t="s">
        <v>6128</v>
      </c>
      <c r="F939" s="9" t="s">
        <v>6131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6396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6216</v>
      </c>
      <c r="D940" s="9" t="s">
        <v>6355</v>
      </c>
      <c r="E940" s="9" t="s">
        <v>6173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6396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6216</v>
      </c>
      <c r="D941" s="9" t="s">
        <v>6356</v>
      </c>
      <c r="E941" s="9" t="s">
        <v>6174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6396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6216</v>
      </c>
      <c r="D942" s="9" t="s">
        <v>6357</v>
      </c>
      <c r="E942" s="9" t="s">
        <v>6175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6396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6216</v>
      </c>
      <c r="D943" s="9" t="s">
        <v>6358</v>
      </c>
      <c r="E943" s="9" t="s">
        <v>6176</v>
      </c>
      <c r="F943" s="9" t="s">
        <v>6357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6396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6216</v>
      </c>
      <c r="D944" s="9" t="s">
        <v>6359</v>
      </c>
      <c r="E944" s="9" t="s">
        <v>6177</v>
      </c>
      <c r="F944" s="36" t="s">
        <v>6357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6396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6216</v>
      </c>
      <c r="D945" s="9" t="s">
        <v>6360</v>
      </c>
      <c r="E945" s="9" t="s">
        <v>6178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6396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6216</v>
      </c>
      <c r="D946" s="9" t="s">
        <v>6361</v>
      </c>
      <c r="E946" s="9" t="s">
        <v>6179</v>
      </c>
      <c r="F946" s="36" t="s">
        <v>6360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6396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6216</v>
      </c>
      <c r="D947" s="9" t="s">
        <v>6362</v>
      </c>
      <c r="E947" s="9" t="s">
        <v>6180</v>
      </c>
      <c r="F947" s="36" t="s">
        <v>6360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6396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6216</v>
      </c>
      <c r="D948" s="9" t="s">
        <v>6363</v>
      </c>
      <c r="E948" s="9" t="s">
        <v>6181</v>
      </c>
      <c r="F948" s="36" t="s">
        <v>6360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6396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6216</v>
      </c>
      <c r="D949" s="9" t="s">
        <v>6364</v>
      </c>
      <c r="E949" s="9" t="s">
        <v>6182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6396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6216</v>
      </c>
      <c r="D950" s="9" t="s">
        <v>6365</v>
      </c>
      <c r="E950" s="9" t="s">
        <v>6183</v>
      </c>
      <c r="F950" s="36" t="s">
        <v>6364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6396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6216</v>
      </c>
      <c r="D951" s="9" t="s">
        <v>6366</v>
      </c>
      <c r="E951" s="9" t="s">
        <v>6184</v>
      </c>
      <c r="F951" s="36" t="s">
        <v>6364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6396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6216</v>
      </c>
      <c r="D952" s="9" t="s">
        <v>6367</v>
      </c>
      <c r="E952" s="9" t="s">
        <v>6185</v>
      </c>
      <c r="F952" s="36" t="s">
        <v>6364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6396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6216</v>
      </c>
      <c r="D953" s="9" t="s">
        <v>6368</v>
      </c>
      <c r="E953" s="9" t="s">
        <v>6186</v>
      </c>
      <c r="F953" s="36" t="s">
        <v>6364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6396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6216</v>
      </c>
      <c r="D954" s="9" t="s">
        <v>6369</v>
      </c>
      <c r="E954" s="9" t="s">
        <v>6187</v>
      </c>
      <c r="F954" s="36" t="s">
        <v>6364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6396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6216</v>
      </c>
      <c r="D955" s="9" t="s">
        <v>6370</v>
      </c>
      <c r="E955" s="9" t="s">
        <v>6188</v>
      </c>
      <c r="F955" s="36" t="s">
        <v>6364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6396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6216</v>
      </c>
      <c r="D956" s="9" t="s">
        <v>6371</v>
      </c>
      <c r="E956" s="9" t="s">
        <v>6189</v>
      </c>
      <c r="F956" s="36" t="s">
        <v>6364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6396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6216</v>
      </c>
      <c r="D957" s="9" t="s">
        <v>6372</v>
      </c>
      <c r="E957" s="9" t="s">
        <v>6190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6396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6216</v>
      </c>
      <c r="D958" s="9" t="s">
        <v>6373</v>
      </c>
      <c r="E958" s="9" t="s">
        <v>6191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6396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6216</v>
      </c>
      <c r="D959" s="9" t="s">
        <v>6374</v>
      </c>
      <c r="E959" s="9" t="s">
        <v>6192</v>
      </c>
      <c r="F959" s="36" t="s">
        <v>6373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6396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6216</v>
      </c>
      <c r="D960" s="9" t="s">
        <v>6375</v>
      </c>
      <c r="E960" s="9" t="s">
        <v>6193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6396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6216</v>
      </c>
      <c r="D961" s="9" t="s">
        <v>6376</v>
      </c>
      <c r="E961" s="9" t="s">
        <v>6194</v>
      </c>
      <c r="F961" s="36" t="s">
        <v>6375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6396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6216</v>
      </c>
      <c r="D962" s="9" t="s">
        <v>6377</v>
      </c>
      <c r="E962" s="9" t="s">
        <v>6195</v>
      </c>
      <c r="F962" s="36" t="s">
        <v>6375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6396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6216</v>
      </c>
      <c r="D963" s="9" t="s">
        <v>6378</v>
      </c>
      <c r="E963" s="9" t="s">
        <v>6196</v>
      </c>
      <c r="F963" s="36" t="s">
        <v>6375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6396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6216</v>
      </c>
      <c r="D964" s="9" t="s">
        <v>6379</v>
      </c>
      <c r="E964" s="9" t="s">
        <v>6197</v>
      </c>
      <c r="F964" s="36" t="s">
        <v>6375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6396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6216</v>
      </c>
      <c r="D965" s="9" t="s">
        <v>6380</v>
      </c>
      <c r="E965" s="9" t="s">
        <v>6198</v>
      </c>
      <c r="F965" s="36" t="s">
        <v>6375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6396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6216</v>
      </c>
      <c r="D966" s="9" t="s">
        <v>6381</v>
      </c>
      <c r="E966" s="9" t="s">
        <v>6199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6396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6216</v>
      </c>
      <c r="D967" s="9" t="s">
        <v>6382</v>
      </c>
      <c r="E967" s="9" t="s">
        <v>6200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6396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6216</v>
      </c>
      <c r="D968" s="9" t="s">
        <v>6383</v>
      </c>
      <c r="E968" s="9" t="s">
        <v>6201</v>
      </c>
      <c r="F968" s="36" t="s">
        <v>6382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6396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6216</v>
      </c>
      <c r="D969" s="9" t="s">
        <v>6384</v>
      </c>
      <c r="E969" s="9" t="s">
        <v>6202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6396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6216</v>
      </c>
      <c r="D970" s="9" t="s">
        <v>6385</v>
      </c>
      <c r="E970" s="9" t="s">
        <v>6203</v>
      </c>
      <c r="F970" s="9" t="s">
        <v>6213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6396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6216</v>
      </c>
      <c r="D971" s="9" t="s">
        <v>6386</v>
      </c>
      <c r="E971" s="9" t="s">
        <v>6204</v>
      </c>
      <c r="F971" s="9" t="s">
        <v>6213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6396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6216</v>
      </c>
      <c r="D972" s="9" t="s">
        <v>6387</v>
      </c>
      <c r="E972" s="9" t="s">
        <v>6205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6396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6216</v>
      </c>
      <c r="D973" s="9" t="s">
        <v>6388</v>
      </c>
      <c r="E973" s="9" t="s">
        <v>6206</v>
      </c>
      <c r="F973" s="36" t="s">
        <v>6387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6396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6216</v>
      </c>
      <c r="D974" s="9" t="s">
        <v>6389</v>
      </c>
      <c r="E974" s="9" t="s">
        <v>6207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6396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6216</v>
      </c>
      <c r="D975" s="9" t="s">
        <v>6390</v>
      </c>
      <c r="E975" s="9" t="s">
        <v>6208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6396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6216</v>
      </c>
      <c r="D976" s="9" t="s">
        <v>6133</v>
      </c>
      <c r="E976" s="9" t="s">
        <v>6173</v>
      </c>
      <c r="F976" s="36" t="s">
        <v>6355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6396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6216</v>
      </c>
      <c r="D977" s="9" t="s">
        <v>6134</v>
      </c>
      <c r="E977" s="9" t="s">
        <v>6174</v>
      </c>
      <c r="F977" s="36" t="s">
        <v>6356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6396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6216</v>
      </c>
      <c r="D978" s="9" t="s">
        <v>6135</v>
      </c>
      <c r="E978" s="9" t="s">
        <v>6175</v>
      </c>
      <c r="F978" s="36" t="s">
        <v>6357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6396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6216</v>
      </c>
      <c r="D979" s="9" t="s">
        <v>6136</v>
      </c>
      <c r="E979" s="9" t="s">
        <v>6176</v>
      </c>
      <c r="F979" s="36" t="s">
        <v>6358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6396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6216</v>
      </c>
      <c r="D980" s="9" t="s">
        <v>6137</v>
      </c>
      <c r="E980" s="9" t="s">
        <v>6177</v>
      </c>
      <c r="F980" s="36" t="s">
        <v>6359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6396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6216</v>
      </c>
      <c r="D981" s="9" t="s">
        <v>6138</v>
      </c>
      <c r="E981" s="9" t="s">
        <v>6178</v>
      </c>
      <c r="F981" s="36" t="s">
        <v>6360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6396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6216</v>
      </c>
      <c r="D982" s="9" t="s">
        <v>6139</v>
      </c>
      <c r="E982" s="9" t="s">
        <v>6179</v>
      </c>
      <c r="F982" s="36" t="s">
        <v>6361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6396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6216</v>
      </c>
      <c r="D983" s="9" t="s">
        <v>6140</v>
      </c>
      <c r="E983" s="9" t="s">
        <v>6180</v>
      </c>
      <c r="F983" s="36" t="s">
        <v>6362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6396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6216</v>
      </c>
      <c r="D984" s="9" t="s">
        <v>6141</v>
      </c>
      <c r="E984" s="9" t="s">
        <v>6181</v>
      </c>
      <c r="F984" s="36" t="s">
        <v>6363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6396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6216</v>
      </c>
      <c r="D985" s="9" t="s">
        <v>6142</v>
      </c>
      <c r="E985" s="9" t="s">
        <v>6182</v>
      </c>
      <c r="F985" s="36" t="s">
        <v>6364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6396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6216</v>
      </c>
      <c r="D986" s="9" t="s">
        <v>6143</v>
      </c>
      <c r="E986" s="9" t="s">
        <v>6183</v>
      </c>
      <c r="F986" s="36" t="s">
        <v>6365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6396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6216</v>
      </c>
      <c r="D987" s="9" t="s">
        <v>6144</v>
      </c>
      <c r="E987" s="9" t="s">
        <v>6184</v>
      </c>
      <c r="F987" s="36" t="s">
        <v>6366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6396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6216</v>
      </c>
      <c r="D988" s="9" t="s">
        <v>6145</v>
      </c>
      <c r="E988" s="9" t="s">
        <v>6185</v>
      </c>
      <c r="F988" s="36" t="s">
        <v>6367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6396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6216</v>
      </c>
      <c r="D989" s="9" t="s">
        <v>6146</v>
      </c>
      <c r="E989" s="9" t="s">
        <v>6186</v>
      </c>
      <c r="F989" s="36" t="s">
        <v>6368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6396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6216</v>
      </c>
      <c r="D990" s="9" t="s">
        <v>6147</v>
      </c>
      <c r="E990" s="9" t="s">
        <v>6187</v>
      </c>
      <c r="F990" s="36" t="s">
        <v>6369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6396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6216</v>
      </c>
      <c r="D991" s="9" t="s">
        <v>6148</v>
      </c>
      <c r="E991" s="9" t="s">
        <v>6188</v>
      </c>
      <c r="F991" s="36" t="s">
        <v>6370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6396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6216</v>
      </c>
      <c r="D992" s="9" t="s">
        <v>6149</v>
      </c>
      <c r="E992" s="9" t="s">
        <v>6189</v>
      </c>
      <c r="F992" s="36" t="s">
        <v>6371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6396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6216</v>
      </c>
      <c r="D993" s="9" t="s">
        <v>6150</v>
      </c>
      <c r="E993" s="9" t="s">
        <v>6190</v>
      </c>
      <c r="F993" s="36" t="s">
        <v>6372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6396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6216</v>
      </c>
      <c r="D994" s="9" t="s">
        <v>6151</v>
      </c>
      <c r="E994" s="9" t="s">
        <v>6191</v>
      </c>
      <c r="F994" s="36" t="s">
        <v>6373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6396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6216</v>
      </c>
      <c r="D995" s="9" t="s">
        <v>6152</v>
      </c>
      <c r="E995" s="9" t="s">
        <v>6192</v>
      </c>
      <c r="F995" s="36" t="s">
        <v>6374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6396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6216</v>
      </c>
      <c r="D996" s="9" t="s">
        <v>6153</v>
      </c>
      <c r="E996" s="9" t="s">
        <v>6193</v>
      </c>
      <c r="F996" s="36" t="s">
        <v>6375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6396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6216</v>
      </c>
      <c r="D997" s="9" t="s">
        <v>6154</v>
      </c>
      <c r="E997" s="9" t="s">
        <v>6194</v>
      </c>
      <c r="F997" s="36" t="s">
        <v>6376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6396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6216</v>
      </c>
      <c r="D998" s="9" t="s">
        <v>6155</v>
      </c>
      <c r="E998" s="9" t="s">
        <v>6195</v>
      </c>
      <c r="F998" s="36" t="s">
        <v>6377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6396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6216</v>
      </c>
      <c r="D999" s="9" t="s">
        <v>6156</v>
      </c>
      <c r="E999" s="9" t="s">
        <v>6196</v>
      </c>
      <c r="F999" s="36" t="s">
        <v>6378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6396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6216</v>
      </c>
      <c r="D1000" s="9" t="s">
        <v>6157</v>
      </c>
      <c r="E1000" s="9" t="s">
        <v>6197</v>
      </c>
      <c r="F1000" s="36" t="s">
        <v>6379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6396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6216</v>
      </c>
      <c r="D1001" s="9" t="s">
        <v>6158</v>
      </c>
      <c r="E1001" s="9" t="s">
        <v>6198</v>
      </c>
      <c r="F1001" s="36" t="s">
        <v>6380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6396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6216</v>
      </c>
      <c r="D1002" s="9" t="s">
        <v>6159</v>
      </c>
      <c r="E1002" s="9" t="s">
        <v>6199</v>
      </c>
      <c r="F1002" s="36" t="s">
        <v>6381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6396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6216</v>
      </c>
      <c r="D1003" s="9" t="s">
        <v>6160</v>
      </c>
      <c r="E1003" s="9" t="s">
        <v>6200</v>
      </c>
      <c r="F1003" s="36" t="s">
        <v>6382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6396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6216</v>
      </c>
      <c r="D1004" s="9" t="s">
        <v>6161</v>
      </c>
      <c r="E1004" s="9" t="s">
        <v>6201</v>
      </c>
      <c r="F1004" s="36" t="s">
        <v>6383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6396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6216</v>
      </c>
      <c r="D1005" s="9" t="s">
        <v>6162</v>
      </c>
      <c r="E1005" s="9" t="s">
        <v>6209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6455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6216</v>
      </c>
      <c r="D1006" s="9" t="s">
        <v>6163</v>
      </c>
      <c r="E1006" s="9" t="s">
        <v>6202</v>
      </c>
      <c r="F1006" s="36" t="s">
        <v>6384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6396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6216</v>
      </c>
      <c r="D1007" s="9" t="s">
        <v>6164</v>
      </c>
      <c r="E1007" s="9" t="s">
        <v>6203</v>
      </c>
      <c r="F1007" s="36" t="s">
        <v>6385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6396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6216</v>
      </c>
      <c r="D1008" s="9" t="s">
        <v>6165</v>
      </c>
      <c r="E1008" s="9" t="s">
        <v>6204</v>
      </c>
      <c r="F1008" s="36" t="s">
        <v>6386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6396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6216</v>
      </c>
      <c r="D1009" s="9" t="s">
        <v>6166</v>
      </c>
      <c r="E1009" s="9" t="s">
        <v>6205</v>
      </c>
      <c r="F1009" s="36" t="s">
        <v>6387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6396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6216</v>
      </c>
      <c r="D1010" s="9" t="s">
        <v>6167</v>
      </c>
      <c r="E1010" s="9" t="s">
        <v>6206</v>
      </c>
      <c r="F1010" s="36" t="s">
        <v>6388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6396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6216</v>
      </c>
      <c r="D1011" s="9" t="s">
        <v>6168</v>
      </c>
      <c r="E1011" s="9" t="s">
        <v>6210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6396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6216</v>
      </c>
      <c r="D1012" s="9" t="s">
        <v>6169</v>
      </c>
      <c r="E1012" s="9" t="s">
        <v>6211</v>
      </c>
      <c r="F1012" s="9" t="s">
        <v>6214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6396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6216</v>
      </c>
      <c r="D1013" s="9" t="s">
        <v>6170</v>
      </c>
      <c r="E1013" s="9" t="s">
        <v>6212</v>
      </c>
      <c r="F1013" s="9" t="s">
        <v>6215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6396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6216</v>
      </c>
      <c r="D1014" s="9" t="s">
        <v>6171</v>
      </c>
      <c r="E1014" s="9" t="s">
        <v>6207</v>
      </c>
      <c r="F1014" s="36" t="s">
        <v>6389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6396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6216</v>
      </c>
      <c r="D1015" s="9" t="s">
        <v>6172</v>
      </c>
      <c r="E1015" s="9" t="s">
        <v>6208</v>
      </c>
      <c r="F1015" s="36" t="s">
        <v>6390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6396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6216</v>
      </c>
      <c r="D1016" s="9" t="s">
        <v>3707</v>
      </c>
      <c r="E1016" s="9" t="s">
        <v>6217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6397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6216</v>
      </c>
      <c r="D1017" s="9" t="s">
        <v>3705</v>
      </c>
      <c r="E1017" s="9" t="s">
        <v>6218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6397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6216</v>
      </c>
      <c r="D1018" s="9" t="s">
        <v>6219</v>
      </c>
      <c r="E1018" s="9" t="s">
        <v>6220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6397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6216</v>
      </c>
      <c r="D1019" s="9" t="s">
        <v>6221</v>
      </c>
      <c r="E1019" s="9" t="s">
        <v>6222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6397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6216</v>
      </c>
      <c r="D1020" s="9" t="s">
        <v>6223</v>
      </c>
      <c r="E1020" s="9" t="s">
        <v>6220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6397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6216</v>
      </c>
      <c r="D1021" s="9" t="s">
        <v>1684</v>
      </c>
      <c r="E1021" s="9" t="s">
        <v>6224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6397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6216</v>
      </c>
      <c r="D1022" s="9" t="s">
        <v>3331</v>
      </c>
      <c r="E1022" s="9" t="s">
        <v>6225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6397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6216</v>
      </c>
      <c r="D1023" s="9" t="s">
        <v>3330</v>
      </c>
      <c r="E1023" s="9" t="s">
        <v>6224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6397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6216</v>
      </c>
      <c r="D1024" s="9" t="s">
        <v>6226</v>
      </c>
      <c r="E1024" s="9" t="s">
        <v>6227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6397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6216</v>
      </c>
      <c r="D1025" s="9" t="s">
        <v>6228</v>
      </c>
      <c r="E1025" s="9" t="s">
        <v>6227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6397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6216</v>
      </c>
      <c r="D1026" s="9" t="s">
        <v>6229</v>
      </c>
      <c r="E1026" s="9" t="s">
        <v>6230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6397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6216</v>
      </c>
      <c r="D1027" s="9" t="s">
        <v>6231</v>
      </c>
      <c r="E1027" s="9" t="s">
        <v>6230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6397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6216</v>
      </c>
      <c r="D1028" s="9" t="s">
        <v>6232</v>
      </c>
      <c r="E1028" s="9" t="s">
        <v>6233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6397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6216</v>
      </c>
      <c r="D1029" s="9" t="s">
        <v>6234</v>
      </c>
      <c r="E1029" s="9" t="s">
        <v>6233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6397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6216</v>
      </c>
      <c r="D1030" s="9" t="s">
        <v>6235</v>
      </c>
      <c r="E1030" s="9" t="s">
        <v>6236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6397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6216</v>
      </c>
      <c r="D1031" s="9" t="s">
        <v>6237</v>
      </c>
      <c r="E1031" s="9" t="s">
        <v>6236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6397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6216</v>
      </c>
      <c r="D1032" s="9" t="s">
        <v>1232</v>
      </c>
      <c r="E1032" s="9" t="s">
        <v>6238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6397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6216</v>
      </c>
      <c r="D1033" s="9" t="s">
        <v>6239</v>
      </c>
      <c r="E1033" s="9" t="s">
        <v>6238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6397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6216</v>
      </c>
      <c r="D1034" s="9" t="s">
        <v>1682</v>
      </c>
      <c r="E1034" s="9" t="s">
        <v>6240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6397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6216</v>
      </c>
      <c r="D1035" s="9" t="s">
        <v>1685</v>
      </c>
      <c r="E1035" s="9" t="s">
        <v>6240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6397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6216</v>
      </c>
      <c r="D1036" s="9" t="s">
        <v>6241</v>
      </c>
      <c r="E1036" s="9" t="s">
        <v>6242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6397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6216</v>
      </c>
      <c r="D1037" s="9" t="s">
        <v>1534</v>
      </c>
      <c r="E1037" s="9" t="s">
        <v>6243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6397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6216</v>
      </c>
      <c r="D1038" s="9" t="s">
        <v>6244</v>
      </c>
      <c r="E1038" s="9" t="s">
        <v>6242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6397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6216</v>
      </c>
      <c r="D1039" s="9" t="s">
        <v>6245</v>
      </c>
      <c r="E1039" s="9" t="s">
        <v>6246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6397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6216</v>
      </c>
      <c r="D1040" s="9" t="s">
        <v>6247</v>
      </c>
      <c r="E1040" s="9" t="s">
        <v>6246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6397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6216</v>
      </c>
      <c r="D1041" s="9" t="s">
        <v>6248</v>
      </c>
      <c r="E1041" s="9" t="s">
        <v>6249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6397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6216</v>
      </c>
      <c r="D1042" s="9" t="s">
        <v>6250</v>
      </c>
      <c r="E1042" s="9" t="s">
        <v>6249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6397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6216</v>
      </c>
      <c r="D1043" s="9" t="s">
        <v>6251</v>
      </c>
      <c r="E1043" s="9" t="s">
        <v>6252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6397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6216</v>
      </c>
      <c r="D1044" s="9" t="s">
        <v>6253</v>
      </c>
      <c r="E1044" s="9" t="s">
        <v>6252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6397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6216</v>
      </c>
      <c r="D1045" s="9" t="s">
        <v>6254</v>
      </c>
      <c r="E1045" s="9" t="s">
        <v>6255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6397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6216</v>
      </c>
      <c r="D1046" s="9" t="s">
        <v>6256</v>
      </c>
      <c r="E1046" s="9" t="s">
        <v>6255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6397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6216</v>
      </c>
      <c r="D1047" s="9" t="s">
        <v>6257</v>
      </c>
      <c r="E1047" s="9" t="s">
        <v>6258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6397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6216</v>
      </c>
      <c r="D1048" s="9" t="s">
        <v>6259</v>
      </c>
      <c r="E1048" s="9" t="s">
        <v>6258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6397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6216</v>
      </c>
      <c r="D1049" s="9" t="s">
        <v>6260</v>
      </c>
      <c r="E1049" s="9" t="s">
        <v>6261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6397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6216</v>
      </c>
      <c r="D1050" s="9" t="s">
        <v>6262</v>
      </c>
      <c r="E1050" s="9" t="s">
        <v>6261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6397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6216</v>
      </c>
      <c r="D1051" s="9" t="s">
        <v>5289</v>
      </c>
      <c r="E1051" s="9" t="s">
        <v>6263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6397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6216</v>
      </c>
      <c r="D1052" s="9" t="s">
        <v>5288</v>
      </c>
      <c r="E1052" s="9" t="s">
        <v>6263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6397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6216</v>
      </c>
      <c r="D1053" s="9" t="s">
        <v>6264</v>
      </c>
      <c r="E1053" s="9" t="s">
        <v>6265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6397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6216</v>
      </c>
      <c r="D1054" s="9" t="s">
        <v>6266</v>
      </c>
      <c r="E1054" s="9" t="s">
        <v>6265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6397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6216</v>
      </c>
      <c r="D1055" s="9" t="s">
        <v>6267</v>
      </c>
      <c r="E1055" s="9" t="s">
        <v>6265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6397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6216</v>
      </c>
      <c r="D1056" s="9" t="s">
        <v>6268</v>
      </c>
      <c r="E1056" s="9" t="s">
        <v>6269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6397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6216</v>
      </c>
      <c r="D1057" s="9" t="s">
        <v>6270</v>
      </c>
      <c r="E1057" s="9" t="s">
        <v>6269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6397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6216</v>
      </c>
      <c r="D1058" s="9" t="s">
        <v>6271</v>
      </c>
      <c r="E1058" s="9" t="s">
        <v>6272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6397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6216</v>
      </c>
      <c r="D1059" s="9" t="s">
        <v>6273</v>
      </c>
      <c r="E1059" s="9" t="s">
        <v>6272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6397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6216</v>
      </c>
      <c r="D1060" s="9" t="s">
        <v>6274</v>
      </c>
      <c r="E1060" s="9" t="s">
        <v>6275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6397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6216</v>
      </c>
      <c r="D1061" s="9" t="s">
        <v>6276</v>
      </c>
      <c r="E1061" s="9" t="s">
        <v>6275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6397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6216</v>
      </c>
      <c r="D1062" s="9" t="s">
        <v>6277</v>
      </c>
      <c r="E1062" s="9" t="s">
        <v>6278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6397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6216</v>
      </c>
      <c r="D1063" s="9" t="s">
        <v>6279</v>
      </c>
      <c r="E1063" s="9" t="s">
        <v>6278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6397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6216</v>
      </c>
      <c r="D1064" s="9" t="s">
        <v>6280</v>
      </c>
      <c r="E1064" s="9" t="s">
        <v>6281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6397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6216</v>
      </c>
      <c r="D1065" s="9" t="s">
        <v>6282</v>
      </c>
      <c r="E1065" s="9" t="s">
        <v>6281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6397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6216</v>
      </c>
      <c r="D1066" s="9" t="s">
        <v>6283</v>
      </c>
      <c r="E1066" s="9" t="s">
        <v>6284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6397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6216</v>
      </c>
      <c r="D1067" s="9" t="s">
        <v>6285</v>
      </c>
      <c r="E1067" s="9" t="s">
        <v>6284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6397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6216</v>
      </c>
      <c r="D1068" s="9" t="s">
        <v>6286</v>
      </c>
      <c r="E1068" s="9" t="s">
        <v>6287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6397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6216</v>
      </c>
      <c r="D1069" s="9" t="s">
        <v>6288</v>
      </c>
      <c r="E1069" s="9" t="s">
        <v>6287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6397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6216</v>
      </c>
      <c r="D1070" s="9" t="s">
        <v>6289</v>
      </c>
      <c r="E1070" s="9" t="s">
        <v>6290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6397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6216</v>
      </c>
      <c r="D1071" s="9" t="s">
        <v>6291</v>
      </c>
      <c r="E1071" s="9" t="s">
        <v>6290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6397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6216</v>
      </c>
      <c r="D1072" s="9" t="s">
        <v>6292</v>
      </c>
      <c r="E1072" s="9" t="s">
        <v>6293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6397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6216</v>
      </c>
      <c r="D1073" s="9" t="s">
        <v>6294</v>
      </c>
      <c r="E1073" s="9" t="s">
        <v>6293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6397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6216</v>
      </c>
      <c r="D1074" s="9" t="s">
        <v>6295</v>
      </c>
      <c r="E1074" s="9" t="s">
        <v>6296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6397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6216</v>
      </c>
      <c r="D1075" s="9" t="s">
        <v>6297</v>
      </c>
      <c r="E1075" s="9" t="s">
        <v>6298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6397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6216</v>
      </c>
      <c r="D1076" s="9" t="s">
        <v>6299</v>
      </c>
      <c r="E1076" s="9" t="s">
        <v>6298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6397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6216</v>
      </c>
      <c r="D1077" s="9" t="s">
        <v>6300</v>
      </c>
      <c r="E1077" s="9" t="s">
        <v>6301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6397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6216</v>
      </c>
      <c r="D1078" s="9" t="s">
        <v>6302</v>
      </c>
      <c r="E1078" s="9" t="s">
        <v>6301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6397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6216</v>
      </c>
      <c r="D1079" s="9" t="s">
        <v>6303</v>
      </c>
      <c r="E1079" s="9" t="s">
        <v>6304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6397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6216</v>
      </c>
      <c r="D1080" s="9" t="s">
        <v>6305</v>
      </c>
      <c r="E1080" s="9" t="s">
        <v>6304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6397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6216</v>
      </c>
      <c r="D1081" s="9" t="s">
        <v>6306</v>
      </c>
      <c r="E1081" s="9" t="s">
        <v>6307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6397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6216</v>
      </c>
      <c r="D1082" s="9" t="s">
        <v>6308</v>
      </c>
      <c r="E1082" s="9" t="s">
        <v>6296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6397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6216</v>
      </c>
      <c r="D1083" s="9" t="s">
        <v>5699</v>
      </c>
      <c r="E1083" s="9" t="s">
        <v>6309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6397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6216</v>
      </c>
      <c r="D1084" s="9" t="s">
        <v>6310</v>
      </c>
      <c r="E1084" s="9" t="s">
        <v>6311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6397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6216</v>
      </c>
      <c r="D1085" s="9" t="s">
        <v>6312</v>
      </c>
      <c r="E1085" s="9" t="s">
        <v>6309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6397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6216</v>
      </c>
      <c r="D1086" s="9" t="s">
        <v>6313</v>
      </c>
      <c r="E1086" s="9" t="s">
        <v>6314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6397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6216</v>
      </c>
      <c r="D1087" s="9" t="s">
        <v>6315</v>
      </c>
      <c r="E1087" s="9" t="s">
        <v>6314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6397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6216</v>
      </c>
      <c r="D1088" s="9" t="s">
        <v>6316</v>
      </c>
      <c r="E1088" s="9" t="s">
        <v>6317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6397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6216</v>
      </c>
      <c r="D1089" s="9" t="s">
        <v>6318</v>
      </c>
      <c r="E1089" s="9" t="s">
        <v>6317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6397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6216</v>
      </c>
      <c r="D1090" s="9" t="s">
        <v>5292</v>
      </c>
      <c r="E1090" s="9" t="s">
        <v>6319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6397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6216</v>
      </c>
      <c r="D1091" s="9" t="s">
        <v>5291</v>
      </c>
      <c r="E1091" s="9" t="s">
        <v>6319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6397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6216</v>
      </c>
      <c r="D1092" s="9" t="s">
        <v>5294</v>
      </c>
      <c r="E1092" s="9" t="s">
        <v>6320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6397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6216</v>
      </c>
      <c r="D1093" s="9" t="s">
        <v>5293</v>
      </c>
      <c r="E1093" s="9" t="s">
        <v>6320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6397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6216</v>
      </c>
      <c r="D1094" s="9" t="s">
        <v>5697</v>
      </c>
      <c r="E1094" s="9" t="s">
        <v>6321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6397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6216</v>
      </c>
      <c r="D1095" s="9" t="s">
        <v>5700</v>
      </c>
      <c r="E1095" s="9" t="s">
        <v>6321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6397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6216</v>
      </c>
      <c r="D1096" s="9" t="s">
        <v>6322</v>
      </c>
      <c r="E1096" s="9" t="s">
        <v>6323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6397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6216</v>
      </c>
      <c r="D1097" s="9" t="s">
        <v>6324</v>
      </c>
      <c r="E1097" s="9" t="s">
        <v>6325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6397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6216</v>
      </c>
      <c r="D1098" s="9" t="s">
        <v>3334</v>
      </c>
      <c r="E1098" s="9" t="s">
        <v>6326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6397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6216</v>
      </c>
      <c r="D1099" s="9" t="s">
        <v>3333</v>
      </c>
      <c r="E1099" s="9" t="s">
        <v>6325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6397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6216</v>
      </c>
      <c r="D1100" s="9" t="s">
        <v>3715</v>
      </c>
      <c r="E1100" s="9" t="s">
        <v>6327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6397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6216</v>
      </c>
      <c r="D1101" s="9" t="s">
        <v>3713</v>
      </c>
      <c r="E1101" s="9" t="s">
        <v>6323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6397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6216</v>
      </c>
      <c r="D1102" s="9" t="s">
        <v>3837</v>
      </c>
      <c r="E1102" s="9" t="s">
        <v>6328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6397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6216</v>
      </c>
      <c r="D1103" s="9" t="s">
        <v>6329</v>
      </c>
      <c r="E1103" s="9" t="s">
        <v>6330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6397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6216</v>
      </c>
      <c r="D1104" s="9" t="s">
        <v>5786</v>
      </c>
      <c r="E1104" s="9" t="s">
        <v>6330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6397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6216</v>
      </c>
      <c r="D1105" s="9" t="s">
        <v>5702</v>
      </c>
      <c r="E1105" s="9" t="s">
        <v>6331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6397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6216</v>
      </c>
      <c r="D1106" s="9" t="s">
        <v>5701</v>
      </c>
      <c r="E1106" s="9" t="s">
        <v>6330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6397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6216</v>
      </c>
      <c r="D1107" s="9" t="s">
        <v>5704</v>
      </c>
      <c r="E1107" s="9" t="s">
        <v>6332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6397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6216</v>
      </c>
      <c r="D1108" s="9" t="s">
        <v>5703</v>
      </c>
      <c r="E1108" s="9" t="s">
        <v>6332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6397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6216</v>
      </c>
      <c r="D1109" s="9" t="s">
        <v>5706</v>
      </c>
      <c r="E1109" s="9" t="s">
        <v>6333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6397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6216</v>
      </c>
      <c r="D1110" s="9" t="s">
        <v>5705</v>
      </c>
      <c r="E1110" s="9" t="s">
        <v>6333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6397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6216</v>
      </c>
      <c r="D1111" s="9" t="s">
        <v>5708</v>
      </c>
      <c r="E1111" s="9" t="s">
        <v>6334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6397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6216</v>
      </c>
      <c r="D1112" s="9" t="s">
        <v>5707</v>
      </c>
      <c r="E1112" s="9" t="s">
        <v>6334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6397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6216</v>
      </c>
      <c r="D1113" s="9" t="s">
        <v>5710</v>
      </c>
      <c r="E1113" s="9" t="s">
        <v>6335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6397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6216</v>
      </c>
      <c r="D1114" s="9" t="s">
        <v>5709</v>
      </c>
      <c r="E1114" s="9" t="s">
        <v>6335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6397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6216</v>
      </c>
      <c r="D1115" s="9" t="s">
        <v>5714</v>
      </c>
      <c r="E1115" s="9" t="s">
        <v>6336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6397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6216</v>
      </c>
      <c r="D1116" s="9" t="s">
        <v>5713</v>
      </c>
      <c r="E1116" s="9" t="s">
        <v>6336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6397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6216</v>
      </c>
      <c r="D1117" s="9" t="s">
        <v>5718</v>
      </c>
      <c r="E1117" s="9" t="s">
        <v>6337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6397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6216</v>
      </c>
      <c r="D1118" s="9" t="s">
        <v>5717</v>
      </c>
      <c r="E1118" s="9" t="s">
        <v>6337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6397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6216</v>
      </c>
      <c r="D1119" s="9" t="s">
        <v>5720</v>
      </c>
      <c r="E1119" s="9" t="s">
        <v>6338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6397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6216</v>
      </c>
      <c r="D1120" s="9" t="s">
        <v>5719</v>
      </c>
      <c r="E1120" s="9" t="s">
        <v>6338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6397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6216</v>
      </c>
      <c r="D1121" s="9" t="s">
        <v>5510</v>
      </c>
      <c r="E1121" s="9" t="s">
        <v>6339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6397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6216</v>
      </c>
      <c r="D1122" s="9" t="s">
        <v>6340</v>
      </c>
      <c r="E1122" s="9" t="s">
        <v>6341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6397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6216</v>
      </c>
      <c r="D1123" s="9" t="s">
        <v>6342</v>
      </c>
      <c r="E1123" s="9" t="s">
        <v>6343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6397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6216</v>
      </c>
      <c r="D1124" s="9" t="s">
        <v>6344</v>
      </c>
      <c r="E1124" s="9" t="s">
        <v>6345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6397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6216</v>
      </c>
      <c r="D1125" s="9" t="s">
        <v>6346</v>
      </c>
      <c r="E1125" s="9" t="s">
        <v>6347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6397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6216</v>
      </c>
      <c r="D1126" s="9" t="s">
        <v>6214</v>
      </c>
      <c r="E1126" s="9" t="s">
        <v>6211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6397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6216</v>
      </c>
      <c r="D1127" s="9" t="s">
        <v>6215</v>
      </c>
      <c r="E1127" s="9" t="s">
        <v>6212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6397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6216</v>
      </c>
      <c r="D1128" s="9" t="s">
        <v>5272</v>
      </c>
      <c r="E1128" s="9" t="s">
        <v>6348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6397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6216</v>
      </c>
      <c r="D1129" s="9" t="s">
        <v>1238</v>
      </c>
      <c r="E1129" s="9" t="s">
        <v>6210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6456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6216</v>
      </c>
      <c r="D1130" s="9" t="s">
        <v>6213</v>
      </c>
      <c r="E1130" s="9" t="s">
        <v>6349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6456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6216</v>
      </c>
      <c r="D1131" s="9" t="s">
        <v>3827</v>
      </c>
      <c r="E1131" s="9" t="s">
        <v>6328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6456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6216</v>
      </c>
      <c r="D1132" s="9" t="s">
        <v>3220</v>
      </c>
      <c r="E1132" s="9" t="s">
        <v>6218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6456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6216</v>
      </c>
      <c r="D1133" s="9" t="s">
        <v>5284</v>
      </c>
      <c r="E1133" s="9" t="s">
        <v>6350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6456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6216</v>
      </c>
      <c r="D1134" s="9" t="s">
        <v>5278</v>
      </c>
      <c r="E1134" s="9" t="s">
        <v>6351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6456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6216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6456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6216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6456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6216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6456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6352</v>
      </c>
      <c r="D1138" s="9" t="s">
        <v>6353</v>
      </c>
      <c r="E1138" s="9" t="s">
        <v>6339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6396</v>
      </c>
      <c r="L1138" s="36"/>
      <c r="M1138" s="9" t="s">
        <v>6354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6406</v>
      </c>
      <c r="D1139" s="36" t="s">
        <v>6414</v>
      </c>
      <c r="E1139" s="36" t="s">
        <v>6458</v>
      </c>
      <c r="F1139" s="9" t="s">
        <v>6295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6396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6406</v>
      </c>
      <c r="D1140" s="9" t="s">
        <v>6398</v>
      </c>
      <c r="E1140" s="9" t="s">
        <v>6458</v>
      </c>
      <c r="F1140" s="36" t="s">
        <v>6414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6396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6406</v>
      </c>
      <c r="D1141" s="36" t="s">
        <v>6415</v>
      </c>
      <c r="E1141" s="9" t="s">
        <v>6399</v>
      </c>
      <c r="F1141" s="9" t="s">
        <v>6422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6396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6406</v>
      </c>
      <c r="D1142" s="36" t="s">
        <v>6416</v>
      </c>
      <c r="E1142" s="9" t="s">
        <v>6400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6396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6406</v>
      </c>
      <c r="D1143" s="36" t="s">
        <v>6417</v>
      </c>
      <c r="E1143" s="9" t="s">
        <v>6401</v>
      </c>
      <c r="F1143" s="36" t="s">
        <v>6416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6396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6406</v>
      </c>
      <c r="D1144" s="36" t="s">
        <v>6418</v>
      </c>
      <c r="E1144" s="9" t="s">
        <v>6402</v>
      </c>
      <c r="F1144" s="36" t="s">
        <v>6416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6396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6406</v>
      </c>
      <c r="D1145" s="36" t="s">
        <v>6419</v>
      </c>
      <c r="E1145" s="9" t="s">
        <v>6403</v>
      </c>
      <c r="F1145" s="36" t="s">
        <v>6417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6396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6406</v>
      </c>
      <c r="D1146" s="36" t="s">
        <v>6420</v>
      </c>
      <c r="E1146" s="9" t="s">
        <v>6404</v>
      </c>
      <c r="F1146" s="36" t="s">
        <v>6418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6396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6406</v>
      </c>
      <c r="D1147" s="36" t="s">
        <v>6421</v>
      </c>
      <c r="E1147" s="9" t="s">
        <v>6405</v>
      </c>
      <c r="F1147" s="36" t="s">
        <v>6418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6396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6406</v>
      </c>
      <c r="D1148" s="9" t="s">
        <v>4807</v>
      </c>
      <c r="E1148" s="9" t="s">
        <v>6407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6396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6406</v>
      </c>
      <c r="D1149" s="9" t="s">
        <v>4809</v>
      </c>
      <c r="E1149" s="9" t="s">
        <v>6408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6396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6406</v>
      </c>
      <c r="D1150" s="9" t="s">
        <v>4811</v>
      </c>
      <c r="E1150" s="9" t="s">
        <v>6409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6396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6406</v>
      </c>
      <c r="D1151" s="9" t="s">
        <v>4813</v>
      </c>
      <c r="E1151" s="9" t="s">
        <v>6410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6396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6406</v>
      </c>
      <c r="D1152" s="9" t="s">
        <v>4816</v>
      </c>
      <c r="E1152" s="9" t="s">
        <v>6411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6396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6406</v>
      </c>
      <c r="D1153" s="9" t="s">
        <v>4818</v>
      </c>
      <c r="E1153" s="9" t="s">
        <v>6412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6396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6406</v>
      </c>
      <c r="D1154" s="9" t="s">
        <v>4820</v>
      </c>
      <c r="E1154" s="9" t="s">
        <v>6413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6396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6406</v>
      </c>
      <c r="D1155" s="9" t="s">
        <v>5600</v>
      </c>
      <c r="F1155" s="36" t="s">
        <v>6415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6456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6406</v>
      </c>
      <c r="D1156" s="9" t="s">
        <v>6423</v>
      </c>
      <c r="F1156" s="36" t="s">
        <v>6415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6456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6444</v>
      </c>
      <c r="D1157" s="9" t="s">
        <v>6434</v>
      </c>
      <c r="E1157" s="9" t="s">
        <v>6424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6396</v>
      </c>
      <c r="L1157" s="36"/>
      <c r="M1157" s="9" t="s">
        <v>6110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6444</v>
      </c>
      <c r="D1158" s="9" t="s">
        <v>6435</v>
      </c>
      <c r="E1158" s="9" t="s">
        <v>6425</v>
      </c>
      <c r="F1158" s="36" t="s">
        <v>6434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6396</v>
      </c>
      <c r="L1158" s="36"/>
      <c r="M1158" s="36" t="s">
        <v>6110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6444</v>
      </c>
      <c r="D1159" s="9" t="s">
        <v>6436</v>
      </c>
      <c r="E1159" s="9" t="s">
        <v>6426</v>
      </c>
      <c r="F1159" s="36" t="s">
        <v>6434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6396</v>
      </c>
      <c r="L1159" s="36"/>
      <c r="M1159" s="36" t="s">
        <v>6110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6444</v>
      </c>
      <c r="D1160" s="9" t="s">
        <v>6437</v>
      </c>
      <c r="E1160" s="9" t="s">
        <v>6427</v>
      </c>
      <c r="F1160" s="36" t="s">
        <v>6434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6396</v>
      </c>
      <c r="L1160" s="36"/>
      <c r="M1160" s="36" t="s">
        <v>6110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6444</v>
      </c>
      <c r="D1161" s="9" t="s">
        <v>6438</v>
      </c>
      <c r="E1161" s="9" t="s">
        <v>6428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6396</v>
      </c>
      <c r="L1161" s="36"/>
      <c r="M1161" s="36" t="s">
        <v>6110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6444</v>
      </c>
      <c r="D1162" s="9" t="s">
        <v>6439</v>
      </c>
      <c r="E1162" s="9" t="s">
        <v>6429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6396</v>
      </c>
      <c r="L1162" s="36"/>
      <c r="M1162" s="36" t="s">
        <v>6110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6444</v>
      </c>
      <c r="D1163" s="9" t="s">
        <v>6440</v>
      </c>
      <c r="E1163" s="9" t="s">
        <v>6430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6396</v>
      </c>
      <c r="L1163" s="36"/>
      <c r="M1163" s="36" t="s">
        <v>6110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6444</v>
      </c>
      <c r="D1164" s="9" t="s">
        <v>6441</v>
      </c>
      <c r="E1164" s="9" t="s">
        <v>6431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6396</v>
      </c>
      <c r="L1164" s="36"/>
      <c r="M1164" s="36" t="s">
        <v>6110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6444</v>
      </c>
      <c r="D1165" s="9" t="s">
        <v>6442</v>
      </c>
      <c r="E1165" s="9" t="s">
        <v>6432</v>
      </c>
      <c r="F1165" s="36" t="s">
        <v>6439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6396</v>
      </c>
      <c r="L1165" s="36"/>
      <c r="M1165" s="36" t="s">
        <v>6110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6444</v>
      </c>
      <c r="D1166" s="9" t="s">
        <v>6443</v>
      </c>
      <c r="E1166" s="9" t="s">
        <v>6433</v>
      </c>
      <c r="F1166" s="36" t="s">
        <v>6439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6396</v>
      </c>
      <c r="L1166" s="36"/>
      <c r="M1166" s="36" t="s">
        <v>6110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6444</v>
      </c>
      <c r="D1167" s="9" t="s">
        <v>2305</v>
      </c>
      <c r="E1167" s="9" t="s">
        <v>6445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6455</v>
      </c>
      <c r="L1167" s="36"/>
      <c r="M1167" s="36" t="s">
        <v>6110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6444</v>
      </c>
      <c r="D1168" s="9" t="s">
        <v>2223</v>
      </c>
      <c r="E1168" s="9" t="s">
        <v>6446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6455</v>
      </c>
      <c r="L1168" s="36"/>
      <c r="M1168" s="36" t="s">
        <v>6110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6444</v>
      </c>
      <c r="D1169" s="9" t="s">
        <v>6447</v>
      </c>
      <c r="E1169" s="9" t="s">
        <v>6448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6455</v>
      </c>
      <c r="L1169" s="36"/>
      <c r="M1169" s="36" t="s">
        <v>6110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6444</v>
      </c>
      <c r="D1170" s="9" t="s">
        <v>5937</v>
      </c>
      <c r="E1170" s="9" t="s">
        <v>6449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6455</v>
      </c>
      <c r="L1170" s="36"/>
      <c r="M1170" s="36" t="s">
        <v>6110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6444</v>
      </c>
      <c r="D1171" s="9" t="s">
        <v>2558</v>
      </c>
      <c r="E1171" s="9" t="s">
        <v>6450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6455</v>
      </c>
      <c r="L1171" s="36"/>
      <c r="M1171" s="36" t="s">
        <v>6110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6444</v>
      </c>
      <c r="D1172" s="9" t="s">
        <v>2418</v>
      </c>
      <c r="E1172" s="9" t="s">
        <v>6451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6455</v>
      </c>
      <c r="L1172" s="36"/>
      <c r="M1172" s="36" t="s">
        <v>6110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6444</v>
      </c>
      <c r="D1173" s="9" t="s">
        <v>2312</v>
      </c>
      <c r="E1173" s="9" t="s">
        <v>6452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6455</v>
      </c>
      <c r="L1173" s="36"/>
      <c r="M1173" s="36" t="s">
        <v>6110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6444</v>
      </c>
      <c r="D1174" s="9" t="s">
        <v>4919</v>
      </c>
      <c r="E1174" s="9" t="s">
        <v>6453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6455</v>
      </c>
      <c r="L1174" s="36"/>
      <c r="M1174" s="36" t="s">
        <v>6110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6444</v>
      </c>
      <c r="D1175" s="9" t="s">
        <v>4918</v>
      </c>
      <c r="E1175" s="9" t="s">
        <v>6454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6455</v>
      </c>
      <c r="L1175" s="36"/>
      <c r="M1175" s="36" t="s">
        <v>6110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6457</v>
      </c>
      <c r="D1176" s="9" t="s">
        <v>6414</v>
      </c>
      <c r="E1176" s="9" t="s">
        <v>6458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6397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6457</v>
      </c>
      <c r="D1177" s="9" t="s">
        <v>6398</v>
      </c>
      <c r="E1177" s="9" t="s">
        <v>6458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6397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6459</v>
      </c>
      <c r="D1178" s="9" t="s">
        <v>6548</v>
      </c>
      <c r="E1178" s="9" t="s">
        <v>6460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6396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6459</v>
      </c>
      <c r="D1179" s="9" t="s">
        <v>6549</v>
      </c>
      <c r="E1179" s="9" t="s">
        <v>6461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6396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6459</v>
      </c>
      <c r="D1180" s="36" t="s">
        <v>6550</v>
      </c>
      <c r="E1180" s="9" t="s">
        <v>6462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6396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6459</v>
      </c>
      <c r="D1181" s="36" t="s">
        <v>6551</v>
      </c>
      <c r="E1181" s="9" t="s">
        <v>6463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6396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6459</v>
      </c>
      <c r="D1182" s="36" t="s">
        <v>6552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6396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6459</v>
      </c>
      <c r="D1183" s="36" t="s">
        <v>6553</v>
      </c>
      <c r="E1183" s="9" t="s">
        <v>6464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6396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6459</v>
      </c>
      <c r="D1184" s="36" t="s">
        <v>6554</v>
      </c>
      <c r="E1184" s="9" t="s">
        <v>6465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6396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6459</v>
      </c>
      <c r="D1185" s="36" t="s">
        <v>6555</v>
      </c>
      <c r="E1185" s="9" t="s">
        <v>6466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6396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6459</v>
      </c>
      <c r="D1186" s="36" t="s">
        <v>6556</v>
      </c>
      <c r="E1186" s="9" t="s">
        <v>6467</v>
      </c>
      <c r="F1186" s="36" t="s">
        <v>6555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6396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6459</v>
      </c>
      <c r="D1187" s="36" t="s">
        <v>6557</v>
      </c>
      <c r="E1187" s="9" t="s">
        <v>6468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6396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6459</v>
      </c>
      <c r="D1188" s="36" t="s">
        <v>6558</v>
      </c>
      <c r="E1188" s="9" t="s">
        <v>6469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6396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6459</v>
      </c>
      <c r="D1189" s="36" t="s">
        <v>6559</v>
      </c>
      <c r="E1189" s="9" t="s">
        <v>6470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6396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6459</v>
      </c>
      <c r="D1190" s="36" t="s">
        <v>6560</v>
      </c>
      <c r="E1190" s="9" t="s">
        <v>6471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6396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6459</v>
      </c>
      <c r="D1191" s="36" t="s">
        <v>6561</v>
      </c>
      <c r="E1191" s="9" t="s">
        <v>6472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6396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6459</v>
      </c>
      <c r="D1192" s="36" t="s">
        <v>6562</v>
      </c>
      <c r="E1192" s="9" t="s">
        <v>6473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6396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6459</v>
      </c>
      <c r="D1193" s="36" t="s">
        <v>6563</v>
      </c>
      <c r="E1193" s="9" t="s">
        <v>6474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6396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6459</v>
      </c>
      <c r="D1194" s="36" t="s">
        <v>6564</v>
      </c>
      <c r="E1194" s="9" t="s">
        <v>6475</v>
      </c>
      <c r="F1194" s="9" t="s">
        <v>6476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6396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6459</v>
      </c>
      <c r="D1195" s="36" t="s">
        <v>6565</v>
      </c>
      <c r="E1195" s="9" t="s">
        <v>6477</v>
      </c>
      <c r="F1195" s="9" t="s">
        <v>6476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6396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6459</v>
      </c>
      <c r="D1196" s="36" t="s">
        <v>6566</v>
      </c>
      <c r="E1196" s="9" t="s">
        <v>6478</v>
      </c>
      <c r="F1196" s="9" t="s">
        <v>6476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6396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6459</v>
      </c>
      <c r="D1197" s="9" t="s">
        <v>4057</v>
      </c>
      <c r="E1197" s="9" t="s">
        <v>6479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6397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6459</v>
      </c>
      <c r="D1198" s="9" t="s">
        <v>3484</v>
      </c>
      <c r="E1198" s="9" t="s">
        <v>6480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6397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6459</v>
      </c>
      <c r="D1199" s="9" t="s">
        <v>3918</v>
      </c>
      <c r="E1199" s="9" t="s">
        <v>6481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6397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6459</v>
      </c>
      <c r="D1200" s="9" t="s">
        <v>3489</v>
      </c>
      <c r="E1200" s="9" t="s">
        <v>6482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6397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6459</v>
      </c>
      <c r="D1201" s="9" t="s">
        <v>3991</v>
      </c>
      <c r="E1201" s="9" t="s">
        <v>6483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6397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6459</v>
      </c>
      <c r="D1202" s="9" t="s">
        <v>3562</v>
      </c>
      <c r="E1202" s="9" t="s">
        <v>6484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6397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6459</v>
      </c>
      <c r="D1203" s="9" t="s">
        <v>953</v>
      </c>
      <c r="E1203" s="9" t="s">
        <v>6485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6397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6459</v>
      </c>
      <c r="D1204" s="9" t="s">
        <v>1385</v>
      </c>
      <c r="E1204" s="9" t="s">
        <v>6486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6397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6459</v>
      </c>
      <c r="D1205" s="9" t="s">
        <v>1732</v>
      </c>
      <c r="E1205" s="9" t="s">
        <v>6487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6397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6459</v>
      </c>
      <c r="D1206" s="9" t="s">
        <v>1730</v>
      </c>
      <c r="E1206" s="9" t="s">
        <v>6488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6397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6459</v>
      </c>
      <c r="D1207" s="9" t="s">
        <v>1391</v>
      </c>
      <c r="E1207" s="9" t="s">
        <v>6489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6397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6459</v>
      </c>
      <c r="D1208" s="9" t="s">
        <v>6490</v>
      </c>
      <c r="E1208" s="9" t="s">
        <v>6491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6397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6459</v>
      </c>
      <c r="D1209" s="9" t="s">
        <v>6492</v>
      </c>
      <c r="E1209" s="9" t="s">
        <v>6493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6397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6459</v>
      </c>
      <c r="D1210" s="9" t="s">
        <v>6494</v>
      </c>
      <c r="E1210" s="9" t="s">
        <v>6495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6397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6459</v>
      </c>
      <c r="D1211" s="9" t="s">
        <v>1393</v>
      </c>
      <c r="E1211" s="9" t="s">
        <v>6496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6397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6459</v>
      </c>
      <c r="D1212" s="9" t="s">
        <v>1389</v>
      </c>
      <c r="E1212" s="9" t="s">
        <v>6497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6397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6459</v>
      </c>
      <c r="D1213" s="9" t="s">
        <v>1387</v>
      </c>
      <c r="E1213" s="9" t="s">
        <v>6498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6397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6459</v>
      </c>
      <c r="D1214" s="9" t="s">
        <v>6499</v>
      </c>
      <c r="E1214" s="9" t="s">
        <v>6500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6397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6459</v>
      </c>
      <c r="D1215" s="9" t="s">
        <v>951</v>
      </c>
      <c r="E1215" s="9" t="s">
        <v>6501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6397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6459</v>
      </c>
      <c r="D1216" s="9" t="s">
        <v>6502</v>
      </c>
      <c r="E1216" s="9" t="s">
        <v>6503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6397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6459</v>
      </c>
      <c r="D1217" s="9" t="s">
        <v>1672</v>
      </c>
      <c r="E1217" s="9" t="s">
        <v>6504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6397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6459</v>
      </c>
      <c r="D1218" s="9" t="s">
        <v>1942</v>
      </c>
      <c r="E1218" s="9" t="s">
        <v>6505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6397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6459</v>
      </c>
      <c r="D1219" s="9" t="s">
        <v>6506</v>
      </c>
      <c r="E1219" s="9" t="s">
        <v>6507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6397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6459</v>
      </c>
      <c r="D1220" s="9" t="s">
        <v>6508</v>
      </c>
      <c r="E1220" s="9" t="s">
        <v>6509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6397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6459</v>
      </c>
      <c r="D1221" s="9" t="s">
        <v>6510</v>
      </c>
      <c r="E1221" s="9" t="s">
        <v>6511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6397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6459</v>
      </c>
      <c r="D1222" s="9" t="s">
        <v>6512</v>
      </c>
      <c r="E1222" s="9" t="s">
        <v>6513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6397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6459</v>
      </c>
      <c r="D1223" s="9" t="s">
        <v>5582</v>
      </c>
      <c r="E1223" s="9" t="s">
        <v>6514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6397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6459</v>
      </c>
      <c r="D1224" s="9" t="s">
        <v>6515</v>
      </c>
      <c r="E1224" s="9" t="s">
        <v>6516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6397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6459</v>
      </c>
      <c r="D1225" s="9" t="s">
        <v>6517</v>
      </c>
      <c r="E1225" s="9" t="s">
        <v>6518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6397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6459</v>
      </c>
      <c r="D1226" s="9" t="s">
        <v>6329</v>
      </c>
      <c r="E1226" s="9" t="s">
        <v>6519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6397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6459</v>
      </c>
      <c r="D1227" s="9" t="s">
        <v>4869</v>
      </c>
      <c r="F1227" s="36" t="s">
        <v>6554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6567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6459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6567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6459</v>
      </c>
      <c r="D1229" s="9" t="s">
        <v>3934</v>
      </c>
      <c r="F1229" s="36" t="s">
        <v>6555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6567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6459</v>
      </c>
      <c r="D1230" s="9" t="s">
        <v>6520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6567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6459</v>
      </c>
      <c r="D1231" s="9" t="s">
        <v>6521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6567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6459</v>
      </c>
      <c r="D1232" s="9" t="s">
        <v>6522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6567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6459</v>
      </c>
      <c r="D1233" s="9" t="s">
        <v>6523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6567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6459</v>
      </c>
      <c r="D1234" s="9" t="s">
        <v>3570</v>
      </c>
      <c r="F1234" s="36" t="s">
        <v>6553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6567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6459</v>
      </c>
      <c r="D1235" s="9" t="s">
        <v>6524</v>
      </c>
      <c r="F1235" s="36" t="s">
        <v>6553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6567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6459</v>
      </c>
      <c r="D1236" s="9" t="s">
        <v>6525</v>
      </c>
      <c r="F1236" s="9" t="s">
        <v>6531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6567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6459</v>
      </c>
      <c r="D1237" s="9" t="s">
        <v>3340</v>
      </c>
      <c r="F1237" s="9" t="s">
        <v>6329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6567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6459</v>
      </c>
      <c r="D1238" s="9" t="s">
        <v>6526</v>
      </c>
      <c r="F1238" s="9" t="s">
        <v>6329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6567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6459</v>
      </c>
      <c r="D1239" s="9" t="s">
        <v>6527</v>
      </c>
      <c r="F1239" s="36" t="s">
        <v>6564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6567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6459</v>
      </c>
      <c r="D1240" s="9" t="s">
        <v>6528</v>
      </c>
      <c r="F1240" s="36" t="s">
        <v>6565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6567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6459</v>
      </c>
      <c r="D1241" s="9" t="s">
        <v>6529</v>
      </c>
      <c r="F1241" s="36" t="s">
        <v>6566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6567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6459</v>
      </c>
      <c r="D1242" s="9" t="s">
        <v>6530</v>
      </c>
      <c r="F1242" s="9" t="s">
        <v>6532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6567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6459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6567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6459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6567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6459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6567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6459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6567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6459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6567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6459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6567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6459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6567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6459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6567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6459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6567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6459</v>
      </c>
      <c r="D1252" s="9" t="s">
        <v>6533</v>
      </c>
      <c r="F1252" s="9" t="s">
        <v>6029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6567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6459</v>
      </c>
      <c r="D1253" s="9" t="s">
        <v>6534</v>
      </c>
      <c r="F1253" s="9" t="s">
        <v>6029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6567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6459</v>
      </c>
      <c r="D1254" s="9" t="s">
        <v>6535</v>
      </c>
      <c r="F1254" s="9" t="s">
        <v>6029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6567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6459</v>
      </c>
      <c r="D1255" s="9" t="s">
        <v>6536</v>
      </c>
      <c r="F1255" s="9" t="s">
        <v>6029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6567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6459</v>
      </c>
      <c r="D1256" s="9" t="s">
        <v>6537</v>
      </c>
      <c r="F1256" s="9" t="s">
        <v>6029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6567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6459</v>
      </c>
      <c r="D1257" s="9" t="s">
        <v>6538</v>
      </c>
      <c r="F1257" s="9" t="s">
        <v>6029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6567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6459</v>
      </c>
      <c r="D1258" s="9" t="s">
        <v>6539</v>
      </c>
      <c r="F1258" s="9" t="s">
        <v>6029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6567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6459</v>
      </c>
      <c r="D1259" s="9" t="s">
        <v>6540</v>
      </c>
      <c r="F1259" s="9" t="s">
        <v>6029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6567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6459</v>
      </c>
      <c r="D1260" s="9" t="s">
        <v>6541</v>
      </c>
      <c r="F1260" s="9" t="s">
        <v>6029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6567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6459</v>
      </c>
      <c r="D1261" s="9" t="s">
        <v>6542</v>
      </c>
      <c r="F1261" s="9" t="s">
        <v>6029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6567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6459</v>
      </c>
      <c r="D1262" s="9" t="s">
        <v>6543</v>
      </c>
      <c r="F1262" s="9" t="s">
        <v>6029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6567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6459</v>
      </c>
      <c r="D1263" s="9" t="s">
        <v>6544</v>
      </c>
      <c r="F1263" s="9" t="s">
        <v>6029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6567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6459</v>
      </c>
      <c r="D1264" s="9" t="s">
        <v>6545</v>
      </c>
      <c r="F1264" s="9" t="s">
        <v>6029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6567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6459</v>
      </c>
      <c r="D1265" s="9" t="s">
        <v>6546</v>
      </c>
      <c r="F1265" s="9" t="s">
        <v>6029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6567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6459</v>
      </c>
      <c r="D1266" s="9" t="s">
        <v>6547</v>
      </c>
      <c r="F1266" s="9" t="s">
        <v>6029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6567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6579</v>
      </c>
      <c r="D1267" s="36" t="s">
        <v>6594</v>
      </c>
      <c r="E1267" s="9" t="s">
        <v>6569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6618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6579</v>
      </c>
      <c r="D1268" s="36" t="s">
        <v>6595</v>
      </c>
      <c r="E1268" s="9" t="s">
        <v>6570</v>
      </c>
      <c r="F1268" s="36" t="s">
        <v>6594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6618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6579</v>
      </c>
      <c r="D1269" s="36" t="s">
        <v>6596</v>
      </c>
      <c r="E1269" s="9" t="s">
        <v>6571</v>
      </c>
      <c r="F1269" s="36" t="s">
        <v>6594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6618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6579</v>
      </c>
      <c r="D1270" s="36" t="s">
        <v>6597</v>
      </c>
      <c r="E1270" s="9" t="s">
        <v>6572</v>
      </c>
      <c r="F1270" s="36" t="s">
        <v>6595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6618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6579</v>
      </c>
      <c r="D1271" s="36" t="s">
        <v>6598</v>
      </c>
      <c r="E1271" s="9" t="s">
        <v>6573</v>
      </c>
      <c r="F1271" s="36" t="s">
        <v>6595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6618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6579</v>
      </c>
      <c r="D1272" s="36" t="s">
        <v>6599</v>
      </c>
      <c r="E1272" s="9" t="s">
        <v>6574</v>
      </c>
      <c r="F1272" s="36" t="s">
        <v>6595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6618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6579</v>
      </c>
      <c r="D1273" s="36" t="s">
        <v>6600</v>
      </c>
      <c r="E1273" s="9" t="s">
        <v>6575</v>
      </c>
      <c r="F1273" s="36" t="s">
        <v>6595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6618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6579</v>
      </c>
      <c r="D1274" s="36" t="s">
        <v>6601</v>
      </c>
      <c r="E1274" s="9" t="s">
        <v>6576</v>
      </c>
      <c r="F1274" s="36" t="s">
        <v>6595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6618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6579</v>
      </c>
      <c r="D1275" s="36" t="s">
        <v>6602</v>
      </c>
      <c r="E1275" s="9" t="s">
        <v>6577</v>
      </c>
      <c r="F1275" s="36" t="s">
        <v>6596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6618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6579</v>
      </c>
      <c r="D1276" s="36" t="s">
        <v>6603</v>
      </c>
      <c r="E1276" s="9" t="s">
        <v>6578</v>
      </c>
      <c r="F1276" s="36" t="s">
        <v>6596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6618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6580</v>
      </c>
      <c r="D1277" s="9" t="s">
        <v>6604</v>
      </c>
      <c r="E1277" s="9" t="s">
        <v>6581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6618</v>
      </c>
      <c r="L1277" s="36"/>
      <c r="M1277" s="9" t="s">
        <v>6354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6580</v>
      </c>
      <c r="D1278" s="9" t="s">
        <v>6582</v>
      </c>
      <c r="E1278" s="9" t="s">
        <v>6581</v>
      </c>
      <c r="F1278" s="36" t="s">
        <v>6604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6618</v>
      </c>
      <c r="L1278" s="36"/>
      <c r="M1278" s="36" t="s">
        <v>6354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6580</v>
      </c>
      <c r="D1279" s="36" t="s">
        <v>6605</v>
      </c>
      <c r="E1279" s="9" t="s">
        <v>6583</v>
      </c>
      <c r="F1279" s="9" t="s">
        <v>6384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6618</v>
      </c>
      <c r="L1279" s="36"/>
      <c r="M1279" s="36" t="s">
        <v>6354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6580</v>
      </c>
      <c r="D1280" s="9" t="s">
        <v>6584</v>
      </c>
      <c r="E1280" s="9" t="s">
        <v>6583</v>
      </c>
      <c r="F1280" s="36" t="s">
        <v>6605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6618</v>
      </c>
      <c r="L1280" s="36"/>
      <c r="M1280" s="36" t="s">
        <v>6354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6580</v>
      </c>
      <c r="D1281" s="36" t="s">
        <v>6606</v>
      </c>
      <c r="E1281" s="9" t="s">
        <v>6585</v>
      </c>
      <c r="F1281" s="9" t="s">
        <v>6384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6618</v>
      </c>
      <c r="L1281" s="36"/>
      <c r="M1281" s="36" t="s">
        <v>6354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6580</v>
      </c>
      <c r="D1282" s="9" t="s">
        <v>6586</v>
      </c>
      <c r="E1282" s="9" t="s">
        <v>6585</v>
      </c>
      <c r="F1282" s="36" t="s">
        <v>6606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6618</v>
      </c>
      <c r="L1282" s="36"/>
      <c r="M1282" s="36" t="s">
        <v>6354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6580</v>
      </c>
      <c r="D1283" s="36" t="s">
        <v>6607</v>
      </c>
      <c r="E1283" s="9" t="s">
        <v>6587</v>
      </c>
      <c r="F1283" s="9" t="s">
        <v>6384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6618</v>
      </c>
      <c r="L1283" s="36"/>
      <c r="M1283" s="36" t="s">
        <v>6354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6580</v>
      </c>
      <c r="D1284" s="9" t="s">
        <v>6588</v>
      </c>
      <c r="E1284" s="9" t="s">
        <v>6587</v>
      </c>
      <c r="F1284" s="36" t="s">
        <v>6607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6618</v>
      </c>
      <c r="L1284" s="36"/>
      <c r="M1284" s="36" t="s">
        <v>6354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6580</v>
      </c>
      <c r="D1285" s="36" t="s">
        <v>6608</v>
      </c>
      <c r="E1285" s="9" t="s">
        <v>6589</v>
      </c>
      <c r="F1285" s="9" t="s">
        <v>6360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6618</v>
      </c>
      <c r="L1285" s="36"/>
      <c r="M1285" s="36" t="s">
        <v>6354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6580</v>
      </c>
      <c r="D1286" s="9" t="s">
        <v>6590</v>
      </c>
      <c r="E1286" s="9" t="s">
        <v>6589</v>
      </c>
      <c r="F1286" s="36" t="s">
        <v>6608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6618</v>
      </c>
      <c r="L1286" s="36"/>
      <c r="M1286" s="36" t="s">
        <v>6354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6591</v>
      </c>
      <c r="D1287" s="36" t="s">
        <v>6609</v>
      </c>
      <c r="E1287" s="9" t="s">
        <v>6592</v>
      </c>
      <c r="F1287" s="9" t="s">
        <v>6568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6618</v>
      </c>
      <c r="L1287" s="36"/>
      <c r="M1287" s="9" t="s">
        <v>6593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6610</v>
      </c>
      <c r="D1288" s="9" t="s">
        <v>1009</v>
      </c>
      <c r="E1288" s="9" t="s">
        <v>6611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6397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6610</v>
      </c>
      <c r="D1289" s="9" t="s">
        <v>1071</v>
      </c>
      <c r="E1289" s="9" t="s">
        <v>6612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6397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6610</v>
      </c>
      <c r="D1290" s="9" t="s">
        <v>1156</v>
      </c>
      <c r="E1290" s="9" t="s">
        <v>6613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6397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6610</v>
      </c>
      <c r="D1291" s="9" t="s">
        <v>1155</v>
      </c>
      <c r="E1291" s="9" t="s">
        <v>6614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6397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6615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6618</v>
      </c>
      <c r="L1292" s="36"/>
      <c r="M1292" s="9" t="s">
        <v>6617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6616</v>
      </c>
      <c r="D1293" s="9" t="s">
        <v>1824</v>
      </c>
      <c r="F1293" s="9" t="s">
        <v>6550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6618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6616</v>
      </c>
      <c r="D1294" s="9" t="s">
        <v>1778</v>
      </c>
      <c r="F1294" s="9" t="s">
        <v>6550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6618</v>
      </c>
      <c r="L1294" s="36"/>
      <c r="M1294" s="36" t="s">
        <v>4799</v>
      </c>
    </row>
    <row r="1295" spans="1:13" hidden="1" x14ac:dyDescent="0.25">
      <c r="A1295" s="49">
        <f t="shared" si="20"/>
        <v>1293</v>
      </c>
      <c r="B1295" s="36" t="s">
        <v>3295</v>
      </c>
      <c r="C1295" s="9" t="s">
        <v>6622</v>
      </c>
      <c r="D1295" s="9" t="s">
        <v>6620</v>
      </c>
      <c r="E1295" s="9" t="s">
        <v>6347</v>
      </c>
      <c r="F1295" s="9" t="s">
        <v>6342</v>
      </c>
      <c r="G1295" s="9" t="s">
        <v>14</v>
      </c>
      <c r="H1295" s="36" t="str">
        <f>IFERROR(VLOOKUP(Table2[[#This Row], [Ticket]],Okey!A:B,2,0),"")</f>
        <v>ok</v>
      </c>
      <c r="I1295" s="9" t="s">
        <v>5290</v>
      </c>
      <c r="J1295" s="36" t="str">
        <f>VLOOKUP(Table2[[#This Row], [Author]],People!A:B,2,0)</f>
        <v>MGF</v>
      </c>
      <c r="K1295" s="36"/>
      <c r="M1295" s="9" t="s">
        <v>1230</v>
      </c>
    </row>
    <row r="1296" spans="1:13" hidden="1" x14ac:dyDescent="0.25">
      <c r="A1296" s="49">
        <f t="shared" si="20"/>
        <v>1294</v>
      </c>
      <c r="B1296" s="36" t="s">
        <v>3295</v>
      </c>
      <c r="C1296" s="36" t="s">
        <v>6622</v>
      </c>
      <c r="D1296" s="9" t="s">
        <v>6621</v>
      </c>
      <c r="E1296" s="9" t="s">
        <v>6623</v>
      </c>
      <c r="F1296" s="9" t="s">
        <v>6346</v>
      </c>
      <c r="G1296" s="36" t="s">
        <v>14</v>
      </c>
      <c r="H1296" s="36" t="str">
        <f>IFERROR(VLOOKUP(Table2[[#This Row], [Ticket]],Okey!A:B,2,0),"")</f>
        <v>ok</v>
      </c>
      <c r="I1296" s="36" t="s">
        <v>5290</v>
      </c>
      <c r="J1296" s="36" t="str">
        <f>VLOOKUP(Table2[[#This Row], [Author]],People!A:B,2,0)</f>
        <v>MGF</v>
      </c>
      <c r="K1296" s="36"/>
      <c r="L1296" s="36"/>
      <c r="M1296" s="36" t="s">
        <v>1230</v>
      </c>
    </row>
    <row r="1297" spans="1:13" hidden="1" x14ac:dyDescent="0.25">
      <c r="A1297" s="49">
        <f t="shared" si="20"/>
        <v>1295</v>
      </c>
      <c r="B1297" s="36" t="s">
        <v>3295</v>
      </c>
      <c r="C1297" s="9" t="s">
        <v>6628</v>
      </c>
      <c r="D1297" s="9" t="s">
        <v>6624</v>
      </c>
      <c r="F1297" s="9" t="s">
        <v>6286</v>
      </c>
      <c r="G1297" s="9" t="s">
        <v>13</v>
      </c>
      <c r="H1297" s="36" t="str">
        <f>IFERROR(VLOOKUP(Table2[[#This Row], [Ticket]],Okey!A:B,2,0),"")</f>
        <v>ok</v>
      </c>
      <c r="I1297" s="9" t="s">
        <v>5290</v>
      </c>
      <c r="J1297" s="36" t="str">
        <f>VLOOKUP(Table2[[#This Row], [Author]],People!A:B,2,0)</f>
        <v>LS</v>
      </c>
      <c r="K1297" s="36"/>
      <c r="L1297" s="36"/>
      <c r="M1297" s="36" t="s">
        <v>6354</v>
      </c>
    </row>
    <row r="1298" spans="1:13" hidden="1" x14ac:dyDescent="0.25">
      <c r="A1298" s="49">
        <f t="shared" si="20"/>
        <v>1296</v>
      </c>
      <c r="B1298" s="36" t="s">
        <v>3295</v>
      </c>
      <c r="C1298" s="36" t="s">
        <v>6628</v>
      </c>
      <c r="D1298" s="9" t="s">
        <v>6625</v>
      </c>
      <c r="F1298" s="9" t="s">
        <v>6286</v>
      </c>
      <c r="G1298" s="36" t="s">
        <v>13</v>
      </c>
      <c r="H1298" s="36" t="str">
        <f>IFERROR(VLOOKUP(Table2[[#This Row], [Ticket]],Okey!A:B,2,0),"")</f>
        <v>ok</v>
      </c>
      <c r="I1298" s="36" t="s">
        <v>5290</v>
      </c>
      <c r="J1298" s="36" t="str">
        <f>VLOOKUP(Table2[[#This Row], [Author]],People!A:B,2,0)</f>
        <v>LS</v>
      </c>
      <c r="K1298" s="36"/>
      <c r="L1298" s="36"/>
      <c r="M1298" s="36" t="s">
        <v>6354</v>
      </c>
    </row>
    <row r="1299" spans="1:13" hidden="1" x14ac:dyDescent="0.25">
      <c r="A1299" s="49">
        <f t="shared" si="20"/>
        <v>1297</v>
      </c>
      <c r="B1299" s="36" t="s">
        <v>3295</v>
      </c>
      <c r="C1299" s="36" t="s">
        <v>6628</v>
      </c>
      <c r="D1299" s="9" t="s">
        <v>3844</v>
      </c>
      <c r="F1299" s="9" t="s">
        <v>6364</v>
      </c>
      <c r="G1299" s="36" t="s">
        <v>13</v>
      </c>
      <c r="H1299" s="36" t="str">
        <f>IFERROR(VLOOKUP(Table2[[#This Row], [Ticket]],Okey!A:B,2,0),"")</f>
        <v>ok</v>
      </c>
      <c r="I1299" s="36" t="s">
        <v>5290</v>
      </c>
      <c r="J1299" s="36" t="str">
        <f>VLOOKUP(Table2[[#This Row], [Author]],People!A:B,2,0)</f>
        <v>LS</v>
      </c>
      <c r="K1299" s="36"/>
      <c r="L1299" s="36"/>
      <c r="M1299" s="36" t="s">
        <v>6354</v>
      </c>
    </row>
    <row r="1300" spans="1:13" hidden="1" x14ac:dyDescent="0.25">
      <c r="A1300" s="49">
        <f t="shared" si="20"/>
        <v>1298</v>
      </c>
      <c r="B1300" s="36" t="s">
        <v>3295</v>
      </c>
      <c r="C1300" s="36" t="s">
        <v>6628</v>
      </c>
      <c r="D1300" s="9" t="s">
        <v>6626</v>
      </c>
      <c r="F1300" s="9" t="s">
        <v>6316</v>
      </c>
      <c r="G1300" s="36" t="s">
        <v>13</v>
      </c>
      <c r="H1300" s="36" t="str">
        <f>IFERROR(VLOOKUP(Table2[[#This Row], [Ticket]],Okey!A:B,2,0),"")</f>
        <v>ok</v>
      </c>
      <c r="I1300" s="36" t="s">
        <v>5290</v>
      </c>
      <c r="J1300" s="36" t="str">
        <f>VLOOKUP(Table2[[#This Row], [Author]],People!A:B,2,0)</f>
        <v>LS</v>
      </c>
      <c r="K1300" s="36"/>
      <c r="L1300" s="36"/>
      <c r="M1300" s="36" t="s">
        <v>6354</v>
      </c>
    </row>
    <row r="1301" spans="1:13" hidden="1" x14ac:dyDescent="0.25">
      <c r="A1301" s="49">
        <f t="shared" si="20"/>
        <v>1299</v>
      </c>
      <c r="B1301" s="36" t="s">
        <v>3295</v>
      </c>
      <c r="C1301" s="36" t="s">
        <v>6628</v>
      </c>
      <c r="D1301" s="9" t="s">
        <v>6627</v>
      </c>
      <c r="F1301" s="9" t="s">
        <v>6316</v>
      </c>
      <c r="G1301" s="36" t="s">
        <v>13</v>
      </c>
      <c r="H1301" s="36" t="str">
        <f>IFERROR(VLOOKUP(Table2[[#This Row], [Ticket]],Okey!A:B,2,0),"")</f>
        <v>ok</v>
      </c>
      <c r="I1301" s="36" t="s">
        <v>5290</v>
      </c>
      <c r="J1301" s="36" t="str">
        <f>VLOOKUP(Table2[[#This Row], [Author]],People!A:B,2,0)</f>
        <v>LS</v>
      </c>
      <c r="K1301" s="36"/>
      <c r="L1301" s="36"/>
      <c r="M1301" s="36" t="s">
        <v>6354</v>
      </c>
    </row>
    <row r="1302" spans="1:13" hidden="1" x14ac:dyDescent="0.25">
      <c r="A1302" s="49">
        <f t="shared" si="20"/>
        <v>1300</v>
      </c>
      <c r="B1302" s="36" t="s">
        <v>3295</v>
      </c>
      <c r="C1302" s="9" t="s">
        <v>6631</v>
      </c>
      <c r="D1302" s="36" t="s">
        <v>6637</v>
      </c>
      <c r="E1302" s="9" t="s">
        <v>6629</v>
      </c>
      <c r="F1302" s="9" t="s">
        <v>6630</v>
      </c>
      <c r="G1302" s="9" t="s">
        <v>14</v>
      </c>
      <c r="H1302" s="36" t="str">
        <f>IFERROR(VLOOKUP(Table2[[#This Row], [Ticket]],Okey!A:B,2,0),"")</f>
        <v>ok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9" t="s">
        <v>4786</v>
      </c>
    </row>
    <row r="1303" spans="1:13" hidden="1" x14ac:dyDescent="0.25">
      <c r="A1303" s="49">
        <f t="shared" si="20"/>
        <v>1301</v>
      </c>
      <c r="B1303" s="36" t="s">
        <v>3295</v>
      </c>
      <c r="C1303" s="9" t="s">
        <v>6632</v>
      </c>
      <c r="D1303" s="36" t="s">
        <v>6633</v>
      </c>
      <c r="E1303" s="9" t="s">
        <v>6583</v>
      </c>
      <c r="F1303" s="9" t="s">
        <v>6384</v>
      </c>
      <c r="G1303" s="36" t="s">
        <v>14</v>
      </c>
      <c r="H1303" s="36" t="str">
        <f>IFERROR(VLOOKUP(Table2[[#This Row], [Ticket]],Okey!A:B,2,0),"")</f>
        <v>ok</v>
      </c>
      <c r="I1303" s="36" t="s">
        <v>5290</v>
      </c>
      <c r="J1303" s="36" t="str">
        <f>VLOOKUP(Table2[[#This Row], [Author]],People!A:B,2,0)</f>
        <v>LS</v>
      </c>
      <c r="K1303" s="36"/>
      <c r="L1303" s="36"/>
      <c r="M1303" s="36" t="s">
        <v>6354</v>
      </c>
    </row>
    <row r="1304" spans="1:13" hidden="1" x14ac:dyDescent="0.25">
      <c r="A1304" s="49">
        <f t="shared" si="20"/>
        <v>1302</v>
      </c>
      <c r="B1304" s="36" t="s">
        <v>3295</v>
      </c>
      <c r="C1304" s="36" t="s">
        <v>6632</v>
      </c>
      <c r="D1304" s="36" t="s">
        <v>6634</v>
      </c>
      <c r="E1304" s="9" t="s">
        <v>6585</v>
      </c>
      <c r="F1304" s="9" t="s">
        <v>6384</v>
      </c>
      <c r="G1304" s="36" t="s">
        <v>14</v>
      </c>
      <c r="H1304" s="36" t="str">
        <f>IFERROR(VLOOKUP(Table2[[#This Row], [Ticket]],Okey!A:B,2,0),"")</f>
        <v>ok</v>
      </c>
      <c r="I1304" s="36" t="s">
        <v>5290</v>
      </c>
      <c r="J1304" s="36" t="str">
        <f>VLOOKUP(Table2[[#This Row], [Author]],People!A:B,2,0)</f>
        <v>LS</v>
      </c>
      <c r="K1304" s="36"/>
      <c r="L1304" s="36"/>
      <c r="M1304" s="36" t="s">
        <v>6354</v>
      </c>
    </row>
    <row r="1305" spans="1:13" hidden="1" x14ac:dyDescent="0.25">
      <c r="A1305" s="49">
        <f t="shared" si="20"/>
        <v>1303</v>
      </c>
      <c r="B1305" s="36" t="s">
        <v>3295</v>
      </c>
      <c r="C1305" s="36" t="s">
        <v>6632</v>
      </c>
      <c r="D1305" s="36" t="s">
        <v>6635</v>
      </c>
      <c r="E1305" s="9" t="s">
        <v>6587</v>
      </c>
      <c r="F1305" s="9" t="s">
        <v>6384</v>
      </c>
      <c r="G1305" s="36" t="s">
        <v>14</v>
      </c>
      <c r="H1305" s="36" t="str">
        <f>IFERROR(VLOOKUP(Table2[[#This Row], [Ticket]],Okey!A:B,2,0),"")</f>
        <v>ok</v>
      </c>
      <c r="I1305" s="36" t="s">
        <v>5290</v>
      </c>
      <c r="J1305" s="36" t="str">
        <f>VLOOKUP(Table2[[#This Row], [Author]],People!A:B,2,0)</f>
        <v>LS</v>
      </c>
      <c r="K1305" s="36"/>
      <c r="L1305" s="36"/>
      <c r="M1305" s="36" t="s">
        <v>6354</v>
      </c>
    </row>
    <row r="1306" spans="1:13" hidden="1" x14ac:dyDescent="0.25">
      <c r="A1306" s="49">
        <f t="shared" si="20"/>
        <v>1304</v>
      </c>
      <c r="B1306" s="36" t="s">
        <v>3295</v>
      </c>
      <c r="C1306" s="36" t="s">
        <v>6632</v>
      </c>
      <c r="D1306" s="36" t="s">
        <v>6636</v>
      </c>
      <c r="E1306" s="9" t="s">
        <v>6589</v>
      </c>
      <c r="F1306" s="9" t="s">
        <v>6360</v>
      </c>
      <c r="G1306" s="36" t="s">
        <v>14</v>
      </c>
      <c r="H1306" s="36" t="str">
        <f>IFERROR(VLOOKUP(Table2[[#This Row], [Ticket]],Okey!A:B,2,0),"")</f>
        <v>ok</v>
      </c>
      <c r="I1306" s="36" t="s">
        <v>5290</v>
      </c>
      <c r="J1306" s="36" t="str">
        <f>VLOOKUP(Table2[[#This Row], [Author]],People!A:B,2,0)</f>
        <v>LS</v>
      </c>
      <c r="K1306" s="36"/>
      <c r="L1306" s="36"/>
      <c r="M1306" s="36" t="s">
        <v>6354</v>
      </c>
    </row>
    <row r="1307" spans="1:13" hidden="1" x14ac:dyDescent="0.25">
      <c r="A1307" s="49">
        <f t="shared" si="20"/>
        <v>1305</v>
      </c>
      <c r="B1307" s="36" t="s">
        <v>3295</v>
      </c>
      <c r="C1307" s="36" t="s">
        <v>6632</v>
      </c>
      <c r="D1307" s="9" t="s">
        <v>6584</v>
      </c>
      <c r="E1307" s="36"/>
      <c r="F1307" s="36" t="s">
        <v>6633</v>
      </c>
      <c r="G1307" s="9" t="s">
        <v>13</v>
      </c>
      <c r="H1307" s="36" t="str">
        <f>IFERROR(VLOOKUP(Table2[[#This Row], [Ticket]],Okey!A:B,2,0),"")</f>
        <v>ok</v>
      </c>
      <c r="I1307" s="36" t="s">
        <v>5290</v>
      </c>
      <c r="J1307" s="36" t="str">
        <f>VLOOKUP(Table2[[#This Row], [Author]],People!A:B,2,0)</f>
        <v>LS</v>
      </c>
      <c r="K1307" s="36"/>
      <c r="L1307" s="36"/>
      <c r="M1307" s="36" t="s">
        <v>6354</v>
      </c>
    </row>
    <row r="1308" spans="1:13" hidden="1" x14ac:dyDescent="0.25">
      <c r="A1308" s="49">
        <f t="shared" si="20"/>
        <v>1306</v>
      </c>
      <c r="B1308" s="36" t="s">
        <v>3295</v>
      </c>
      <c r="C1308" s="36" t="s">
        <v>6632</v>
      </c>
      <c r="D1308" s="9" t="s">
        <v>6586</v>
      </c>
      <c r="E1308" s="36"/>
      <c r="F1308" s="36" t="s">
        <v>6634</v>
      </c>
      <c r="G1308" s="36" t="s">
        <v>13</v>
      </c>
      <c r="H1308" s="36" t="str">
        <f>IFERROR(VLOOKUP(Table2[[#This Row], [Ticket]],Okey!A:B,2,0),"")</f>
        <v>ok</v>
      </c>
      <c r="I1308" s="36" t="s">
        <v>5290</v>
      </c>
      <c r="J1308" s="36" t="str">
        <f>VLOOKUP(Table2[[#This Row], [Author]],People!A:B,2,0)</f>
        <v>LS</v>
      </c>
      <c r="K1308" s="36"/>
      <c r="L1308" s="36"/>
      <c r="M1308" s="36" t="s">
        <v>6354</v>
      </c>
    </row>
    <row r="1309" spans="1:13" hidden="1" x14ac:dyDescent="0.25">
      <c r="A1309" s="49">
        <f t="shared" si="20"/>
        <v>1307</v>
      </c>
      <c r="B1309" s="36" t="s">
        <v>3295</v>
      </c>
      <c r="C1309" s="36" t="s">
        <v>6632</v>
      </c>
      <c r="D1309" s="9" t="s">
        <v>6588</v>
      </c>
      <c r="E1309" s="36"/>
      <c r="F1309" s="36" t="s">
        <v>6635</v>
      </c>
      <c r="G1309" s="36" t="s">
        <v>13</v>
      </c>
      <c r="H1309" s="36" t="str">
        <f>IFERROR(VLOOKUP(Table2[[#This Row], [Ticket]],Okey!A:B,2,0),"")</f>
        <v>ok</v>
      </c>
      <c r="I1309" s="36" t="s">
        <v>5290</v>
      </c>
      <c r="J1309" s="36" t="str">
        <f>VLOOKUP(Table2[[#This Row], [Author]],People!A:B,2,0)</f>
        <v>LS</v>
      </c>
      <c r="K1309" s="36"/>
      <c r="L1309" s="36"/>
      <c r="M1309" s="36" t="s">
        <v>6354</v>
      </c>
    </row>
    <row r="1310" spans="1:13" hidden="1" x14ac:dyDescent="0.25">
      <c r="A1310" s="49">
        <f t="shared" si="20"/>
        <v>1308</v>
      </c>
      <c r="B1310" s="36" t="s">
        <v>3295</v>
      </c>
      <c r="C1310" s="36" t="s">
        <v>6632</v>
      </c>
      <c r="D1310" s="9" t="s">
        <v>6590</v>
      </c>
      <c r="E1310" s="36"/>
      <c r="F1310" s="36" t="s">
        <v>6636</v>
      </c>
      <c r="G1310" s="36" t="s">
        <v>13</v>
      </c>
      <c r="H1310" s="36" t="str">
        <f>IFERROR(VLOOKUP(Table2[[#This Row], [Ticket]],Okey!A:B,2,0),"")</f>
        <v>ok</v>
      </c>
      <c r="I1310" s="36" t="s">
        <v>5290</v>
      </c>
      <c r="J1310" s="36" t="str">
        <f>VLOOKUP(Table2[[#This Row], [Author]],People!A:B,2,0)</f>
        <v>LS</v>
      </c>
      <c r="K1310" s="36"/>
      <c r="L1310" s="36"/>
      <c r="M1310" s="36" t="s">
        <v>6354</v>
      </c>
    </row>
    <row r="1311" spans="1:13" hidden="1" x14ac:dyDescent="0.25">
      <c r="A1311" s="49">
        <f t="shared" si="20"/>
        <v>1309</v>
      </c>
      <c r="B1311" s="36" t="s">
        <v>3295</v>
      </c>
      <c r="C1311" s="36" t="s">
        <v>6632</v>
      </c>
      <c r="D1311" s="9" t="s">
        <v>6605</v>
      </c>
      <c r="G1311" s="9" t="s">
        <v>12</v>
      </c>
      <c r="H1311" s="36" t="str">
        <f>IFERROR(VLOOKUP(Table2[[#This Row], [Ticket]],Okey!A:B,2,0),"")</f>
        <v>ok</v>
      </c>
      <c r="I1311" s="36" t="s">
        <v>5290</v>
      </c>
      <c r="J1311" s="36" t="str">
        <f>VLOOKUP(Table2[[#This Row], [Author]],People!A:B,2,0)</f>
        <v>LS</v>
      </c>
      <c r="K1311" s="36"/>
      <c r="L1311" s="36"/>
      <c r="M1311" s="36" t="s">
        <v>6354</v>
      </c>
    </row>
    <row r="1312" spans="1:13" hidden="1" x14ac:dyDescent="0.25">
      <c r="A1312" s="49">
        <f t="shared" si="20"/>
        <v>1310</v>
      </c>
      <c r="B1312" s="36" t="s">
        <v>3295</v>
      </c>
      <c r="C1312" s="36" t="s">
        <v>6632</v>
      </c>
      <c r="D1312" s="9" t="s">
        <v>6606</v>
      </c>
      <c r="G1312" s="36" t="s">
        <v>12</v>
      </c>
      <c r="H1312" s="36" t="str">
        <f>IFERROR(VLOOKUP(Table2[[#This Row], [Ticket]],Okey!A:B,2,0),"")</f>
        <v>ok</v>
      </c>
      <c r="I1312" s="36" t="s">
        <v>5290</v>
      </c>
      <c r="J1312" s="36" t="str">
        <f>VLOOKUP(Table2[[#This Row], [Author]],People!A:B,2,0)</f>
        <v>LS</v>
      </c>
      <c r="K1312" s="36"/>
      <c r="L1312" s="36"/>
      <c r="M1312" s="36" t="s">
        <v>6354</v>
      </c>
    </row>
    <row r="1313" spans="1:13" hidden="1" x14ac:dyDescent="0.25">
      <c r="A1313" s="49">
        <f t="shared" ref="A1313:A1363" si="21">1+A1312</f>
        <v>1311</v>
      </c>
      <c r="B1313" s="36" t="s">
        <v>3295</v>
      </c>
      <c r="C1313" s="36" t="s">
        <v>6632</v>
      </c>
      <c r="D1313" s="9" t="s">
        <v>6607</v>
      </c>
      <c r="G1313" s="36" t="s">
        <v>12</v>
      </c>
      <c r="H1313" s="36" t="str">
        <f>IFERROR(VLOOKUP(Table2[[#This Row], [Ticket]],Okey!A:B,2,0),"")</f>
        <v>ok</v>
      </c>
      <c r="I1313" s="36" t="s">
        <v>5290</v>
      </c>
      <c r="J1313" s="36" t="str">
        <f>VLOOKUP(Table2[[#This Row], [Author]],People!A:B,2,0)</f>
        <v>LS</v>
      </c>
      <c r="K1313" s="36"/>
      <c r="L1313" s="36"/>
      <c r="M1313" s="36" t="s">
        <v>6354</v>
      </c>
    </row>
    <row r="1314" spans="1:13" hidden="1" x14ac:dyDescent="0.25">
      <c r="A1314" s="49">
        <f t="shared" si="21"/>
        <v>1312</v>
      </c>
      <c r="B1314" s="36" t="s">
        <v>3295</v>
      </c>
      <c r="C1314" s="36" t="s">
        <v>6632</v>
      </c>
      <c r="D1314" s="9" t="s">
        <v>6608</v>
      </c>
      <c r="G1314" s="36" t="s">
        <v>12</v>
      </c>
      <c r="H1314" s="36" t="str">
        <f>IFERROR(VLOOKUP(Table2[[#This Row], [Ticket]],Okey!A:B,2,0),"")</f>
        <v>ok</v>
      </c>
      <c r="I1314" s="9" t="s">
        <v>5290</v>
      </c>
      <c r="J1314" s="36" t="str">
        <f>VLOOKUP(Table2[[#This Row], [Author]],People!A:B,2,0)</f>
        <v>LS</v>
      </c>
      <c r="K1314" s="36"/>
      <c r="L1314" s="36"/>
      <c r="M1314" s="36" t="s">
        <v>6354</v>
      </c>
    </row>
    <row r="1315" spans="1:13" hidden="1" x14ac:dyDescent="0.25">
      <c r="A1315" s="49">
        <f t="shared" si="21"/>
        <v>1313</v>
      </c>
      <c r="B1315" s="36" t="s">
        <v>3295</v>
      </c>
      <c r="C1315" s="9" t="s">
        <v>6638</v>
      </c>
      <c r="D1315" s="55" t="s">
        <v>1155</v>
      </c>
      <c r="F1315" s="56" t="s">
        <v>1009</v>
      </c>
      <c r="G1315" s="9" t="s">
        <v>13</v>
      </c>
      <c r="H1315" s="36" t="str">
        <f>IFERROR(VLOOKUP(Table2[[#This Row], [Ticket]],Okey!A:B,2,0),"")</f>
        <v>ok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hidden="1" x14ac:dyDescent="0.25">
      <c r="A1316" s="49">
        <f t="shared" si="21"/>
        <v>1314</v>
      </c>
      <c r="B1316" s="36" t="s">
        <v>3295</v>
      </c>
      <c r="C1316" s="9" t="s">
        <v>6639</v>
      </c>
      <c r="D1316" s="36" t="s">
        <v>6646</v>
      </c>
      <c r="E1316" s="9" t="s">
        <v>6640</v>
      </c>
      <c r="F1316" s="9" t="s">
        <v>5278</v>
      </c>
      <c r="G1316" s="36" t="s">
        <v>14</v>
      </c>
      <c r="H1316" s="36" t="str">
        <f>IFERROR(VLOOKUP(Table2[[#This Row], [Ticket]],Okey!A:B,2,0),"")</f>
        <v>ok</v>
      </c>
      <c r="I1316" s="36" t="s">
        <v>5290</v>
      </c>
      <c r="J1316" s="36" t="str">
        <f>VLOOKUP(Table2[[#This Row], [Author]],People!A:B,2,0)</f>
        <v>LS</v>
      </c>
      <c r="K1316" s="36"/>
      <c r="L1316" s="36"/>
      <c r="M1316" s="36" t="s">
        <v>6354</v>
      </c>
    </row>
    <row r="1317" spans="1:13" hidden="1" x14ac:dyDescent="0.25">
      <c r="A1317" s="49">
        <f t="shared" si="21"/>
        <v>1315</v>
      </c>
      <c r="B1317" s="36" t="s">
        <v>3295</v>
      </c>
      <c r="C1317" s="36" t="s">
        <v>6639</v>
      </c>
      <c r="D1317" s="9" t="s">
        <v>6643</v>
      </c>
      <c r="E1317" s="9" t="s">
        <v>6640</v>
      </c>
      <c r="F1317" s="36" t="s">
        <v>6646</v>
      </c>
      <c r="G1317" s="36" t="s">
        <v>14</v>
      </c>
      <c r="H1317" s="36" t="str">
        <f>IFERROR(VLOOKUP(Table2[[#This Row], [Ticket]],Okey!A:B,2,0),"")</f>
        <v>ok</v>
      </c>
      <c r="I1317" s="36" t="s">
        <v>5290</v>
      </c>
      <c r="J1317" s="36" t="str">
        <f>VLOOKUP(Table2[[#This Row], [Author]],People!A:B,2,0)</f>
        <v>LS</v>
      </c>
      <c r="K1317" s="36"/>
      <c r="L1317" s="36"/>
      <c r="M1317" s="36" t="s">
        <v>6354</v>
      </c>
    </row>
    <row r="1318" spans="1:13" hidden="1" x14ac:dyDescent="0.25">
      <c r="A1318" s="49">
        <f t="shared" si="21"/>
        <v>1316</v>
      </c>
      <c r="B1318" s="36" t="s">
        <v>3295</v>
      </c>
      <c r="C1318" s="36" t="s">
        <v>6639</v>
      </c>
      <c r="D1318" s="36" t="s">
        <v>6647</v>
      </c>
      <c r="E1318" s="9" t="s">
        <v>6641</v>
      </c>
      <c r="F1318" s="9" t="s">
        <v>5278</v>
      </c>
      <c r="G1318" s="36" t="s">
        <v>14</v>
      </c>
      <c r="H1318" s="36" t="str">
        <f>IFERROR(VLOOKUP(Table2[[#This Row], [Ticket]],Okey!A:B,2,0),"")</f>
        <v>ok</v>
      </c>
      <c r="I1318" s="36" t="s">
        <v>5290</v>
      </c>
      <c r="J1318" s="36" t="str">
        <f>VLOOKUP(Table2[[#This Row], [Author]],People!A:B,2,0)</f>
        <v>LS</v>
      </c>
      <c r="K1318" s="36"/>
      <c r="L1318" s="36"/>
      <c r="M1318" s="36" t="s">
        <v>6354</v>
      </c>
    </row>
    <row r="1319" spans="1:13" hidden="1" x14ac:dyDescent="0.25">
      <c r="A1319" s="49">
        <f t="shared" si="21"/>
        <v>1317</v>
      </c>
      <c r="B1319" s="36" t="s">
        <v>3295</v>
      </c>
      <c r="C1319" s="36" t="s">
        <v>6639</v>
      </c>
      <c r="D1319" s="9" t="s">
        <v>6644</v>
      </c>
      <c r="E1319" s="9" t="s">
        <v>6641</v>
      </c>
      <c r="F1319" s="36" t="s">
        <v>6647</v>
      </c>
      <c r="G1319" s="36" t="s">
        <v>14</v>
      </c>
      <c r="H1319" s="36" t="str">
        <f>IFERROR(VLOOKUP(Table2[[#This Row], [Ticket]],Okey!A:B,2,0),"")</f>
        <v>ok</v>
      </c>
      <c r="I1319" s="36" t="s">
        <v>5290</v>
      </c>
      <c r="J1319" s="36" t="str">
        <f>VLOOKUP(Table2[[#This Row], [Author]],People!A:B,2,0)</f>
        <v>LS</v>
      </c>
      <c r="K1319" s="36"/>
      <c r="L1319" s="36"/>
      <c r="M1319" s="36" t="s">
        <v>6354</v>
      </c>
    </row>
    <row r="1320" spans="1:13" hidden="1" x14ac:dyDescent="0.25">
      <c r="A1320" s="49">
        <f t="shared" si="21"/>
        <v>1318</v>
      </c>
      <c r="B1320" s="36" t="s">
        <v>3295</v>
      </c>
      <c r="C1320" s="36" t="s">
        <v>6639</v>
      </c>
      <c r="D1320" s="9" t="s">
        <v>6645</v>
      </c>
      <c r="E1320" s="9" t="s">
        <v>6642</v>
      </c>
      <c r="F1320" s="9" t="s">
        <v>5278</v>
      </c>
      <c r="G1320" s="36" t="s">
        <v>14</v>
      </c>
      <c r="H1320" s="36" t="str">
        <f>IFERROR(VLOOKUP(Table2[[#This Row], [Ticket]],Okey!A:B,2,0),"")</f>
        <v>ok</v>
      </c>
      <c r="I1320" s="36" t="s">
        <v>5290</v>
      </c>
      <c r="J1320" s="36" t="str">
        <f>VLOOKUP(Table2[[#This Row], [Author]],People!A:B,2,0)</f>
        <v>LS</v>
      </c>
      <c r="K1320" s="36"/>
      <c r="L1320" s="36"/>
      <c r="M1320" s="36" t="s">
        <v>6354</v>
      </c>
    </row>
    <row r="1321" spans="1:13" hidden="1" x14ac:dyDescent="0.25">
      <c r="A1321" s="49">
        <f t="shared" si="21"/>
        <v>1319</v>
      </c>
      <c r="B1321" s="36" t="s">
        <v>3295</v>
      </c>
      <c r="C1321" s="36" t="s">
        <v>6639</v>
      </c>
      <c r="D1321" s="57" t="s">
        <v>5278</v>
      </c>
      <c r="E1321" s="9" t="s">
        <v>6642</v>
      </c>
      <c r="G1321" s="9" t="s">
        <v>15</v>
      </c>
      <c r="H1321" s="36" t="str">
        <f>IFERROR(VLOOKUP(Table2[[#This Row], [Ticket]],Okey!A:B,2,0),"")</f>
        <v>ok</v>
      </c>
      <c r="I1321" s="36" t="s">
        <v>5290</v>
      </c>
      <c r="J1321" s="36" t="str">
        <f>VLOOKUP(Table2[[#This Row], [Author]],People!A:B,2,0)</f>
        <v>LS</v>
      </c>
      <c r="M1321" s="36" t="s">
        <v>6354</v>
      </c>
    </row>
    <row r="1322" spans="1:13" hidden="1" x14ac:dyDescent="0.25">
      <c r="A1322" s="49">
        <f t="shared" si="21"/>
        <v>1320</v>
      </c>
      <c r="B1322" s="36" t="s">
        <v>3295</v>
      </c>
      <c r="C1322" s="36" t="s">
        <v>6639</v>
      </c>
      <c r="D1322" s="9" t="s">
        <v>6604</v>
      </c>
      <c r="F1322" s="36" t="s">
        <v>5786</v>
      </c>
      <c r="G1322" s="36" t="s">
        <v>13</v>
      </c>
      <c r="H1322" s="36" t="str">
        <f>IFERROR(VLOOKUP(Table2[[#This Row], [Ticket]],Okey!A:B,2,0),"")</f>
        <v>ok</v>
      </c>
      <c r="I1322" s="36" t="s">
        <v>5290</v>
      </c>
      <c r="J1322" s="36" t="str">
        <f>VLOOKUP(Table2[[#This Row], [Author]],People!A:B,2,0)</f>
        <v>LS</v>
      </c>
      <c r="K1322" s="36"/>
      <c r="L1322" s="36"/>
      <c r="M1322" s="36" t="s">
        <v>6354</v>
      </c>
    </row>
    <row r="1323" spans="1:13" hidden="1" x14ac:dyDescent="0.25">
      <c r="A1323" s="49">
        <f t="shared" si="21"/>
        <v>1321</v>
      </c>
      <c r="B1323" s="36" t="s">
        <v>3295</v>
      </c>
      <c r="C1323" s="9" t="s">
        <v>6649</v>
      </c>
      <c r="D1323" s="58" t="s">
        <v>3661</v>
      </c>
      <c r="E1323" s="59" t="s">
        <v>6648</v>
      </c>
      <c r="G1323" s="36" t="s">
        <v>15</v>
      </c>
      <c r="H1323" s="36" t="str">
        <f>IFERROR(VLOOKUP(Table2[[#This Row], [Ticket]],Okey!A:B,2,0),"")</f>
        <v>ok</v>
      </c>
      <c r="I1323" s="36" t="s">
        <v>5290</v>
      </c>
      <c r="J1323" s="36" t="str">
        <f>VLOOKUP(Table2[[#This Row], [Author]],People!A:B,2,0)</f>
        <v>MGF</v>
      </c>
      <c r="M1323" s="9" t="s">
        <v>4778</v>
      </c>
    </row>
    <row r="1324" spans="1:13" hidden="1" x14ac:dyDescent="0.25">
      <c r="A1324" s="49">
        <f t="shared" si="21"/>
        <v>1322</v>
      </c>
      <c r="B1324" s="36" t="s">
        <v>3295</v>
      </c>
      <c r="C1324" s="9" t="s">
        <v>6654</v>
      </c>
      <c r="D1324" s="55" t="s">
        <v>6655</v>
      </c>
      <c r="E1324" s="9" t="s">
        <v>6650</v>
      </c>
      <c r="F1324" s="9" t="s">
        <v>6653</v>
      </c>
      <c r="G1324" s="36" t="s">
        <v>14</v>
      </c>
      <c r="H1324" s="36" t="str">
        <f>IFERROR(VLOOKUP(Table2[[#This Row], [Ticket]],Okey!A:B,2,0),"")</f>
        <v>ok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9" t="s">
        <v>1613</v>
      </c>
    </row>
    <row r="1325" spans="1:13" hidden="1" x14ac:dyDescent="0.25">
      <c r="A1325" s="49">
        <f t="shared" si="21"/>
        <v>1323</v>
      </c>
      <c r="B1325" s="36" t="s">
        <v>3295</v>
      </c>
      <c r="C1325" s="36" t="s">
        <v>6654</v>
      </c>
      <c r="D1325" s="55" t="s">
        <v>6656</v>
      </c>
      <c r="E1325" s="9" t="s">
        <v>6651</v>
      </c>
      <c r="F1325" s="9" t="s">
        <v>6653</v>
      </c>
      <c r="G1325" s="36" t="s">
        <v>14</v>
      </c>
      <c r="H1325" s="36" t="str">
        <f>IFERROR(VLOOKUP(Table2[[#This Row], [Ticket]],Okey!A:B,2,0),"")</f>
        <v>ok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hidden="1" x14ac:dyDescent="0.25">
      <c r="A1326" s="49">
        <f t="shared" si="21"/>
        <v>1324</v>
      </c>
      <c r="B1326" s="36" t="s">
        <v>3295</v>
      </c>
      <c r="C1326" s="36" t="s">
        <v>6654</v>
      </c>
      <c r="D1326" s="55" t="s">
        <v>6657</v>
      </c>
      <c r="E1326" s="9" t="s">
        <v>6652</v>
      </c>
      <c r="F1326" s="9" t="s">
        <v>6653</v>
      </c>
      <c r="G1326" s="36" t="s">
        <v>14</v>
      </c>
      <c r="H1326" s="36" t="str">
        <f>IFERROR(VLOOKUP(Table2[[#This Row], [Ticket]],Okey!A:B,2,0),"")</f>
        <v>ok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hidden="1" x14ac:dyDescent="0.25">
      <c r="A1327" s="49">
        <f t="shared" si="21"/>
        <v>1325</v>
      </c>
      <c r="B1327" s="36" t="s">
        <v>3295</v>
      </c>
      <c r="C1327" s="9" t="s">
        <v>6658</v>
      </c>
      <c r="D1327" s="9" t="s">
        <v>6683</v>
      </c>
      <c r="E1327" s="9" t="s">
        <v>6659</v>
      </c>
      <c r="F1327" s="9" t="s">
        <v>6112</v>
      </c>
      <c r="G1327" s="36" t="s">
        <v>14</v>
      </c>
      <c r="H1327" s="36" t="str">
        <f>IFERROR(VLOOKUP(Table2[[#This Row], [Ticket]],Okey!A:B,2,0),"")</f>
        <v>ok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hidden="1" x14ac:dyDescent="0.25">
      <c r="A1328" s="49">
        <f t="shared" si="21"/>
        <v>1326</v>
      </c>
      <c r="B1328" s="36" t="s">
        <v>3295</v>
      </c>
      <c r="C1328" s="36" t="s">
        <v>6658</v>
      </c>
      <c r="D1328" s="9" t="s">
        <v>6691</v>
      </c>
      <c r="E1328" s="9" t="s">
        <v>6660</v>
      </c>
      <c r="F1328" s="9" t="s">
        <v>6683</v>
      </c>
      <c r="G1328" s="36" t="s">
        <v>14</v>
      </c>
      <c r="H1328" s="36" t="str">
        <f>IFERROR(VLOOKUP(Table2[[#This Row], [Ticket]],Okey!A:B,2,0),"")</f>
        <v>ok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hidden="1" x14ac:dyDescent="0.25">
      <c r="A1329" s="49">
        <f t="shared" si="21"/>
        <v>1327</v>
      </c>
      <c r="B1329" s="36" t="s">
        <v>3295</v>
      </c>
      <c r="C1329" s="36" t="s">
        <v>6658</v>
      </c>
      <c r="D1329" s="9" t="s">
        <v>6684</v>
      </c>
      <c r="E1329" s="9" t="s">
        <v>6661</v>
      </c>
      <c r="F1329" s="9" t="s">
        <v>6112</v>
      </c>
      <c r="G1329" s="36" t="s">
        <v>14</v>
      </c>
      <c r="H1329" s="36" t="str">
        <f>IFERROR(VLOOKUP(Table2[[#This Row], [Ticket]],Okey!A:B,2,0),"")</f>
        <v>ok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hidden="1" x14ac:dyDescent="0.25">
      <c r="A1330" s="49">
        <f t="shared" si="21"/>
        <v>1328</v>
      </c>
      <c r="B1330" s="36" t="s">
        <v>3295</v>
      </c>
      <c r="C1330" s="36" t="s">
        <v>6658</v>
      </c>
      <c r="D1330" s="9" t="s">
        <v>6692</v>
      </c>
      <c r="E1330" s="9" t="s">
        <v>6662</v>
      </c>
      <c r="F1330" s="9" t="s">
        <v>6684</v>
      </c>
      <c r="G1330" s="36" t="s">
        <v>14</v>
      </c>
      <c r="H1330" s="36" t="str">
        <f>IFERROR(VLOOKUP(Table2[[#This Row], [Ticket]],Okey!A:B,2,0),"")</f>
        <v>ok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hidden="1" x14ac:dyDescent="0.25">
      <c r="A1331" s="49">
        <f t="shared" si="21"/>
        <v>1329</v>
      </c>
      <c r="B1331" s="36" t="s">
        <v>3295</v>
      </c>
      <c r="C1331" s="36" t="s">
        <v>6658</v>
      </c>
      <c r="D1331" s="9" t="s">
        <v>6685</v>
      </c>
      <c r="E1331" s="9" t="s">
        <v>6663</v>
      </c>
      <c r="F1331" s="9" t="s">
        <v>6684</v>
      </c>
      <c r="G1331" s="36" t="s">
        <v>14</v>
      </c>
      <c r="H1331" s="36" t="str">
        <f>IFERROR(VLOOKUP(Table2[[#This Row], [Ticket]],Okey!A:B,2,0),"")</f>
        <v>ok</v>
      </c>
      <c r="I1331" s="9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hidden="1" x14ac:dyDescent="0.25">
      <c r="A1332" s="49">
        <f t="shared" si="21"/>
        <v>1330</v>
      </c>
      <c r="B1332" s="36" t="s">
        <v>3295</v>
      </c>
      <c r="C1332" s="36" t="s">
        <v>6658</v>
      </c>
      <c r="D1332" s="9" t="s">
        <v>6693</v>
      </c>
      <c r="E1332" s="9" t="s">
        <v>6664</v>
      </c>
      <c r="F1332" s="9" t="s">
        <v>6685</v>
      </c>
      <c r="G1332" s="36" t="s">
        <v>14</v>
      </c>
      <c r="H1332" s="36" t="str">
        <f>IFERROR(VLOOKUP(Table2[[#This Row], [Ticket]],Okey!A:B,2,0),"")</f>
        <v>ok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hidden="1" x14ac:dyDescent="0.25">
      <c r="A1333" s="49">
        <f t="shared" si="21"/>
        <v>1331</v>
      </c>
      <c r="B1333" s="36" t="s">
        <v>3295</v>
      </c>
      <c r="C1333" s="36" t="s">
        <v>6658</v>
      </c>
      <c r="D1333" s="9" t="s">
        <v>6694</v>
      </c>
      <c r="E1333" s="9" t="s">
        <v>6665</v>
      </c>
      <c r="F1333" s="9" t="s">
        <v>6685</v>
      </c>
      <c r="G1333" s="36" t="s">
        <v>14</v>
      </c>
      <c r="H1333" s="36" t="str">
        <f>IFERROR(VLOOKUP(Table2[[#This Row], [Ticket]],Okey!A:B,2,0),"")</f>
        <v>ok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hidden="1" x14ac:dyDescent="0.25">
      <c r="A1334" s="49">
        <f t="shared" si="21"/>
        <v>1332</v>
      </c>
      <c r="B1334" s="36" t="s">
        <v>3295</v>
      </c>
      <c r="C1334" s="36" t="s">
        <v>6658</v>
      </c>
      <c r="D1334" s="9" t="s">
        <v>6686</v>
      </c>
      <c r="E1334" s="9" t="s">
        <v>6666</v>
      </c>
      <c r="F1334" s="9" t="s">
        <v>6685</v>
      </c>
      <c r="G1334" s="36" t="s">
        <v>14</v>
      </c>
      <c r="H1334" s="36" t="str">
        <f>IFERROR(VLOOKUP(Table2[[#This Row], [Ticket]],Okey!A:B,2,0),"")</f>
        <v>ok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hidden="1" x14ac:dyDescent="0.25">
      <c r="A1335" s="49">
        <f t="shared" si="21"/>
        <v>1333</v>
      </c>
      <c r="B1335" s="36" t="s">
        <v>3295</v>
      </c>
      <c r="C1335" s="36" t="s">
        <v>6658</v>
      </c>
      <c r="D1335" s="9" t="s">
        <v>6695</v>
      </c>
      <c r="E1335" s="9" t="s">
        <v>6667</v>
      </c>
      <c r="F1335" s="9" t="s">
        <v>6686</v>
      </c>
      <c r="G1335" s="36" t="s">
        <v>14</v>
      </c>
      <c r="H1335" s="36" t="str">
        <f>IFERROR(VLOOKUP(Table2[[#This Row], [Ticket]],Okey!A:B,2,0),"")</f>
        <v>ok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hidden="1" x14ac:dyDescent="0.25">
      <c r="A1336" s="49">
        <f t="shared" si="21"/>
        <v>1334</v>
      </c>
      <c r="B1336" s="36" t="s">
        <v>3295</v>
      </c>
      <c r="C1336" s="36" t="s">
        <v>6658</v>
      </c>
      <c r="D1336" s="9" t="s">
        <v>6696</v>
      </c>
      <c r="E1336" s="9" t="s">
        <v>6668</v>
      </c>
      <c r="F1336" s="9" t="s">
        <v>6686</v>
      </c>
      <c r="G1336" s="36" t="s">
        <v>14</v>
      </c>
      <c r="H1336" s="36" t="str">
        <f>IFERROR(VLOOKUP(Table2[[#This Row], [Ticket]],Okey!A:B,2,0),"")</f>
        <v>ok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hidden="1" x14ac:dyDescent="0.25">
      <c r="A1337" s="49">
        <f t="shared" si="21"/>
        <v>1335</v>
      </c>
      <c r="B1337" s="36" t="s">
        <v>3295</v>
      </c>
      <c r="C1337" s="36" t="s">
        <v>6658</v>
      </c>
      <c r="D1337" s="9" t="s">
        <v>6687</v>
      </c>
      <c r="E1337" s="9" t="s">
        <v>6669</v>
      </c>
      <c r="F1337" s="9" t="s">
        <v>6685</v>
      </c>
      <c r="G1337" s="36" t="s">
        <v>14</v>
      </c>
      <c r="H1337" s="36" t="str">
        <f>IFERROR(VLOOKUP(Table2[[#This Row], [Ticket]],Okey!A:B,2,0),"")</f>
        <v>ok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hidden="1" x14ac:dyDescent="0.25">
      <c r="A1338" s="49">
        <f t="shared" si="21"/>
        <v>1336</v>
      </c>
      <c r="B1338" s="36" t="s">
        <v>3295</v>
      </c>
      <c r="C1338" s="36" t="s">
        <v>6658</v>
      </c>
      <c r="D1338" s="9" t="s">
        <v>6697</v>
      </c>
      <c r="E1338" s="9" t="s">
        <v>6670</v>
      </c>
      <c r="F1338" s="9" t="s">
        <v>6687</v>
      </c>
      <c r="G1338" s="36" t="s">
        <v>14</v>
      </c>
      <c r="H1338" s="36" t="str">
        <f>IFERROR(VLOOKUP(Table2[[#This Row], [Ticket]],Okey!A:B,2,0),"")</f>
        <v>ok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hidden="1" x14ac:dyDescent="0.25">
      <c r="A1339" s="49">
        <f t="shared" si="21"/>
        <v>1337</v>
      </c>
      <c r="B1339" s="36" t="s">
        <v>3295</v>
      </c>
      <c r="C1339" s="36" t="s">
        <v>6658</v>
      </c>
      <c r="D1339" s="9" t="s">
        <v>6698</v>
      </c>
      <c r="E1339" s="9" t="s">
        <v>6671</v>
      </c>
      <c r="F1339" s="9" t="s">
        <v>6687</v>
      </c>
      <c r="G1339" s="36" t="s">
        <v>14</v>
      </c>
      <c r="H1339" s="36" t="str">
        <f>IFERROR(VLOOKUP(Table2[[#This Row], [Ticket]],Okey!A:B,2,0),"")</f>
        <v>ok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hidden="1" x14ac:dyDescent="0.25">
      <c r="A1340" s="49">
        <f t="shared" si="21"/>
        <v>1338</v>
      </c>
      <c r="B1340" s="36" t="s">
        <v>3295</v>
      </c>
      <c r="C1340" s="36" t="s">
        <v>6658</v>
      </c>
      <c r="D1340" s="9" t="s">
        <v>6699</v>
      </c>
      <c r="E1340" s="9" t="s">
        <v>6672</v>
      </c>
      <c r="F1340" s="9" t="s">
        <v>6687</v>
      </c>
      <c r="G1340" s="36" t="s">
        <v>14</v>
      </c>
      <c r="H1340" s="36" t="str">
        <f>IFERROR(VLOOKUP(Table2[[#This Row], [Ticket]],Okey!A:B,2,0),"")</f>
        <v>ok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hidden="1" x14ac:dyDescent="0.25">
      <c r="A1341" s="49">
        <f t="shared" si="21"/>
        <v>1339</v>
      </c>
      <c r="B1341" s="36" t="s">
        <v>3295</v>
      </c>
      <c r="C1341" s="36" t="s">
        <v>6658</v>
      </c>
      <c r="D1341" s="9" t="s">
        <v>6700</v>
      </c>
      <c r="E1341" s="9" t="s">
        <v>6673</v>
      </c>
      <c r="F1341" s="9" t="s">
        <v>6687</v>
      </c>
      <c r="G1341" s="36" t="s">
        <v>14</v>
      </c>
      <c r="H1341" s="36" t="str">
        <f>IFERROR(VLOOKUP(Table2[[#This Row], [Ticket]],Okey!A:B,2,0),"")</f>
        <v>ok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hidden="1" x14ac:dyDescent="0.25">
      <c r="A1342" s="49">
        <f t="shared" si="21"/>
        <v>1340</v>
      </c>
      <c r="B1342" s="36" t="s">
        <v>3295</v>
      </c>
      <c r="C1342" s="36" t="s">
        <v>6658</v>
      </c>
      <c r="D1342" s="9" t="s">
        <v>6701</v>
      </c>
      <c r="E1342" s="9" t="s">
        <v>6674</v>
      </c>
      <c r="F1342" s="9" t="s">
        <v>6687</v>
      </c>
      <c r="G1342" s="36" t="s">
        <v>14</v>
      </c>
      <c r="H1342" s="36" t="str">
        <f>IFERROR(VLOOKUP(Table2[[#This Row], [Ticket]],Okey!A:B,2,0),"")</f>
        <v>ok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hidden="1" x14ac:dyDescent="0.25">
      <c r="A1343" s="49">
        <f t="shared" si="21"/>
        <v>1341</v>
      </c>
      <c r="B1343" s="36" t="s">
        <v>3295</v>
      </c>
      <c r="C1343" s="36" t="s">
        <v>6658</v>
      </c>
      <c r="D1343" s="9" t="s">
        <v>6688</v>
      </c>
      <c r="E1343" s="9" t="s">
        <v>6675</v>
      </c>
      <c r="F1343" s="9" t="s">
        <v>6684</v>
      </c>
      <c r="G1343" s="36" t="s">
        <v>14</v>
      </c>
      <c r="H1343" s="36" t="str">
        <f>IFERROR(VLOOKUP(Table2[[#This Row], [Ticket]],Okey!A:B,2,0),"")</f>
        <v>ok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hidden="1" x14ac:dyDescent="0.25">
      <c r="A1344" s="49">
        <f t="shared" si="21"/>
        <v>1342</v>
      </c>
      <c r="B1344" s="36" t="s">
        <v>3295</v>
      </c>
      <c r="C1344" s="36" t="s">
        <v>6658</v>
      </c>
      <c r="D1344" s="9" t="s">
        <v>6702</v>
      </c>
      <c r="E1344" s="9" t="s">
        <v>6676</v>
      </c>
      <c r="F1344" s="9" t="s">
        <v>6688</v>
      </c>
      <c r="G1344" s="36" t="s">
        <v>14</v>
      </c>
      <c r="H1344" s="36" t="str">
        <f>IFERROR(VLOOKUP(Table2[[#This Row], [Ticket]],Okey!A:B,2,0),"")</f>
        <v>ok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hidden="1" x14ac:dyDescent="0.25">
      <c r="A1345" s="49">
        <f t="shared" si="21"/>
        <v>1343</v>
      </c>
      <c r="B1345" s="36" t="s">
        <v>3295</v>
      </c>
      <c r="C1345" s="36" t="s">
        <v>6658</v>
      </c>
      <c r="D1345" s="9" t="s">
        <v>6689</v>
      </c>
      <c r="E1345" s="9" t="s">
        <v>6677</v>
      </c>
      <c r="F1345" s="9" t="s">
        <v>6688</v>
      </c>
      <c r="G1345" s="36" t="s">
        <v>14</v>
      </c>
      <c r="H1345" s="36" t="str">
        <f>IFERROR(VLOOKUP(Table2[[#This Row], [Ticket]],Okey!A:B,2,0),"")</f>
        <v>ok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hidden="1" x14ac:dyDescent="0.25">
      <c r="A1346" s="49">
        <f t="shared" si="21"/>
        <v>1344</v>
      </c>
      <c r="B1346" s="36" t="s">
        <v>3295</v>
      </c>
      <c r="C1346" s="36" t="s">
        <v>6658</v>
      </c>
      <c r="D1346" s="9" t="s">
        <v>6703</v>
      </c>
      <c r="E1346" s="9" t="s">
        <v>6678</v>
      </c>
      <c r="F1346" s="9" t="s">
        <v>6689</v>
      </c>
      <c r="G1346" s="36" t="s">
        <v>14</v>
      </c>
      <c r="H1346" s="36" t="str">
        <f>IFERROR(VLOOKUP(Table2[[#This Row], [Ticket]],Okey!A:B,2,0),"")</f>
        <v>ok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hidden="1" x14ac:dyDescent="0.25">
      <c r="A1347" s="49">
        <f t="shared" si="21"/>
        <v>1345</v>
      </c>
      <c r="B1347" s="36" t="s">
        <v>3295</v>
      </c>
      <c r="C1347" s="36" t="s">
        <v>6658</v>
      </c>
      <c r="D1347" s="9" t="s">
        <v>6704</v>
      </c>
      <c r="E1347" s="9" t="s">
        <v>6679</v>
      </c>
      <c r="F1347" s="9" t="s">
        <v>6689</v>
      </c>
      <c r="G1347" s="36" t="s">
        <v>14</v>
      </c>
      <c r="H1347" s="36" t="str">
        <f>IFERROR(VLOOKUP(Table2[[#This Row], [Ticket]],Okey!A:B,2,0),"")</f>
        <v>ok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hidden="1" x14ac:dyDescent="0.25">
      <c r="A1348" s="49">
        <f t="shared" si="21"/>
        <v>1346</v>
      </c>
      <c r="B1348" s="36" t="s">
        <v>3295</v>
      </c>
      <c r="C1348" s="36" t="s">
        <v>6658</v>
      </c>
      <c r="D1348" s="9" t="s">
        <v>6690</v>
      </c>
      <c r="E1348" s="9" t="s">
        <v>6680</v>
      </c>
      <c r="F1348" s="9" t="s">
        <v>6688</v>
      </c>
      <c r="G1348" s="36" t="s">
        <v>14</v>
      </c>
      <c r="H1348" s="36" t="str">
        <f>IFERROR(VLOOKUP(Table2[[#This Row], [Ticket]],Okey!A:B,2,0),"")</f>
        <v>ok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hidden="1" x14ac:dyDescent="0.25">
      <c r="A1349" s="49">
        <f t="shared" si="21"/>
        <v>1347</v>
      </c>
      <c r="B1349" s="36" t="s">
        <v>3295</v>
      </c>
      <c r="C1349" s="36" t="s">
        <v>6658</v>
      </c>
      <c r="D1349" s="9" t="s">
        <v>6705</v>
      </c>
      <c r="E1349" s="9" t="s">
        <v>6681</v>
      </c>
      <c r="F1349" s="9" t="s">
        <v>6690</v>
      </c>
      <c r="G1349" s="36" t="s">
        <v>14</v>
      </c>
      <c r="H1349" s="36" t="str">
        <f>IFERROR(VLOOKUP(Table2[[#This Row], [Ticket]],Okey!A:B,2,0),"")</f>
        <v>ok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hidden="1" x14ac:dyDescent="0.25">
      <c r="A1350" s="49">
        <f t="shared" si="21"/>
        <v>1348</v>
      </c>
      <c r="B1350" s="36" t="s">
        <v>3295</v>
      </c>
      <c r="C1350" s="36" t="s">
        <v>6658</v>
      </c>
      <c r="D1350" s="9" t="s">
        <v>6706</v>
      </c>
      <c r="E1350" s="9" t="s">
        <v>6682</v>
      </c>
      <c r="F1350" s="9" t="s">
        <v>6690</v>
      </c>
      <c r="G1350" s="36" t="s">
        <v>14</v>
      </c>
      <c r="H1350" s="36" t="str">
        <f>IFERROR(VLOOKUP(Table2[[#This Row], [Ticket]],Okey!A:B,2,0),"")</f>
        <v>ok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hidden="1" x14ac:dyDescent="0.25">
      <c r="A1351" s="49">
        <f t="shared" si="21"/>
        <v>1349</v>
      </c>
      <c r="B1351" s="36" t="s">
        <v>3295</v>
      </c>
      <c r="C1351" s="9" t="s">
        <v>6709</v>
      </c>
      <c r="D1351" s="9" t="s">
        <v>6710</v>
      </c>
      <c r="E1351" s="9" t="s">
        <v>6713</v>
      </c>
      <c r="F1351" s="9" t="s">
        <v>6707</v>
      </c>
      <c r="G1351" s="36" t="s">
        <v>16</v>
      </c>
      <c r="H1351" s="36" t="str">
        <f>IFERROR(VLOOKUP(Table2[[#This Row], [Ticket]],Okey!A:B,2,0),"")</f>
        <v>ok</v>
      </c>
      <c r="I1351" s="36" t="s">
        <v>5290</v>
      </c>
      <c r="J1351" s="36" t="str">
        <f>VLOOKUP(Table2[[#This Row], [Author]],People!A:B,2,0)</f>
        <v>MGF</v>
      </c>
      <c r="K1351" s="36"/>
      <c r="L1351" s="36"/>
      <c r="M1351" s="9" t="s">
        <v>4782</v>
      </c>
    </row>
    <row r="1352" spans="1:13" hidden="1" x14ac:dyDescent="0.25">
      <c r="A1352" s="49">
        <f t="shared" si="21"/>
        <v>1350</v>
      </c>
      <c r="B1352" s="36" t="s">
        <v>3295</v>
      </c>
      <c r="C1352" s="9" t="s">
        <v>6709</v>
      </c>
      <c r="D1352" s="9" t="s">
        <v>6711</v>
      </c>
      <c r="E1352" s="9" t="s">
        <v>6714</v>
      </c>
      <c r="F1352" s="9" t="s">
        <v>6707</v>
      </c>
      <c r="G1352" s="36" t="s">
        <v>16</v>
      </c>
      <c r="H1352" s="36" t="str">
        <f>IFERROR(VLOOKUP(Table2[[#This Row], [Ticket]],Okey!A:B,2,0),"")</f>
        <v>ok</v>
      </c>
      <c r="I1352" s="36" t="s">
        <v>5290</v>
      </c>
      <c r="J1352" s="36" t="str">
        <f>VLOOKUP(Table2[[#This Row], [Author]],People!A:B,2,0)</f>
        <v>MGF</v>
      </c>
      <c r="K1352" s="36"/>
      <c r="L1352" s="36"/>
      <c r="M1352" s="9" t="s">
        <v>4782</v>
      </c>
    </row>
    <row r="1353" spans="1:13" hidden="1" x14ac:dyDescent="0.25">
      <c r="A1353" s="49">
        <f t="shared" si="21"/>
        <v>1351</v>
      </c>
      <c r="B1353" s="36" t="s">
        <v>3295</v>
      </c>
      <c r="C1353" s="9" t="s">
        <v>6709</v>
      </c>
      <c r="D1353" s="9" t="s">
        <v>6712</v>
      </c>
      <c r="E1353" s="9" t="s">
        <v>6715</v>
      </c>
      <c r="F1353" s="9" t="s">
        <v>6708</v>
      </c>
      <c r="G1353" s="36" t="s">
        <v>16</v>
      </c>
      <c r="H1353" s="36" t="str">
        <f>IFERROR(VLOOKUP(Table2[[#This Row], [Ticket]],Okey!A:B,2,0),"")</f>
        <v>ok</v>
      </c>
      <c r="I1353" s="36" t="s">
        <v>5290</v>
      </c>
      <c r="J1353" s="36" t="str">
        <f>VLOOKUP(Table2[[#This Row], [Author]],People!A:B,2,0)</f>
        <v>MGF</v>
      </c>
      <c r="K1353" s="36"/>
      <c r="L1353" s="36"/>
      <c r="M1353" s="9" t="s">
        <v>4782</v>
      </c>
    </row>
    <row r="1354" spans="1:13" hidden="1" x14ac:dyDescent="0.25">
      <c r="A1354" s="49">
        <f t="shared" si="21"/>
        <v>1352</v>
      </c>
      <c r="B1354" s="36" t="s">
        <v>3295</v>
      </c>
      <c r="C1354" s="9" t="s">
        <v>6716</v>
      </c>
      <c r="D1354" s="9" t="s">
        <v>6685</v>
      </c>
      <c r="F1354" s="9" t="s">
        <v>6683</v>
      </c>
      <c r="G1354" s="9" t="s">
        <v>13</v>
      </c>
      <c r="H1354" s="36" t="str">
        <f>IFERROR(VLOOKUP(Table2[[#This Row], [Ticket]],Okey!A:B,2,0),"")</f>
        <v>ok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9" t="s">
        <v>1613</v>
      </c>
    </row>
    <row r="1355" spans="1:13" hidden="1" x14ac:dyDescent="0.25">
      <c r="A1355" s="49">
        <f t="shared" si="21"/>
        <v>1353</v>
      </c>
      <c r="B1355" s="36" t="s">
        <v>3295</v>
      </c>
      <c r="C1355" s="9" t="s">
        <v>6724</v>
      </c>
      <c r="D1355" s="54" t="s">
        <v>6725</v>
      </c>
      <c r="E1355" s="9" t="s">
        <v>6717</v>
      </c>
      <c r="F1355" s="9" t="s">
        <v>5278</v>
      </c>
      <c r="G1355" s="9" t="s">
        <v>14</v>
      </c>
      <c r="H1355" s="36" t="str">
        <f>IFERROR(VLOOKUP(Table2[[#This Row], [Ticket]],Okey!A:B,2,0),"")</f>
        <v>ok</v>
      </c>
      <c r="I1355" s="36" t="s">
        <v>5290</v>
      </c>
      <c r="J1355" s="36" t="str">
        <f>VLOOKUP(Table2[[#This Row],[Author]],People!A:B,2,0)</f>
        <v>LS</v>
      </c>
      <c r="K1355" s="36"/>
      <c r="L1355" s="36"/>
      <c r="M1355" s="9" t="s">
        <v>6354</v>
      </c>
    </row>
    <row r="1356" spans="1:13" hidden="1" x14ac:dyDescent="0.25">
      <c r="A1356" s="49">
        <f t="shared" si="21"/>
        <v>1354</v>
      </c>
      <c r="B1356" s="36" t="s">
        <v>3295</v>
      </c>
      <c r="C1356" s="36" t="s">
        <v>6724</v>
      </c>
      <c r="D1356" s="9" t="s">
        <v>6720</v>
      </c>
      <c r="E1356" s="9" t="s">
        <v>6717</v>
      </c>
      <c r="F1356" s="54" t="s">
        <v>6725</v>
      </c>
      <c r="G1356" s="36" t="s">
        <v>14</v>
      </c>
      <c r="H1356" s="36" t="str">
        <f>IFERROR(VLOOKUP(Table2[[#This Row], [Ticket]],Okey!A:B,2,0),"")</f>
        <v>ok</v>
      </c>
      <c r="I1356" s="36" t="s">
        <v>5290</v>
      </c>
      <c r="J1356" s="36" t="str">
        <f>VLOOKUP(Table2[[#This Row], [Author]],People!A:B,2,0)</f>
        <v>LS</v>
      </c>
      <c r="K1356" s="36"/>
      <c r="L1356" s="36"/>
      <c r="M1356" s="36" t="s">
        <v>6354</v>
      </c>
    </row>
    <row r="1357" spans="1:13" hidden="1" x14ac:dyDescent="0.25">
      <c r="A1357" s="49">
        <f t="shared" si="21"/>
        <v>1355</v>
      </c>
      <c r="B1357" s="36" t="s">
        <v>3295</v>
      </c>
      <c r="C1357" s="36" t="s">
        <v>6724</v>
      </c>
      <c r="D1357" s="54" t="s">
        <v>6726</v>
      </c>
      <c r="E1357" s="9" t="s">
        <v>6718</v>
      </c>
      <c r="F1357" s="9" t="s">
        <v>5278</v>
      </c>
      <c r="G1357" s="36" t="s">
        <v>14</v>
      </c>
      <c r="H1357" s="36" t="str">
        <f>IFERROR(VLOOKUP(Table2[[#This Row], [Ticket]],Okey!A:B,2,0),"")</f>
        <v>ok</v>
      </c>
      <c r="I1357" s="36" t="s">
        <v>5290</v>
      </c>
      <c r="J1357" s="36" t="str">
        <f>VLOOKUP(Table2[[#This Row], [Author]],People!A:B,2,0)</f>
        <v>LS</v>
      </c>
      <c r="K1357" s="36"/>
      <c r="L1357" s="36"/>
      <c r="M1357" s="36" t="s">
        <v>6354</v>
      </c>
    </row>
    <row r="1358" spans="1:13" hidden="1" x14ac:dyDescent="0.25">
      <c r="A1358" s="49">
        <f t="shared" si="21"/>
        <v>1356</v>
      </c>
      <c r="B1358" s="36" t="s">
        <v>3295</v>
      </c>
      <c r="C1358" s="36" t="s">
        <v>6724</v>
      </c>
      <c r="D1358" s="9" t="s">
        <v>6721</v>
      </c>
      <c r="E1358" s="9" t="s">
        <v>6718</v>
      </c>
      <c r="F1358" s="54" t="s">
        <v>6726</v>
      </c>
      <c r="G1358" s="36" t="s">
        <v>14</v>
      </c>
      <c r="H1358" s="36" t="str">
        <f>IFERROR(VLOOKUP(Table2[[#This Row], [Ticket]],Okey!A:B,2,0),"")</f>
        <v>ok</v>
      </c>
      <c r="I1358" s="36" t="s">
        <v>5290</v>
      </c>
      <c r="J1358" s="36" t="str">
        <f>VLOOKUP(Table2[[#This Row], [Author]],People!A:B,2,0)</f>
        <v>LS</v>
      </c>
      <c r="K1358" s="36"/>
      <c r="L1358" s="36"/>
      <c r="M1358" s="36" t="s">
        <v>6354</v>
      </c>
    </row>
    <row r="1359" spans="1:13" hidden="1" x14ac:dyDescent="0.25">
      <c r="A1359" s="49">
        <f t="shared" si="21"/>
        <v>1357</v>
      </c>
      <c r="B1359" s="36" t="s">
        <v>3295</v>
      </c>
      <c r="C1359" s="36" t="s">
        <v>6724</v>
      </c>
      <c r="D1359" s="54" t="s">
        <v>6727</v>
      </c>
      <c r="E1359" s="9" t="s">
        <v>6719</v>
      </c>
      <c r="F1359" s="9" t="s">
        <v>5278</v>
      </c>
      <c r="G1359" s="36" t="s">
        <v>14</v>
      </c>
      <c r="H1359" s="36" t="str">
        <f>IFERROR(VLOOKUP(Table2[[#This Row], [Ticket]],Okey!A:B,2,0),"")</f>
        <v>ok</v>
      </c>
      <c r="I1359" s="36" t="s">
        <v>5290</v>
      </c>
      <c r="J1359" s="36" t="str">
        <f>VLOOKUP(Table2[[#This Row], [Author]],People!A:B,2,0)</f>
        <v>LS</v>
      </c>
      <c r="K1359" s="36"/>
      <c r="L1359" s="36"/>
      <c r="M1359" s="36" t="s">
        <v>6354</v>
      </c>
    </row>
    <row r="1360" spans="1:13" hidden="1" x14ac:dyDescent="0.25">
      <c r="A1360" s="49">
        <f t="shared" si="21"/>
        <v>1358</v>
      </c>
      <c r="B1360" s="36" t="s">
        <v>3295</v>
      </c>
      <c r="C1360" s="36" t="s">
        <v>6724</v>
      </c>
      <c r="D1360" s="9" t="s">
        <v>6722</v>
      </c>
      <c r="E1360" s="9" t="s">
        <v>6719</v>
      </c>
      <c r="F1360" s="54" t="s">
        <v>6727</v>
      </c>
      <c r="G1360" s="36" t="s">
        <v>14</v>
      </c>
      <c r="H1360" s="36" t="str">
        <f>IFERROR(VLOOKUP(Table2[[#This Row], [Ticket]],Okey!A:B,2,0),"")</f>
        <v>ok</v>
      </c>
      <c r="I1360" s="36" t="s">
        <v>5290</v>
      </c>
      <c r="J1360" s="36" t="str">
        <f>VLOOKUP(Table2[[#This Row], [Author]],People!A:B,2,0)</f>
        <v>LS</v>
      </c>
      <c r="K1360" s="36"/>
      <c r="L1360" s="36"/>
      <c r="M1360" s="36" t="s">
        <v>6354</v>
      </c>
    </row>
    <row r="1361" spans="1:13" hidden="1" x14ac:dyDescent="0.25">
      <c r="A1361" s="49">
        <f t="shared" si="21"/>
        <v>1359</v>
      </c>
      <c r="B1361" s="36" t="s">
        <v>3295</v>
      </c>
      <c r="C1361" s="36" t="s">
        <v>6724</v>
      </c>
      <c r="D1361" s="9" t="s">
        <v>6647</v>
      </c>
      <c r="E1361" s="9" t="s">
        <v>6723</v>
      </c>
      <c r="G1361" s="9" t="s">
        <v>15</v>
      </c>
      <c r="H1361" s="36" t="str">
        <f>IFERROR(VLOOKUP(Table2[[#This Row], [Ticket]],Okey!A:B,2,0),"")</f>
        <v>ok</v>
      </c>
      <c r="I1361" s="9" t="s">
        <v>5290</v>
      </c>
      <c r="J1361" s="36" t="str">
        <f>VLOOKUP(Table2[[#This Row], [Author]],People!A:B,2,0)</f>
        <v>LS</v>
      </c>
      <c r="K1361" s="36"/>
      <c r="M1361" s="36" t="s">
        <v>6354</v>
      </c>
    </row>
    <row r="1362" spans="1:13" hidden="1" x14ac:dyDescent="0.25">
      <c r="A1362" s="49">
        <f t="shared" si="21"/>
        <v>1360</v>
      </c>
      <c r="B1362" s="36" t="s">
        <v>3295</v>
      </c>
      <c r="C1362" s="36" t="s">
        <v>6724</v>
      </c>
      <c r="D1362" s="9" t="s">
        <v>6644</v>
      </c>
      <c r="E1362" s="9" t="s">
        <v>6723</v>
      </c>
      <c r="G1362" s="36" t="s">
        <v>15</v>
      </c>
      <c r="H1362" s="36" t="str">
        <f>IFERROR(VLOOKUP(Table2[[#This Row], [Ticket]],Okey!A:B,2,0),"")</f>
        <v>ok</v>
      </c>
      <c r="I1362" s="9" t="s">
        <v>5290</v>
      </c>
      <c r="J1362" s="36" t="str">
        <f>VLOOKUP(Table2[[#This Row], [Author]],People!A:B,2,0)</f>
        <v>LS</v>
      </c>
      <c r="K1362" s="36"/>
      <c r="M1362" s="36" t="s">
        <v>6354</v>
      </c>
    </row>
    <row r="1363" spans="1:13" hidden="1" x14ac:dyDescent="0.25">
      <c r="A1363" s="49">
        <f t="shared" si="21"/>
        <v>1361</v>
      </c>
      <c r="B1363" s="36" t="s">
        <v>3295</v>
      </c>
      <c r="C1363" s="9" t="s">
        <v>6729</v>
      </c>
      <c r="D1363" s="9" t="s">
        <v>6732</v>
      </c>
      <c r="E1363" s="9" t="s">
        <v>6728</v>
      </c>
      <c r="F1363" s="9" t="s">
        <v>6731</v>
      </c>
      <c r="G1363" s="36" t="s">
        <v>14</v>
      </c>
      <c r="H1363" s="36" t="str">
        <f>IFERROR(VLOOKUP(Table2[[#This Row], [Ticket]],Okey!A:B,2,0),"")</f>
        <v>ok</v>
      </c>
      <c r="I1363" s="36" t="s">
        <v>5290</v>
      </c>
      <c r="J1363" s="36" t="str">
        <f>VLOOKUP(Table2[[#This Row], [Author]],People!A:B,2,0)</f>
        <v>LS</v>
      </c>
      <c r="K1363" s="36"/>
      <c r="L1363" s="36"/>
      <c r="M1363" s="9" t="s">
        <v>6730</v>
      </c>
    </row>
    <row r="1364" spans="1:13" hidden="1" x14ac:dyDescent="0.25">
      <c r="A1364" s="49">
        <f t="shared" ref="A1364" si="22">1+A1363</f>
        <v>1362</v>
      </c>
      <c r="B1364" s="36" t="s">
        <v>4</v>
      </c>
      <c r="C1364" s="9" t="s">
        <v>6733</v>
      </c>
      <c r="D1364" s="36" t="s">
        <v>6737</v>
      </c>
      <c r="E1364" s="9" t="s">
        <v>6734</v>
      </c>
      <c r="F1364" s="9" t="s">
        <v>990</v>
      </c>
      <c r="G1364" s="36" t="s">
        <v>14</v>
      </c>
      <c r="H1364" s="36" t="str">
        <f>IFERROR(VLOOKUP(Table2[[#This Row], [Ticket]],Okey!A:B,2,0),"")</f>
        <v>ok</v>
      </c>
      <c r="I1364" s="36" t="s">
        <v>5290</v>
      </c>
      <c r="J1364" s="36" t="str">
        <f>VLOOKUP(Table2[[#This Row],[Author]],People!A:B,2,0)</f>
        <v>LS</v>
      </c>
      <c r="K1364" s="36"/>
      <c r="L1364" s="36"/>
      <c r="M1364" s="36" t="s">
        <v>6354</v>
      </c>
    </row>
    <row r="1365" spans="1:13" hidden="1" x14ac:dyDescent="0.25">
      <c r="A1365" s="49">
        <f t="shared" ref="A1365:A1428" si="23">1+A1364</f>
        <v>1363</v>
      </c>
      <c r="B1365" s="36" t="s">
        <v>4</v>
      </c>
      <c r="C1365" s="36" t="s">
        <v>6733</v>
      </c>
      <c r="D1365" s="9" t="s">
        <v>6735</v>
      </c>
      <c r="E1365" s="9" t="s">
        <v>6736</v>
      </c>
      <c r="F1365" s="36" t="s">
        <v>6737</v>
      </c>
      <c r="G1365" s="36" t="s">
        <v>14</v>
      </c>
      <c r="H1365" s="36" t="str">
        <f>IFERROR(VLOOKUP(Table2[[#This Row], [Ticket]],Okey!A:B,2,0),"")</f>
        <v>ok</v>
      </c>
      <c r="I1365" s="36" t="s">
        <v>5290</v>
      </c>
      <c r="J1365" s="36" t="str">
        <f>VLOOKUP(Table2[[#This Row], [Author]],People!A:B,2,0)</f>
        <v>LS</v>
      </c>
      <c r="K1365" s="36"/>
      <c r="L1365" s="36"/>
      <c r="M1365" s="36" t="s">
        <v>6354</v>
      </c>
    </row>
    <row r="1366" spans="1:13" x14ac:dyDescent="0.25">
      <c r="A1366" s="49">
        <f t="shared" si="23"/>
        <v>1364</v>
      </c>
      <c r="B1366" s="36" t="s">
        <v>4</v>
      </c>
      <c r="C1366" s="9" t="s">
        <v>7158</v>
      </c>
      <c r="D1366" s="9" t="s">
        <v>7161</v>
      </c>
      <c r="E1366" s="9" t="s">
        <v>6738</v>
      </c>
      <c r="F1366" s="9" t="s">
        <v>6683</v>
      </c>
      <c r="G1366" s="36" t="s">
        <v>14</v>
      </c>
      <c r="H1366" s="36" t="str">
        <f>IFERROR(VLOOKUP(Table2[[#This Row], [Ticket]],Okey!A:B,2,0),"")</f>
        <v/>
      </c>
      <c r="I1366" s="36" t="s">
        <v>7581</v>
      </c>
      <c r="J1366" s="36" t="str">
        <f>VLOOKUP(Table2[[#This Row], [Author]],People!A:B,2,0)</f>
        <v>HC</v>
      </c>
      <c r="K1366" s="36"/>
      <c r="L1366" s="36"/>
      <c r="M1366" s="9" t="s">
        <v>1613</v>
      </c>
    </row>
    <row r="1367" spans="1:13" x14ac:dyDescent="0.25">
      <c r="A1367" s="49">
        <f t="shared" si="23"/>
        <v>1365</v>
      </c>
      <c r="B1367" s="36" t="s">
        <v>4</v>
      </c>
      <c r="C1367" s="36" t="s">
        <v>7158</v>
      </c>
      <c r="D1367" s="9" t="s">
        <v>7162</v>
      </c>
      <c r="E1367" s="9" t="s">
        <v>6739</v>
      </c>
      <c r="F1367" s="9" t="s">
        <v>7161</v>
      </c>
      <c r="G1367" s="36" t="s">
        <v>14</v>
      </c>
      <c r="H1367" s="36" t="str">
        <f>IFERROR(VLOOKUP(Table2[[#This Row], [Ticket]],Okey!A:B,2,0),"")</f>
        <v/>
      </c>
      <c r="I1367" s="36" t="s">
        <v>7581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x14ac:dyDescent="0.25">
      <c r="A1368" s="49">
        <f t="shared" si="23"/>
        <v>1366</v>
      </c>
      <c r="B1368" s="36" t="s">
        <v>4</v>
      </c>
      <c r="C1368" s="36" t="s">
        <v>7158</v>
      </c>
      <c r="D1368" s="9" t="s">
        <v>7163</v>
      </c>
      <c r="E1368" s="9" t="s">
        <v>6740</v>
      </c>
      <c r="F1368" s="9" t="s">
        <v>7161</v>
      </c>
      <c r="G1368" s="36" t="s">
        <v>14</v>
      </c>
      <c r="H1368" s="36" t="str">
        <f>IFERROR(VLOOKUP(Table2[[#This Row], [Ticket]],Okey!A:B,2,0),"")</f>
        <v/>
      </c>
      <c r="I1368" s="36" t="s">
        <v>7581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x14ac:dyDescent="0.25">
      <c r="A1369" s="49">
        <f t="shared" si="23"/>
        <v>1367</v>
      </c>
      <c r="B1369" s="36" t="s">
        <v>4</v>
      </c>
      <c r="C1369" s="36" t="s">
        <v>7158</v>
      </c>
      <c r="D1369" s="9" t="s">
        <v>7164</v>
      </c>
      <c r="E1369" s="9" t="s">
        <v>6741</v>
      </c>
      <c r="F1369" s="9" t="s">
        <v>7161</v>
      </c>
      <c r="G1369" s="36" t="s">
        <v>14</v>
      </c>
      <c r="H1369" s="36" t="str">
        <f>IFERROR(VLOOKUP(Table2[[#This Row], [Ticket]],Okey!A:B,2,0),"")</f>
        <v/>
      </c>
      <c r="I1369" s="36" t="s">
        <v>7581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x14ac:dyDescent="0.25">
      <c r="A1370" s="49">
        <f t="shared" si="23"/>
        <v>1368</v>
      </c>
      <c r="B1370" s="36" t="s">
        <v>4</v>
      </c>
      <c r="C1370" s="36" t="s">
        <v>7158</v>
      </c>
      <c r="D1370" s="9" t="s">
        <v>7165</v>
      </c>
      <c r="E1370" s="9" t="s">
        <v>6742</v>
      </c>
      <c r="F1370" s="9" t="s">
        <v>7164</v>
      </c>
      <c r="G1370" s="36" t="s">
        <v>14</v>
      </c>
      <c r="H1370" s="36" t="str">
        <f>IFERROR(VLOOKUP(Table2[[#This Row], [Ticket]],Okey!A:B,2,0),"")</f>
        <v/>
      </c>
      <c r="I1370" s="36" t="s">
        <v>7581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x14ac:dyDescent="0.25">
      <c r="A1371" s="49">
        <f t="shared" si="23"/>
        <v>1369</v>
      </c>
      <c r="B1371" s="36" t="s">
        <v>4</v>
      </c>
      <c r="C1371" s="36" t="s">
        <v>7158</v>
      </c>
      <c r="D1371" s="9" t="s">
        <v>7166</v>
      </c>
      <c r="E1371" s="9" t="s">
        <v>6743</v>
      </c>
      <c r="F1371" s="9" t="s">
        <v>7164</v>
      </c>
      <c r="G1371" s="36" t="s">
        <v>14</v>
      </c>
      <c r="H1371" s="36" t="str">
        <f>IFERROR(VLOOKUP(Table2[[#This Row], [Ticket]],Okey!A:B,2,0),"")</f>
        <v/>
      </c>
      <c r="I1371" s="36" t="s">
        <v>7581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x14ac:dyDescent="0.25">
      <c r="A1372" s="49">
        <f t="shared" si="23"/>
        <v>1370</v>
      </c>
      <c r="B1372" s="36" t="s">
        <v>4</v>
      </c>
      <c r="C1372" s="36" t="s">
        <v>7158</v>
      </c>
      <c r="D1372" s="9" t="s">
        <v>7167</v>
      </c>
      <c r="E1372" s="9" t="s">
        <v>6744</v>
      </c>
      <c r="F1372" s="9" t="s">
        <v>7161</v>
      </c>
      <c r="G1372" s="36" t="s">
        <v>14</v>
      </c>
      <c r="H1372" s="36" t="str">
        <f>IFERROR(VLOOKUP(Table2[[#This Row], [Ticket]],Okey!A:B,2,0),"")</f>
        <v/>
      </c>
      <c r="I1372" s="36" t="s">
        <v>7581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x14ac:dyDescent="0.25">
      <c r="A1373" s="49">
        <f t="shared" si="23"/>
        <v>1371</v>
      </c>
      <c r="B1373" s="36" t="s">
        <v>4</v>
      </c>
      <c r="C1373" s="36" t="s">
        <v>7158</v>
      </c>
      <c r="D1373" s="9" t="s">
        <v>7168</v>
      </c>
      <c r="E1373" s="9" t="s">
        <v>6745</v>
      </c>
      <c r="F1373" s="9" t="s">
        <v>7167</v>
      </c>
      <c r="G1373" s="36" t="s">
        <v>14</v>
      </c>
      <c r="H1373" s="36" t="str">
        <f>IFERROR(VLOOKUP(Table2[[#This Row], [Ticket]],Okey!A:B,2,0),"")</f>
        <v/>
      </c>
      <c r="I1373" s="36" t="s">
        <v>7581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x14ac:dyDescent="0.25">
      <c r="A1374" s="49">
        <f t="shared" si="23"/>
        <v>1372</v>
      </c>
      <c r="B1374" s="36" t="s">
        <v>4</v>
      </c>
      <c r="C1374" s="36" t="s">
        <v>7158</v>
      </c>
      <c r="D1374" s="9" t="s">
        <v>7169</v>
      </c>
      <c r="E1374" s="9" t="s">
        <v>6746</v>
      </c>
      <c r="F1374" s="9" t="s">
        <v>7167</v>
      </c>
      <c r="G1374" s="36" t="s">
        <v>14</v>
      </c>
      <c r="H1374" s="36" t="str">
        <f>IFERROR(VLOOKUP(Table2[[#This Row], [Ticket]],Okey!A:B,2,0),"")</f>
        <v/>
      </c>
      <c r="I1374" s="36" t="s">
        <v>7581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x14ac:dyDescent="0.25">
      <c r="A1375" s="49">
        <f t="shared" si="23"/>
        <v>1373</v>
      </c>
      <c r="B1375" s="36" t="s">
        <v>4</v>
      </c>
      <c r="C1375" s="36" t="s">
        <v>7158</v>
      </c>
      <c r="D1375" s="9" t="s">
        <v>7170</v>
      </c>
      <c r="E1375" s="9" t="s">
        <v>6747</v>
      </c>
      <c r="F1375" s="9" t="s">
        <v>7167</v>
      </c>
      <c r="G1375" s="36" t="s">
        <v>14</v>
      </c>
      <c r="H1375" s="36" t="str">
        <f>IFERROR(VLOOKUP(Table2[[#This Row], [Ticket]],Okey!A:B,2,0),"")</f>
        <v/>
      </c>
      <c r="I1375" s="36" t="s">
        <v>7581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x14ac:dyDescent="0.25">
      <c r="A1376" s="49">
        <f t="shared" si="23"/>
        <v>1374</v>
      </c>
      <c r="B1376" s="36" t="s">
        <v>4</v>
      </c>
      <c r="C1376" s="36" t="s">
        <v>7158</v>
      </c>
      <c r="D1376" s="9" t="s">
        <v>7171</v>
      </c>
      <c r="E1376" s="9" t="s">
        <v>6748</v>
      </c>
      <c r="F1376" s="9" t="s">
        <v>7167</v>
      </c>
      <c r="G1376" s="36" t="s">
        <v>14</v>
      </c>
      <c r="H1376" s="36" t="str">
        <f>IFERROR(VLOOKUP(Table2[[#This Row], [Ticket]],Okey!A:B,2,0),"")</f>
        <v/>
      </c>
      <c r="I1376" s="36" t="s">
        <v>7581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x14ac:dyDescent="0.25">
      <c r="A1377" s="49">
        <f t="shared" si="23"/>
        <v>1375</v>
      </c>
      <c r="B1377" s="36" t="s">
        <v>4</v>
      </c>
      <c r="C1377" s="36" t="s">
        <v>7158</v>
      </c>
      <c r="D1377" s="9" t="s">
        <v>7172</v>
      </c>
      <c r="E1377" s="9" t="s">
        <v>6749</v>
      </c>
      <c r="F1377" s="9" t="s">
        <v>7167</v>
      </c>
      <c r="G1377" s="36" t="s">
        <v>14</v>
      </c>
      <c r="H1377" s="36" t="str">
        <f>IFERROR(VLOOKUP(Table2[[#This Row], [Ticket]],Okey!A:B,2,0),"")</f>
        <v/>
      </c>
      <c r="I1377" s="36" t="s">
        <v>7581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x14ac:dyDescent="0.25">
      <c r="A1378" s="49">
        <f t="shared" si="23"/>
        <v>1376</v>
      </c>
      <c r="B1378" s="36" t="s">
        <v>4</v>
      </c>
      <c r="C1378" s="36" t="s">
        <v>7158</v>
      </c>
      <c r="D1378" s="9" t="s">
        <v>7173</v>
      </c>
      <c r="E1378" s="9" t="s">
        <v>6750</v>
      </c>
      <c r="F1378" s="9" t="s">
        <v>6684</v>
      </c>
      <c r="G1378" s="36" t="s">
        <v>14</v>
      </c>
      <c r="H1378" s="36" t="str">
        <f>IFERROR(VLOOKUP(Table2[[#This Row], [Ticket]],Okey!A:B,2,0),"")</f>
        <v/>
      </c>
      <c r="I1378" s="36" t="s">
        <v>7581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x14ac:dyDescent="0.25">
      <c r="A1379" s="49">
        <f t="shared" si="23"/>
        <v>1377</v>
      </c>
      <c r="B1379" s="36" t="s">
        <v>4</v>
      </c>
      <c r="C1379" s="36" t="s">
        <v>7158</v>
      </c>
      <c r="D1379" s="9" t="s">
        <v>7174</v>
      </c>
      <c r="E1379" s="9" t="s">
        <v>6751</v>
      </c>
      <c r="F1379" s="9" t="s">
        <v>7173</v>
      </c>
      <c r="G1379" s="36" t="s">
        <v>14</v>
      </c>
      <c r="H1379" s="36" t="str">
        <f>IFERROR(VLOOKUP(Table2[[#This Row], [Ticket]],Okey!A:B,2,0),"")</f>
        <v/>
      </c>
      <c r="I1379" s="36" t="s">
        <v>7581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x14ac:dyDescent="0.25">
      <c r="A1380" s="49">
        <f t="shared" si="23"/>
        <v>1378</v>
      </c>
      <c r="B1380" s="36" t="s">
        <v>4</v>
      </c>
      <c r="C1380" s="36" t="s">
        <v>7158</v>
      </c>
      <c r="D1380" s="9" t="s">
        <v>7175</v>
      </c>
      <c r="E1380" s="9" t="s">
        <v>6752</v>
      </c>
      <c r="F1380" s="9" t="s">
        <v>7173</v>
      </c>
      <c r="G1380" s="36" t="s">
        <v>14</v>
      </c>
      <c r="H1380" s="36" t="str">
        <f>IFERROR(VLOOKUP(Table2[[#This Row], [Ticket]],Okey!A:B,2,0),"")</f>
        <v/>
      </c>
      <c r="I1380" s="36" t="s">
        <v>7581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x14ac:dyDescent="0.25">
      <c r="A1381" s="49">
        <f t="shared" si="23"/>
        <v>1379</v>
      </c>
      <c r="B1381" s="36" t="s">
        <v>4</v>
      </c>
      <c r="C1381" s="36" t="s">
        <v>7158</v>
      </c>
      <c r="D1381" s="9" t="s">
        <v>7176</v>
      </c>
      <c r="E1381" s="9" t="s">
        <v>6753</v>
      </c>
      <c r="F1381" s="9" t="s">
        <v>7175</v>
      </c>
      <c r="G1381" s="36" t="s">
        <v>14</v>
      </c>
      <c r="H1381" s="36" t="str">
        <f>IFERROR(VLOOKUP(Table2[[#This Row], [Ticket]],Okey!A:B,2,0),"")</f>
        <v/>
      </c>
      <c r="I1381" s="36" t="s">
        <v>7581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x14ac:dyDescent="0.25">
      <c r="A1382" s="49">
        <f t="shared" si="23"/>
        <v>1380</v>
      </c>
      <c r="B1382" s="36" t="s">
        <v>4</v>
      </c>
      <c r="C1382" s="36" t="s">
        <v>7158</v>
      </c>
      <c r="D1382" s="9" t="s">
        <v>7177</v>
      </c>
      <c r="E1382" s="9" t="s">
        <v>6754</v>
      </c>
      <c r="F1382" s="9" t="s">
        <v>7175</v>
      </c>
      <c r="G1382" s="36" t="s">
        <v>14</v>
      </c>
      <c r="H1382" s="36" t="str">
        <f>IFERROR(VLOOKUP(Table2[[#This Row], [Ticket]],Okey!A:B,2,0),"")</f>
        <v/>
      </c>
      <c r="I1382" s="36" t="s">
        <v>7581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x14ac:dyDescent="0.25">
      <c r="A1383" s="49">
        <f t="shared" si="23"/>
        <v>1381</v>
      </c>
      <c r="B1383" s="36" t="s">
        <v>4</v>
      </c>
      <c r="C1383" s="36" t="s">
        <v>7158</v>
      </c>
      <c r="D1383" s="9" t="s">
        <v>7178</v>
      </c>
      <c r="E1383" s="9" t="s">
        <v>6755</v>
      </c>
      <c r="F1383" s="9" t="s">
        <v>7173</v>
      </c>
      <c r="G1383" s="36" t="s">
        <v>14</v>
      </c>
      <c r="H1383" s="36" t="str">
        <f>IFERROR(VLOOKUP(Table2[[#This Row], [Ticket]],Okey!A:B,2,0),"")</f>
        <v/>
      </c>
      <c r="I1383" s="36" t="s">
        <v>7581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x14ac:dyDescent="0.25">
      <c r="A1384" s="49">
        <f t="shared" si="23"/>
        <v>1382</v>
      </c>
      <c r="B1384" s="36" t="s">
        <v>4</v>
      </c>
      <c r="C1384" s="36" t="s">
        <v>7158</v>
      </c>
      <c r="D1384" s="9" t="s">
        <v>7179</v>
      </c>
      <c r="E1384" s="9" t="s">
        <v>6756</v>
      </c>
      <c r="F1384" s="9" t="s">
        <v>7178</v>
      </c>
      <c r="G1384" s="36" t="s">
        <v>14</v>
      </c>
      <c r="H1384" s="36" t="str">
        <f>IFERROR(VLOOKUP(Table2[[#This Row], [Ticket]],Okey!A:B,2,0),"")</f>
        <v/>
      </c>
      <c r="I1384" s="36" t="s">
        <v>7581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x14ac:dyDescent="0.25">
      <c r="A1385" s="49">
        <f t="shared" si="23"/>
        <v>1383</v>
      </c>
      <c r="B1385" s="36" t="s">
        <v>4</v>
      </c>
      <c r="C1385" s="36" t="s">
        <v>7158</v>
      </c>
      <c r="D1385" s="9" t="s">
        <v>7180</v>
      </c>
      <c r="E1385" s="9" t="s">
        <v>6757</v>
      </c>
      <c r="F1385" s="9" t="s">
        <v>7178</v>
      </c>
      <c r="G1385" s="36" t="s">
        <v>14</v>
      </c>
      <c r="H1385" s="36" t="str">
        <f>IFERROR(VLOOKUP(Table2[[#This Row], [Ticket]],Okey!A:B,2,0),"")</f>
        <v/>
      </c>
      <c r="I1385" s="36" t="s">
        <v>7581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x14ac:dyDescent="0.25">
      <c r="A1386" s="49">
        <f t="shared" si="23"/>
        <v>1384</v>
      </c>
      <c r="B1386" s="36" t="s">
        <v>4</v>
      </c>
      <c r="C1386" s="36" t="s">
        <v>7158</v>
      </c>
      <c r="D1386" s="9" t="s">
        <v>7181</v>
      </c>
      <c r="E1386" s="9" t="s">
        <v>6758</v>
      </c>
      <c r="F1386" s="9" t="s">
        <v>6683</v>
      </c>
      <c r="G1386" s="36" t="s">
        <v>14</v>
      </c>
      <c r="H1386" s="36" t="str">
        <f>IFERROR(VLOOKUP(Table2[[#This Row], [Ticket]],Okey!A:B,2,0),"")</f>
        <v/>
      </c>
      <c r="I1386" s="36" t="s">
        <v>7581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x14ac:dyDescent="0.25">
      <c r="A1387" s="49">
        <f t="shared" si="23"/>
        <v>1385</v>
      </c>
      <c r="B1387" s="36" t="s">
        <v>4</v>
      </c>
      <c r="C1387" s="36" t="s">
        <v>7158</v>
      </c>
      <c r="D1387" s="9" t="s">
        <v>7182</v>
      </c>
      <c r="E1387" s="9" t="s">
        <v>6759</v>
      </c>
      <c r="F1387" s="9" t="s">
        <v>7181</v>
      </c>
      <c r="G1387" s="36" t="s">
        <v>14</v>
      </c>
      <c r="H1387" s="36" t="str">
        <f>IFERROR(VLOOKUP(Table2[[#This Row], [Ticket]],Okey!A:B,2,0),"")</f>
        <v/>
      </c>
      <c r="I1387" s="36" t="s">
        <v>7581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x14ac:dyDescent="0.25">
      <c r="A1388" s="49">
        <f t="shared" si="23"/>
        <v>1386</v>
      </c>
      <c r="B1388" s="36" t="s">
        <v>4</v>
      </c>
      <c r="C1388" s="36" t="s">
        <v>7158</v>
      </c>
      <c r="D1388" s="9" t="s">
        <v>7183</v>
      </c>
      <c r="E1388" s="9" t="s">
        <v>6760</v>
      </c>
      <c r="F1388" s="9" t="s">
        <v>7181</v>
      </c>
      <c r="G1388" s="36" t="s">
        <v>14</v>
      </c>
      <c r="H1388" s="36" t="str">
        <f>IFERROR(VLOOKUP(Table2[[#This Row], [Ticket]],Okey!A:B,2,0),"")</f>
        <v/>
      </c>
      <c r="I1388" s="36" t="s">
        <v>7581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x14ac:dyDescent="0.25">
      <c r="A1389" s="49">
        <f t="shared" si="23"/>
        <v>1387</v>
      </c>
      <c r="B1389" s="36" t="s">
        <v>4</v>
      </c>
      <c r="C1389" s="36" t="s">
        <v>7158</v>
      </c>
      <c r="D1389" s="9" t="s">
        <v>7184</v>
      </c>
      <c r="E1389" s="9" t="s">
        <v>6761</v>
      </c>
      <c r="F1389" s="9" t="s">
        <v>7181</v>
      </c>
      <c r="G1389" s="36" t="s">
        <v>14</v>
      </c>
      <c r="H1389" s="36" t="str">
        <f>IFERROR(VLOOKUP(Table2[[#This Row], [Ticket]],Okey!A:B,2,0),"")</f>
        <v/>
      </c>
      <c r="I1389" s="36" t="s">
        <v>7581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x14ac:dyDescent="0.25">
      <c r="A1390" s="49">
        <f t="shared" si="23"/>
        <v>1388</v>
      </c>
      <c r="B1390" s="36" t="s">
        <v>4</v>
      </c>
      <c r="C1390" s="36" t="s">
        <v>7158</v>
      </c>
      <c r="D1390" s="9" t="s">
        <v>7185</v>
      </c>
      <c r="E1390" s="9" t="s">
        <v>6762</v>
      </c>
      <c r="F1390" s="9" t="s">
        <v>7184</v>
      </c>
      <c r="G1390" s="36" t="s">
        <v>14</v>
      </c>
      <c r="H1390" s="36" t="str">
        <f>IFERROR(VLOOKUP(Table2[[#This Row], [Ticket]],Okey!A:B,2,0),"")</f>
        <v/>
      </c>
      <c r="I1390" s="36" t="s">
        <v>7581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x14ac:dyDescent="0.25">
      <c r="A1391" s="49">
        <f t="shared" si="23"/>
        <v>1389</v>
      </c>
      <c r="B1391" s="36" t="s">
        <v>4</v>
      </c>
      <c r="C1391" s="36" t="s">
        <v>7158</v>
      </c>
      <c r="D1391" s="9" t="s">
        <v>7186</v>
      </c>
      <c r="E1391" s="9" t="s">
        <v>6763</v>
      </c>
      <c r="F1391" s="9" t="s">
        <v>7184</v>
      </c>
      <c r="G1391" s="36" t="s">
        <v>14</v>
      </c>
      <c r="H1391" s="36" t="str">
        <f>IFERROR(VLOOKUP(Table2[[#This Row], [Ticket]],Okey!A:B,2,0),"")</f>
        <v/>
      </c>
      <c r="I1391" s="36" t="s">
        <v>7581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x14ac:dyDescent="0.25">
      <c r="A1392" s="49">
        <f t="shared" si="23"/>
        <v>1390</v>
      </c>
      <c r="B1392" s="36" t="s">
        <v>4</v>
      </c>
      <c r="C1392" s="36" t="s">
        <v>7158</v>
      </c>
      <c r="D1392" s="9" t="s">
        <v>7187</v>
      </c>
      <c r="E1392" s="9" t="s">
        <v>6764</v>
      </c>
      <c r="F1392" s="9" t="s">
        <v>7181</v>
      </c>
      <c r="G1392" s="36" t="s">
        <v>14</v>
      </c>
      <c r="H1392" s="36" t="str">
        <f>IFERROR(VLOOKUP(Table2[[#This Row], [Ticket]],Okey!A:B,2,0),"")</f>
        <v/>
      </c>
      <c r="I1392" s="36" t="s">
        <v>7581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x14ac:dyDescent="0.25">
      <c r="A1393" s="49">
        <f t="shared" si="23"/>
        <v>1391</v>
      </c>
      <c r="B1393" s="36" t="s">
        <v>4</v>
      </c>
      <c r="C1393" s="36" t="s">
        <v>7158</v>
      </c>
      <c r="D1393" s="9" t="s">
        <v>7188</v>
      </c>
      <c r="E1393" s="9" t="s">
        <v>6765</v>
      </c>
      <c r="F1393" s="9" t="s">
        <v>7187</v>
      </c>
      <c r="G1393" s="36" t="s">
        <v>14</v>
      </c>
      <c r="H1393" s="36" t="str">
        <f>IFERROR(VLOOKUP(Table2[[#This Row], [Ticket]],Okey!A:B,2,0),"")</f>
        <v/>
      </c>
      <c r="I1393" s="36" t="s">
        <v>7581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x14ac:dyDescent="0.25">
      <c r="A1394" s="49">
        <f t="shared" si="23"/>
        <v>1392</v>
      </c>
      <c r="B1394" s="36" t="s">
        <v>4</v>
      </c>
      <c r="C1394" s="36" t="s">
        <v>7158</v>
      </c>
      <c r="D1394" s="9" t="s">
        <v>7189</v>
      </c>
      <c r="E1394" s="9" t="s">
        <v>6766</v>
      </c>
      <c r="F1394" s="9" t="s">
        <v>7187</v>
      </c>
      <c r="G1394" s="36" t="s">
        <v>14</v>
      </c>
      <c r="H1394" s="36" t="str">
        <f>IFERROR(VLOOKUP(Table2[[#This Row], [Ticket]],Okey!A:B,2,0),"")</f>
        <v/>
      </c>
      <c r="I1394" s="36" t="s">
        <v>7581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x14ac:dyDescent="0.25">
      <c r="A1395" s="49">
        <f t="shared" si="23"/>
        <v>1393</v>
      </c>
      <c r="B1395" s="36" t="s">
        <v>4</v>
      </c>
      <c r="C1395" s="36" t="s">
        <v>7158</v>
      </c>
      <c r="D1395" s="9" t="s">
        <v>7190</v>
      </c>
      <c r="E1395" s="9" t="s">
        <v>6767</v>
      </c>
      <c r="F1395" s="9" t="s">
        <v>7187</v>
      </c>
      <c r="G1395" s="36" t="s">
        <v>14</v>
      </c>
      <c r="H1395" s="36" t="str">
        <f>IFERROR(VLOOKUP(Table2[[#This Row], [Ticket]],Okey!A:B,2,0),"")</f>
        <v/>
      </c>
      <c r="I1395" s="36" t="s">
        <v>7581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x14ac:dyDescent="0.25">
      <c r="A1396" s="49">
        <f t="shared" si="23"/>
        <v>1394</v>
      </c>
      <c r="B1396" s="36" t="s">
        <v>4</v>
      </c>
      <c r="C1396" s="36" t="s">
        <v>7158</v>
      </c>
      <c r="D1396" s="9" t="s">
        <v>7191</v>
      </c>
      <c r="E1396" s="9" t="s">
        <v>6768</v>
      </c>
      <c r="F1396" s="9" t="s">
        <v>7187</v>
      </c>
      <c r="G1396" s="36" t="s">
        <v>14</v>
      </c>
      <c r="H1396" s="36" t="str">
        <f>IFERROR(VLOOKUP(Table2[[#This Row], [Ticket]],Okey!A:B,2,0),"")</f>
        <v/>
      </c>
      <c r="I1396" s="36" t="s">
        <v>7581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x14ac:dyDescent="0.25">
      <c r="A1397" s="49">
        <f t="shared" si="23"/>
        <v>1395</v>
      </c>
      <c r="B1397" s="36" t="s">
        <v>4</v>
      </c>
      <c r="C1397" s="36" t="s">
        <v>7158</v>
      </c>
      <c r="D1397" s="9" t="s">
        <v>7192</v>
      </c>
      <c r="E1397" s="9" t="s">
        <v>6769</v>
      </c>
      <c r="F1397" s="9" t="s">
        <v>7187</v>
      </c>
      <c r="G1397" s="36" t="s">
        <v>14</v>
      </c>
      <c r="H1397" s="36" t="str">
        <f>IFERROR(VLOOKUP(Table2[[#This Row], [Ticket]],Okey!A:B,2,0),"")</f>
        <v/>
      </c>
      <c r="I1397" s="36" t="s">
        <v>7581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x14ac:dyDescent="0.25">
      <c r="A1398" s="49">
        <f t="shared" si="23"/>
        <v>1396</v>
      </c>
      <c r="B1398" s="36" t="s">
        <v>4</v>
      </c>
      <c r="C1398" s="36" t="s">
        <v>7158</v>
      </c>
      <c r="D1398" s="9" t="s">
        <v>7193</v>
      </c>
      <c r="E1398" s="9" t="s">
        <v>6770</v>
      </c>
      <c r="F1398" s="9" t="s">
        <v>6684</v>
      </c>
      <c r="G1398" s="36" t="s">
        <v>14</v>
      </c>
      <c r="H1398" s="36" t="str">
        <f>IFERROR(VLOOKUP(Table2[[#This Row], [Ticket]],Okey!A:B,2,0),"")</f>
        <v/>
      </c>
      <c r="I1398" s="36" t="s">
        <v>7581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x14ac:dyDescent="0.25">
      <c r="A1399" s="49">
        <f t="shared" si="23"/>
        <v>1397</v>
      </c>
      <c r="B1399" s="36" t="s">
        <v>4</v>
      </c>
      <c r="C1399" s="36" t="s">
        <v>7158</v>
      </c>
      <c r="D1399" s="9" t="s">
        <v>7194</v>
      </c>
      <c r="E1399" s="9" t="s">
        <v>6771</v>
      </c>
      <c r="F1399" s="9" t="s">
        <v>7193</v>
      </c>
      <c r="G1399" s="36" t="s">
        <v>14</v>
      </c>
      <c r="H1399" s="36" t="str">
        <f>IFERROR(VLOOKUP(Table2[[#This Row], [Ticket]],Okey!A:B,2,0),"")</f>
        <v/>
      </c>
      <c r="I1399" s="36" t="s">
        <v>7581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x14ac:dyDescent="0.25">
      <c r="A1400" s="49">
        <f t="shared" si="23"/>
        <v>1398</v>
      </c>
      <c r="B1400" s="36" t="s">
        <v>4</v>
      </c>
      <c r="C1400" s="36" t="s">
        <v>7158</v>
      </c>
      <c r="D1400" s="9" t="s">
        <v>7195</v>
      </c>
      <c r="E1400" s="9" t="s">
        <v>6772</v>
      </c>
      <c r="F1400" s="9" t="s">
        <v>7193</v>
      </c>
      <c r="G1400" s="36" t="s">
        <v>14</v>
      </c>
      <c r="H1400" s="36" t="str">
        <f>IFERROR(VLOOKUP(Table2[[#This Row], [Ticket]],Okey!A:B,2,0),"")</f>
        <v/>
      </c>
      <c r="I1400" s="36" t="s">
        <v>7581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x14ac:dyDescent="0.25">
      <c r="A1401" s="49">
        <f t="shared" si="23"/>
        <v>1399</v>
      </c>
      <c r="B1401" s="36" t="s">
        <v>4</v>
      </c>
      <c r="C1401" s="36" t="s">
        <v>7158</v>
      </c>
      <c r="D1401" s="9" t="s">
        <v>7196</v>
      </c>
      <c r="E1401" s="9" t="s">
        <v>6773</v>
      </c>
      <c r="F1401" s="9" t="s">
        <v>7195</v>
      </c>
      <c r="G1401" s="36" t="s">
        <v>14</v>
      </c>
      <c r="H1401" s="36" t="str">
        <f>IFERROR(VLOOKUP(Table2[[#This Row], [Ticket]],Okey!A:B,2,0),"")</f>
        <v/>
      </c>
      <c r="I1401" s="36" t="s">
        <v>7581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x14ac:dyDescent="0.25">
      <c r="A1402" s="49">
        <f t="shared" si="23"/>
        <v>1400</v>
      </c>
      <c r="B1402" s="36" t="s">
        <v>4</v>
      </c>
      <c r="C1402" s="36" t="s">
        <v>7158</v>
      </c>
      <c r="D1402" s="9" t="s">
        <v>7197</v>
      </c>
      <c r="E1402" s="9" t="s">
        <v>6774</v>
      </c>
      <c r="F1402" s="9" t="s">
        <v>7195</v>
      </c>
      <c r="G1402" s="36" t="s">
        <v>14</v>
      </c>
      <c r="H1402" s="36" t="str">
        <f>IFERROR(VLOOKUP(Table2[[#This Row], [Ticket]],Okey!A:B,2,0),"")</f>
        <v/>
      </c>
      <c r="I1402" s="36" t="s">
        <v>7581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x14ac:dyDescent="0.25">
      <c r="A1403" s="49">
        <f t="shared" si="23"/>
        <v>1401</v>
      </c>
      <c r="B1403" s="36" t="s">
        <v>4</v>
      </c>
      <c r="C1403" s="36" t="s">
        <v>7158</v>
      </c>
      <c r="D1403" s="9" t="s">
        <v>7198</v>
      </c>
      <c r="E1403" s="9" t="s">
        <v>6775</v>
      </c>
      <c r="F1403" s="9" t="s">
        <v>7193</v>
      </c>
      <c r="G1403" s="36" t="s">
        <v>14</v>
      </c>
      <c r="H1403" s="36" t="str">
        <f>IFERROR(VLOOKUP(Table2[[#This Row], [Ticket]],Okey!A:B,2,0),"")</f>
        <v/>
      </c>
      <c r="I1403" s="36" t="s">
        <v>7581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x14ac:dyDescent="0.25">
      <c r="A1404" s="49">
        <f t="shared" si="23"/>
        <v>1402</v>
      </c>
      <c r="B1404" s="36" t="s">
        <v>4</v>
      </c>
      <c r="C1404" s="36" t="s">
        <v>7158</v>
      </c>
      <c r="D1404" s="9" t="s">
        <v>7199</v>
      </c>
      <c r="E1404" s="9" t="s">
        <v>6776</v>
      </c>
      <c r="F1404" s="9" t="s">
        <v>7198</v>
      </c>
      <c r="G1404" s="36" t="s">
        <v>14</v>
      </c>
      <c r="H1404" s="36" t="str">
        <f>IFERROR(VLOOKUP(Table2[[#This Row], [Ticket]],Okey!A:B,2,0),"")</f>
        <v/>
      </c>
      <c r="I1404" s="36" t="s">
        <v>7581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x14ac:dyDescent="0.25">
      <c r="A1405" s="49">
        <f t="shared" si="23"/>
        <v>1403</v>
      </c>
      <c r="B1405" s="36" t="s">
        <v>4</v>
      </c>
      <c r="C1405" s="36" t="s">
        <v>7158</v>
      </c>
      <c r="D1405" s="9" t="s">
        <v>7200</v>
      </c>
      <c r="E1405" s="9" t="s">
        <v>6777</v>
      </c>
      <c r="F1405" s="9" t="s">
        <v>7198</v>
      </c>
      <c r="G1405" s="36" t="s">
        <v>14</v>
      </c>
      <c r="H1405" s="36" t="str">
        <f>IFERROR(VLOOKUP(Table2[[#This Row], [Ticket]],Okey!A:B,2,0),"")</f>
        <v/>
      </c>
      <c r="I1405" s="36" t="s">
        <v>7581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x14ac:dyDescent="0.25">
      <c r="A1406" s="49">
        <f t="shared" si="23"/>
        <v>1404</v>
      </c>
      <c r="B1406" s="36" t="s">
        <v>4</v>
      </c>
      <c r="C1406" s="36" t="s">
        <v>7158</v>
      </c>
      <c r="D1406" s="9" t="s">
        <v>7201</v>
      </c>
      <c r="E1406" s="9" t="s">
        <v>6778</v>
      </c>
      <c r="F1406" s="9" t="s">
        <v>6683</v>
      </c>
      <c r="G1406" s="36" t="s">
        <v>14</v>
      </c>
      <c r="H1406" s="36" t="str">
        <f>IFERROR(VLOOKUP(Table2[[#This Row], [Ticket]],Okey!A:B,2,0),"")</f>
        <v/>
      </c>
      <c r="I1406" s="36" t="s">
        <v>7581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x14ac:dyDescent="0.25">
      <c r="A1407" s="49">
        <f t="shared" si="23"/>
        <v>1405</v>
      </c>
      <c r="B1407" s="36" t="s">
        <v>4</v>
      </c>
      <c r="C1407" s="36" t="s">
        <v>7158</v>
      </c>
      <c r="D1407" s="9" t="s">
        <v>7202</v>
      </c>
      <c r="E1407" s="9" t="s">
        <v>6779</v>
      </c>
      <c r="F1407" s="9" t="s">
        <v>7201</v>
      </c>
      <c r="G1407" s="36" t="s">
        <v>14</v>
      </c>
      <c r="H1407" s="36" t="str">
        <f>IFERROR(VLOOKUP(Table2[[#This Row], [Ticket]],Okey!A:B,2,0),"")</f>
        <v/>
      </c>
      <c r="I1407" s="36" t="s">
        <v>7581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x14ac:dyDescent="0.25">
      <c r="A1408" s="49">
        <f t="shared" si="23"/>
        <v>1406</v>
      </c>
      <c r="B1408" s="36" t="s">
        <v>4</v>
      </c>
      <c r="C1408" s="36" t="s">
        <v>7158</v>
      </c>
      <c r="D1408" s="9" t="s">
        <v>7203</v>
      </c>
      <c r="E1408" s="9" t="s">
        <v>6780</v>
      </c>
      <c r="F1408" s="9" t="s">
        <v>7201</v>
      </c>
      <c r="G1408" s="36" t="s">
        <v>14</v>
      </c>
      <c r="H1408" s="36" t="str">
        <f>IFERROR(VLOOKUP(Table2[[#This Row], [Ticket]],Okey!A:B,2,0),"")</f>
        <v/>
      </c>
      <c r="I1408" s="36" t="s">
        <v>7581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x14ac:dyDescent="0.25">
      <c r="A1409" s="49">
        <f t="shared" si="23"/>
        <v>1407</v>
      </c>
      <c r="B1409" s="36" t="s">
        <v>4</v>
      </c>
      <c r="C1409" s="36" t="s">
        <v>7158</v>
      </c>
      <c r="D1409" s="9" t="s">
        <v>7204</v>
      </c>
      <c r="E1409" s="9" t="s">
        <v>6781</v>
      </c>
      <c r="F1409" s="9" t="s">
        <v>7201</v>
      </c>
      <c r="G1409" s="36" t="s">
        <v>14</v>
      </c>
      <c r="H1409" s="36" t="str">
        <f>IFERROR(VLOOKUP(Table2[[#This Row], [Ticket]],Okey!A:B,2,0),"")</f>
        <v/>
      </c>
      <c r="I1409" s="36" t="s">
        <v>7581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x14ac:dyDescent="0.25">
      <c r="A1410" s="49">
        <f t="shared" si="23"/>
        <v>1408</v>
      </c>
      <c r="B1410" s="36" t="s">
        <v>4</v>
      </c>
      <c r="C1410" s="36" t="s">
        <v>7158</v>
      </c>
      <c r="D1410" s="9" t="s">
        <v>7205</v>
      </c>
      <c r="E1410" s="9" t="s">
        <v>6782</v>
      </c>
      <c r="F1410" s="9" t="s">
        <v>7204</v>
      </c>
      <c r="G1410" s="36" t="s">
        <v>14</v>
      </c>
      <c r="H1410" s="36" t="str">
        <f>IFERROR(VLOOKUP(Table2[[#This Row], [Ticket]],Okey!A:B,2,0),"")</f>
        <v/>
      </c>
      <c r="I1410" s="36" t="s">
        <v>7581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x14ac:dyDescent="0.25">
      <c r="A1411" s="49">
        <f t="shared" si="23"/>
        <v>1409</v>
      </c>
      <c r="B1411" s="36" t="s">
        <v>4</v>
      </c>
      <c r="C1411" s="36" t="s">
        <v>7158</v>
      </c>
      <c r="D1411" s="9" t="s">
        <v>7206</v>
      </c>
      <c r="E1411" s="9" t="s">
        <v>6783</v>
      </c>
      <c r="F1411" s="9" t="s">
        <v>7204</v>
      </c>
      <c r="G1411" s="36" t="s">
        <v>14</v>
      </c>
      <c r="H1411" s="36" t="str">
        <f>IFERROR(VLOOKUP(Table2[[#This Row], [Ticket]],Okey!A:B,2,0),"")</f>
        <v/>
      </c>
      <c r="I1411" s="36" t="s">
        <v>7581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x14ac:dyDescent="0.25">
      <c r="A1412" s="49">
        <f t="shared" si="23"/>
        <v>1410</v>
      </c>
      <c r="B1412" s="36" t="s">
        <v>4</v>
      </c>
      <c r="C1412" s="36" t="s">
        <v>7158</v>
      </c>
      <c r="D1412" s="9" t="s">
        <v>7207</v>
      </c>
      <c r="E1412" s="9" t="s">
        <v>6784</v>
      </c>
      <c r="F1412" s="9" t="s">
        <v>7201</v>
      </c>
      <c r="G1412" s="36" t="s">
        <v>14</v>
      </c>
      <c r="H1412" s="36" t="str">
        <f>IFERROR(VLOOKUP(Table2[[#This Row], [Ticket]],Okey!A:B,2,0),"")</f>
        <v/>
      </c>
      <c r="I1412" s="36" t="s">
        <v>7581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x14ac:dyDescent="0.25">
      <c r="A1413" s="49">
        <f t="shared" si="23"/>
        <v>1411</v>
      </c>
      <c r="B1413" s="36" t="s">
        <v>4</v>
      </c>
      <c r="C1413" s="36" t="s">
        <v>7158</v>
      </c>
      <c r="D1413" s="9" t="s">
        <v>7208</v>
      </c>
      <c r="E1413" s="9" t="s">
        <v>6785</v>
      </c>
      <c r="F1413" s="9" t="s">
        <v>7207</v>
      </c>
      <c r="G1413" s="36" t="s">
        <v>14</v>
      </c>
      <c r="H1413" s="36" t="str">
        <f>IFERROR(VLOOKUP(Table2[[#This Row], [Ticket]],Okey!A:B,2,0),"")</f>
        <v/>
      </c>
      <c r="I1413" s="36" t="s">
        <v>7581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x14ac:dyDescent="0.25">
      <c r="A1414" s="49">
        <f t="shared" si="23"/>
        <v>1412</v>
      </c>
      <c r="B1414" s="36" t="s">
        <v>4</v>
      </c>
      <c r="C1414" s="36" t="s">
        <v>7158</v>
      </c>
      <c r="D1414" s="9" t="s">
        <v>7209</v>
      </c>
      <c r="E1414" s="9" t="s">
        <v>6786</v>
      </c>
      <c r="F1414" s="9" t="s">
        <v>7207</v>
      </c>
      <c r="G1414" s="36" t="s">
        <v>14</v>
      </c>
      <c r="H1414" s="36" t="str">
        <f>IFERROR(VLOOKUP(Table2[[#This Row], [Ticket]],Okey!A:B,2,0),"")</f>
        <v/>
      </c>
      <c r="I1414" s="36" t="s">
        <v>7581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x14ac:dyDescent="0.25">
      <c r="A1415" s="49">
        <f t="shared" si="23"/>
        <v>1413</v>
      </c>
      <c r="B1415" s="36" t="s">
        <v>4</v>
      </c>
      <c r="C1415" s="36" t="s">
        <v>7158</v>
      </c>
      <c r="D1415" s="9" t="s">
        <v>7210</v>
      </c>
      <c r="E1415" s="9" t="s">
        <v>6787</v>
      </c>
      <c r="F1415" s="9" t="s">
        <v>7207</v>
      </c>
      <c r="G1415" s="36" t="s">
        <v>14</v>
      </c>
      <c r="H1415" s="36" t="str">
        <f>IFERROR(VLOOKUP(Table2[[#This Row], [Ticket]],Okey!A:B,2,0),"")</f>
        <v/>
      </c>
      <c r="I1415" s="36" t="s">
        <v>7581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x14ac:dyDescent="0.25">
      <c r="A1416" s="49">
        <f t="shared" si="23"/>
        <v>1414</v>
      </c>
      <c r="B1416" s="36" t="s">
        <v>4</v>
      </c>
      <c r="C1416" s="36" t="s">
        <v>7158</v>
      </c>
      <c r="D1416" s="9" t="s">
        <v>7211</v>
      </c>
      <c r="E1416" s="9" t="s">
        <v>6788</v>
      </c>
      <c r="F1416" s="9" t="s">
        <v>7207</v>
      </c>
      <c r="G1416" s="36" t="s">
        <v>14</v>
      </c>
      <c r="H1416" s="36" t="str">
        <f>IFERROR(VLOOKUP(Table2[[#This Row], [Ticket]],Okey!A:B,2,0),"")</f>
        <v/>
      </c>
      <c r="I1416" s="36" t="s">
        <v>7581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x14ac:dyDescent="0.25">
      <c r="A1417" s="49">
        <f t="shared" si="23"/>
        <v>1415</v>
      </c>
      <c r="B1417" s="36" t="s">
        <v>4</v>
      </c>
      <c r="C1417" s="36" t="s">
        <v>7158</v>
      </c>
      <c r="D1417" s="9" t="s">
        <v>7212</v>
      </c>
      <c r="E1417" s="9" t="s">
        <v>6789</v>
      </c>
      <c r="F1417" s="9" t="s">
        <v>7207</v>
      </c>
      <c r="G1417" s="36" t="s">
        <v>14</v>
      </c>
      <c r="H1417" s="36" t="str">
        <f>IFERROR(VLOOKUP(Table2[[#This Row], [Ticket]],Okey!A:B,2,0),"")</f>
        <v/>
      </c>
      <c r="I1417" s="36" t="s">
        <v>7581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x14ac:dyDescent="0.25">
      <c r="A1418" s="49">
        <f t="shared" si="23"/>
        <v>1416</v>
      </c>
      <c r="B1418" s="36" t="s">
        <v>4</v>
      </c>
      <c r="C1418" s="36" t="s">
        <v>7158</v>
      </c>
      <c r="D1418" s="9" t="s">
        <v>7213</v>
      </c>
      <c r="E1418" s="9" t="s">
        <v>6790</v>
      </c>
      <c r="F1418" s="9" t="s">
        <v>6684</v>
      </c>
      <c r="G1418" s="36" t="s">
        <v>14</v>
      </c>
      <c r="H1418" s="36" t="str">
        <f>IFERROR(VLOOKUP(Table2[[#This Row], [Ticket]],Okey!A:B,2,0),"")</f>
        <v/>
      </c>
      <c r="I1418" s="36" t="s">
        <v>7581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x14ac:dyDescent="0.25">
      <c r="A1419" s="49">
        <f t="shared" si="23"/>
        <v>1417</v>
      </c>
      <c r="B1419" s="36" t="s">
        <v>4</v>
      </c>
      <c r="C1419" s="36" t="s">
        <v>7158</v>
      </c>
      <c r="D1419" s="9" t="s">
        <v>7214</v>
      </c>
      <c r="E1419" s="9" t="s">
        <v>6791</v>
      </c>
      <c r="F1419" s="9" t="s">
        <v>7213</v>
      </c>
      <c r="G1419" s="36" t="s">
        <v>14</v>
      </c>
      <c r="H1419" s="36" t="str">
        <f>IFERROR(VLOOKUP(Table2[[#This Row], [Ticket]],Okey!A:B,2,0),"")</f>
        <v/>
      </c>
      <c r="I1419" s="36" t="s">
        <v>7581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x14ac:dyDescent="0.25">
      <c r="A1420" s="49">
        <f t="shared" si="23"/>
        <v>1418</v>
      </c>
      <c r="B1420" s="36" t="s">
        <v>4</v>
      </c>
      <c r="C1420" s="36" t="s">
        <v>7158</v>
      </c>
      <c r="D1420" s="9" t="s">
        <v>7215</v>
      </c>
      <c r="E1420" s="9" t="s">
        <v>6792</v>
      </c>
      <c r="F1420" s="9" t="s">
        <v>7213</v>
      </c>
      <c r="G1420" s="36" t="s">
        <v>14</v>
      </c>
      <c r="H1420" s="36" t="str">
        <f>IFERROR(VLOOKUP(Table2[[#This Row], [Ticket]],Okey!A:B,2,0),"")</f>
        <v/>
      </c>
      <c r="I1420" s="36" t="s">
        <v>7581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x14ac:dyDescent="0.25">
      <c r="A1421" s="49">
        <f t="shared" si="23"/>
        <v>1419</v>
      </c>
      <c r="B1421" s="36" t="s">
        <v>4</v>
      </c>
      <c r="C1421" s="36" t="s">
        <v>7158</v>
      </c>
      <c r="D1421" s="9" t="s">
        <v>7216</v>
      </c>
      <c r="E1421" s="9" t="s">
        <v>6793</v>
      </c>
      <c r="F1421" s="9" t="s">
        <v>7215</v>
      </c>
      <c r="G1421" s="36" t="s">
        <v>14</v>
      </c>
      <c r="H1421" s="36" t="str">
        <f>IFERROR(VLOOKUP(Table2[[#This Row], [Ticket]],Okey!A:B,2,0),"")</f>
        <v/>
      </c>
      <c r="I1421" s="36" t="s">
        <v>7581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x14ac:dyDescent="0.25">
      <c r="A1422" s="49">
        <f t="shared" si="23"/>
        <v>1420</v>
      </c>
      <c r="B1422" s="36" t="s">
        <v>4</v>
      </c>
      <c r="C1422" s="36" t="s">
        <v>7158</v>
      </c>
      <c r="D1422" s="9" t="s">
        <v>7217</v>
      </c>
      <c r="E1422" s="9" t="s">
        <v>6794</v>
      </c>
      <c r="F1422" s="9" t="s">
        <v>7215</v>
      </c>
      <c r="G1422" s="36" t="s">
        <v>14</v>
      </c>
      <c r="H1422" s="36" t="str">
        <f>IFERROR(VLOOKUP(Table2[[#This Row], [Ticket]],Okey!A:B,2,0),"")</f>
        <v/>
      </c>
      <c r="I1422" s="36" t="s">
        <v>7581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x14ac:dyDescent="0.25">
      <c r="A1423" s="49">
        <f t="shared" si="23"/>
        <v>1421</v>
      </c>
      <c r="B1423" s="36" t="s">
        <v>4</v>
      </c>
      <c r="C1423" s="36" t="s">
        <v>7158</v>
      </c>
      <c r="D1423" s="9" t="s">
        <v>7218</v>
      </c>
      <c r="E1423" s="9" t="s">
        <v>6795</v>
      </c>
      <c r="F1423" s="9" t="s">
        <v>7213</v>
      </c>
      <c r="G1423" s="36" t="s">
        <v>14</v>
      </c>
      <c r="H1423" s="36" t="str">
        <f>IFERROR(VLOOKUP(Table2[[#This Row], [Ticket]],Okey!A:B,2,0),"")</f>
        <v/>
      </c>
      <c r="I1423" s="36" t="s">
        <v>7581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x14ac:dyDescent="0.25">
      <c r="A1424" s="49">
        <f t="shared" si="23"/>
        <v>1422</v>
      </c>
      <c r="B1424" s="36" t="s">
        <v>4</v>
      </c>
      <c r="C1424" s="36" t="s">
        <v>7158</v>
      </c>
      <c r="D1424" s="9" t="s">
        <v>7219</v>
      </c>
      <c r="E1424" s="9" t="s">
        <v>6796</v>
      </c>
      <c r="F1424" s="9" t="s">
        <v>7218</v>
      </c>
      <c r="G1424" s="36" t="s">
        <v>14</v>
      </c>
      <c r="H1424" s="36" t="str">
        <f>IFERROR(VLOOKUP(Table2[[#This Row], [Ticket]],Okey!A:B,2,0),"")</f>
        <v/>
      </c>
      <c r="I1424" s="36" t="s">
        <v>7581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x14ac:dyDescent="0.25">
      <c r="A1425" s="49">
        <f t="shared" si="23"/>
        <v>1423</v>
      </c>
      <c r="B1425" s="36" t="s">
        <v>4</v>
      </c>
      <c r="C1425" s="36" t="s">
        <v>7158</v>
      </c>
      <c r="D1425" s="9" t="s">
        <v>7220</v>
      </c>
      <c r="E1425" s="9" t="s">
        <v>6797</v>
      </c>
      <c r="F1425" s="9" t="s">
        <v>7218</v>
      </c>
      <c r="G1425" s="36" t="s">
        <v>14</v>
      </c>
      <c r="H1425" s="36" t="str">
        <f>IFERROR(VLOOKUP(Table2[[#This Row], [Ticket]],Okey!A:B,2,0),"")</f>
        <v/>
      </c>
      <c r="I1425" s="36" t="s">
        <v>7581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x14ac:dyDescent="0.25">
      <c r="A1426" s="49">
        <f t="shared" si="23"/>
        <v>1424</v>
      </c>
      <c r="B1426" s="36" t="s">
        <v>4</v>
      </c>
      <c r="C1426" s="36" t="s">
        <v>7158</v>
      </c>
      <c r="D1426" s="9" t="s">
        <v>7221</v>
      </c>
      <c r="E1426" s="9" t="s">
        <v>6798</v>
      </c>
      <c r="F1426" s="9" t="s">
        <v>6683</v>
      </c>
      <c r="G1426" s="36" t="s">
        <v>14</v>
      </c>
      <c r="H1426" s="36" t="str">
        <f>IFERROR(VLOOKUP(Table2[[#This Row], [Ticket]],Okey!A:B,2,0),"")</f>
        <v/>
      </c>
      <c r="I1426" s="36" t="s">
        <v>7581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x14ac:dyDescent="0.25">
      <c r="A1427" s="49">
        <f t="shared" si="23"/>
        <v>1425</v>
      </c>
      <c r="B1427" s="36" t="s">
        <v>4</v>
      </c>
      <c r="C1427" s="36" t="s">
        <v>7158</v>
      </c>
      <c r="D1427" s="9" t="s">
        <v>7222</v>
      </c>
      <c r="E1427" s="9" t="s">
        <v>6799</v>
      </c>
      <c r="F1427" s="9" t="s">
        <v>7221</v>
      </c>
      <c r="G1427" s="36" t="s">
        <v>14</v>
      </c>
      <c r="H1427" s="36" t="str">
        <f>IFERROR(VLOOKUP(Table2[[#This Row], [Ticket]],Okey!A:B,2,0),"")</f>
        <v/>
      </c>
      <c r="I1427" s="36" t="s">
        <v>7581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x14ac:dyDescent="0.25">
      <c r="A1428" s="49">
        <f t="shared" si="23"/>
        <v>1426</v>
      </c>
      <c r="B1428" s="36" t="s">
        <v>4</v>
      </c>
      <c r="C1428" s="36" t="s">
        <v>7158</v>
      </c>
      <c r="D1428" s="9" t="s">
        <v>7223</v>
      </c>
      <c r="E1428" s="9" t="s">
        <v>6800</v>
      </c>
      <c r="F1428" s="9" t="s">
        <v>7221</v>
      </c>
      <c r="G1428" s="36" t="s">
        <v>14</v>
      </c>
      <c r="H1428" s="36" t="str">
        <f>IFERROR(VLOOKUP(Table2[[#This Row], [Ticket]],Okey!A:B,2,0),"")</f>
        <v/>
      </c>
      <c r="I1428" s="36" t="s">
        <v>7581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x14ac:dyDescent="0.25">
      <c r="A1429" s="49">
        <f t="shared" ref="A1429:A1492" si="24">1+A1428</f>
        <v>1427</v>
      </c>
      <c r="B1429" s="36" t="s">
        <v>4</v>
      </c>
      <c r="C1429" s="36" t="s">
        <v>7158</v>
      </c>
      <c r="D1429" s="9" t="s">
        <v>7224</v>
      </c>
      <c r="E1429" s="9" t="s">
        <v>6801</v>
      </c>
      <c r="F1429" s="9" t="s">
        <v>7221</v>
      </c>
      <c r="G1429" s="36" t="s">
        <v>14</v>
      </c>
      <c r="H1429" s="36" t="str">
        <f>IFERROR(VLOOKUP(Table2[[#This Row], [Ticket]],Okey!A:B,2,0),"")</f>
        <v/>
      </c>
      <c r="I1429" s="36" t="s">
        <v>7581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x14ac:dyDescent="0.25">
      <c r="A1430" s="49">
        <f t="shared" si="24"/>
        <v>1428</v>
      </c>
      <c r="B1430" s="36" t="s">
        <v>4</v>
      </c>
      <c r="C1430" s="36" t="s">
        <v>7158</v>
      </c>
      <c r="D1430" s="9" t="s">
        <v>7225</v>
      </c>
      <c r="E1430" s="9" t="s">
        <v>6802</v>
      </c>
      <c r="F1430" s="9" t="s">
        <v>7224</v>
      </c>
      <c r="G1430" s="36" t="s">
        <v>14</v>
      </c>
      <c r="H1430" s="36" t="str">
        <f>IFERROR(VLOOKUP(Table2[[#This Row], [Ticket]],Okey!A:B,2,0),"")</f>
        <v/>
      </c>
      <c r="I1430" s="36" t="s">
        <v>7581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x14ac:dyDescent="0.25">
      <c r="A1431" s="49">
        <f t="shared" si="24"/>
        <v>1429</v>
      </c>
      <c r="B1431" s="36" t="s">
        <v>4</v>
      </c>
      <c r="C1431" s="36" t="s">
        <v>7158</v>
      </c>
      <c r="D1431" s="9" t="s">
        <v>7226</v>
      </c>
      <c r="E1431" s="9" t="s">
        <v>6803</v>
      </c>
      <c r="F1431" s="9" t="s">
        <v>7224</v>
      </c>
      <c r="G1431" s="36" t="s">
        <v>14</v>
      </c>
      <c r="H1431" s="36" t="str">
        <f>IFERROR(VLOOKUP(Table2[[#This Row], [Ticket]],Okey!A:B,2,0),"")</f>
        <v/>
      </c>
      <c r="I1431" s="36" t="s">
        <v>7581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x14ac:dyDescent="0.25">
      <c r="A1432" s="49">
        <f t="shared" si="24"/>
        <v>1430</v>
      </c>
      <c r="B1432" s="36" t="s">
        <v>4</v>
      </c>
      <c r="C1432" s="36" t="s">
        <v>7158</v>
      </c>
      <c r="D1432" s="9" t="s">
        <v>7227</v>
      </c>
      <c r="E1432" s="9" t="s">
        <v>6804</v>
      </c>
      <c r="F1432" s="9" t="s">
        <v>7221</v>
      </c>
      <c r="G1432" s="36" t="s">
        <v>14</v>
      </c>
      <c r="H1432" s="36" t="str">
        <f>IFERROR(VLOOKUP(Table2[[#This Row], [Ticket]],Okey!A:B,2,0),"")</f>
        <v/>
      </c>
      <c r="I1432" s="36" t="s">
        <v>7581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x14ac:dyDescent="0.25">
      <c r="A1433" s="49">
        <f t="shared" si="24"/>
        <v>1431</v>
      </c>
      <c r="B1433" s="36" t="s">
        <v>4</v>
      </c>
      <c r="C1433" s="36" t="s">
        <v>7158</v>
      </c>
      <c r="D1433" s="9" t="s">
        <v>7228</v>
      </c>
      <c r="E1433" s="9" t="s">
        <v>6805</v>
      </c>
      <c r="F1433" s="9" t="s">
        <v>7227</v>
      </c>
      <c r="G1433" s="36" t="s">
        <v>14</v>
      </c>
      <c r="H1433" s="36" t="str">
        <f>IFERROR(VLOOKUP(Table2[[#This Row], [Ticket]],Okey!A:B,2,0),"")</f>
        <v/>
      </c>
      <c r="I1433" s="36" t="s">
        <v>7581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x14ac:dyDescent="0.25">
      <c r="A1434" s="49">
        <f t="shared" si="24"/>
        <v>1432</v>
      </c>
      <c r="B1434" s="36" t="s">
        <v>4</v>
      </c>
      <c r="C1434" s="36" t="s">
        <v>7158</v>
      </c>
      <c r="D1434" s="9" t="s">
        <v>7229</v>
      </c>
      <c r="E1434" s="9" t="s">
        <v>6806</v>
      </c>
      <c r="F1434" s="9" t="s">
        <v>7227</v>
      </c>
      <c r="G1434" s="36" t="s">
        <v>14</v>
      </c>
      <c r="H1434" s="36" t="str">
        <f>IFERROR(VLOOKUP(Table2[[#This Row], [Ticket]],Okey!A:B,2,0),"")</f>
        <v/>
      </c>
      <c r="I1434" s="36" t="s">
        <v>7581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x14ac:dyDescent="0.25">
      <c r="A1435" s="49">
        <f t="shared" si="24"/>
        <v>1433</v>
      </c>
      <c r="B1435" s="36" t="s">
        <v>4</v>
      </c>
      <c r="C1435" s="36" t="s">
        <v>7158</v>
      </c>
      <c r="D1435" s="9" t="s">
        <v>7230</v>
      </c>
      <c r="E1435" s="9" t="s">
        <v>6807</v>
      </c>
      <c r="F1435" s="9" t="s">
        <v>7227</v>
      </c>
      <c r="G1435" s="36" t="s">
        <v>14</v>
      </c>
      <c r="H1435" s="36" t="str">
        <f>IFERROR(VLOOKUP(Table2[[#This Row], [Ticket]],Okey!A:B,2,0),"")</f>
        <v/>
      </c>
      <c r="I1435" s="36" t="s">
        <v>7581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x14ac:dyDescent="0.25">
      <c r="A1436" s="49">
        <f t="shared" si="24"/>
        <v>1434</v>
      </c>
      <c r="B1436" s="36" t="s">
        <v>4</v>
      </c>
      <c r="C1436" s="36" t="s">
        <v>7158</v>
      </c>
      <c r="D1436" s="9" t="s">
        <v>7231</v>
      </c>
      <c r="E1436" s="9" t="s">
        <v>6808</v>
      </c>
      <c r="F1436" s="9" t="s">
        <v>7227</v>
      </c>
      <c r="G1436" s="36" t="s">
        <v>14</v>
      </c>
      <c r="H1436" s="36" t="str">
        <f>IFERROR(VLOOKUP(Table2[[#This Row], [Ticket]],Okey!A:B,2,0),"")</f>
        <v/>
      </c>
      <c r="I1436" s="36" t="s">
        <v>7581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x14ac:dyDescent="0.25">
      <c r="A1437" s="49">
        <f t="shared" si="24"/>
        <v>1435</v>
      </c>
      <c r="B1437" s="36" t="s">
        <v>4</v>
      </c>
      <c r="C1437" s="36" t="s">
        <v>7158</v>
      </c>
      <c r="D1437" s="9" t="s">
        <v>7232</v>
      </c>
      <c r="E1437" s="9" t="s">
        <v>6809</v>
      </c>
      <c r="F1437" s="9" t="s">
        <v>7227</v>
      </c>
      <c r="G1437" s="36" t="s">
        <v>14</v>
      </c>
      <c r="H1437" s="36" t="str">
        <f>IFERROR(VLOOKUP(Table2[[#This Row], [Ticket]],Okey!A:B,2,0),"")</f>
        <v/>
      </c>
      <c r="I1437" s="36" t="s">
        <v>7581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x14ac:dyDescent="0.25">
      <c r="A1438" s="49">
        <f t="shared" si="24"/>
        <v>1436</v>
      </c>
      <c r="B1438" s="36" t="s">
        <v>4</v>
      </c>
      <c r="C1438" s="36" t="s">
        <v>7158</v>
      </c>
      <c r="D1438" s="9" t="s">
        <v>7233</v>
      </c>
      <c r="E1438" s="9" t="s">
        <v>6810</v>
      </c>
      <c r="F1438" s="9" t="s">
        <v>6684</v>
      </c>
      <c r="G1438" s="36" t="s">
        <v>14</v>
      </c>
      <c r="H1438" s="36" t="str">
        <f>IFERROR(VLOOKUP(Table2[[#This Row], [Ticket]],Okey!A:B,2,0),"")</f>
        <v/>
      </c>
      <c r="I1438" s="36" t="s">
        <v>7581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x14ac:dyDescent="0.25">
      <c r="A1439" s="49">
        <f t="shared" si="24"/>
        <v>1437</v>
      </c>
      <c r="B1439" s="36" t="s">
        <v>4</v>
      </c>
      <c r="C1439" s="36" t="s">
        <v>7158</v>
      </c>
      <c r="D1439" s="9" t="s">
        <v>7234</v>
      </c>
      <c r="E1439" s="9" t="s">
        <v>6811</v>
      </c>
      <c r="F1439" s="9" t="s">
        <v>7233</v>
      </c>
      <c r="G1439" s="36" t="s">
        <v>14</v>
      </c>
      <c r="H1439" s="36" t="str">
        <f>IFERROR(VLOOKUP(Table2[[#This Row], [Ticket]],Okey!A:B,2,0),"")</f>
        <v/>
      </c>
      <c r="I1439" s="36" t="s">
        <v>7581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x14ac:dyDescent="0.25">
      <c r="A1440" s="49">
        <f t="shared" si="24"/>
        <v>1438</v>
      </c>
      <c r="B1440" s="36" t="s">
        <v>4</v>
      </c>
      <c r="C1440" s="36" t="s">
        <v>7158</v>
      </c>
      <c r="D1440" s="9" t="s">
        <v>7235</v>
      </c>
      <c r="E1440" s="9" t="s">
        <v>6812</v>
      </c>
      <c r="F1440" s="9" t="s">
        <v>7233</v>
      </c>
      <c r="G1440" s="36" t="s">
        <v>14</v>
      </c>
      <c r="H1440" s="36" t="str">
        <f>IFERROR(VLOOKUP(Table2[[#This Row], [Ticket]],Okey!A:B,2,0),"")</f>
        <v/>
      </c>
      <c r="I1440" s="36" t="s">
        <v>7581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x14ac:dyDescent="0.25">
      <c r="A1441" s="49">
        <f t="shared" si="24"/>
        <v>1439</v>
      </c>
      <c r="B1441" s="36" t="s">
        <v>4</v>
      </c>
      <c r="C1441" s="36" t="s">
        <v>7158</v>
      </c>
      <c r="D1441" s="9" t="s">
        <v>7236</v>
      </c>
      <c r="E1441" s="9" t="s">
        <v>6813</v>
      </c>
      <c r="F1441" s="9" t="s">
        <v>7235</v>
      </c>
      <c r="G1441" s="36" t="s">
        <v>14</v>
      </c>
      <c r="H1441" s="36" t="str">
        <f>IFERROR(VLOOKUP(Table2[[#This Row], [Ticket]],Okey!A:B,2,0),"")</f>
        <v/>
      </c>
      <c r="I1441" s="36" t="s">
        <v>7581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x14ac:dyDescent="0.25">
      <c r="A1442" s="49">
        <f t="shared" si="24"/>
        <v>1440</v>
      </c>
      <c r="B1442" s="36" t="s">
        <v>4</v>
      </c>
      <c r="C1442" s="36" t="s">
        <v>7158</v>
      </c>
      <c r="D1442" s="9" t="s">
        <v>7237</v>
      </c>
      <c r="E1442" s="9" t="s">
        <v>6814</v>
      </c>
      <c r="F1442" s="9" t="s">
        <v>7235</v>
      </c>
      <c r="G1442" s="36" t="s">
        <v>14</v>
      </c>
      <c r="H1442" s="36" t="str">
        <f>IFERROR(VLOOKUP(Table2[[#This Row], [Ticket]],Okey!A:B,2,0),"")</f>
        <v/>
      </c>
      <c r="I1442" s="36" t="s">
        <v>7581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x14ac:dyDescent="0.25">
      <c r="A1443" s="49">
        <f t="shared" si="24"/>
        <v>1441</v>
      </c>
      <c r="B1443" s="36" t="s">
        <v>4</v>
      </c>
      <c r="C1443" s="36" t="s">
        <v>7158</v>
      </c>
      <c r="D1443" s="9" t="s">
        <v>7238</v>
      </c>
      <c r="E1443" s="9" t="s">
        <v>6815</v>
      </c>
      <c r="F1443" s="9" t="s">
        <v>7233</v>
      </c>
      <c r="G1443" s="36" t="s">
        <v>14</v>
      </c>
      <c r="H1443" s="36" t="str">
        <f>IFERROR(VLOOKUP(Table2[[#This Row], [Ticket]],Okey!A:B,2,0),"")</f>
        <v/>
      </c>
      <c r="I1443" s="36" t="s">
        <v>7581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x14ac:dyDescent="0.25">
      <c r="A1444" s="49">
        <f t="shared" si="24"/>
        <v>1442</v>
      </c>
      <c r="B1444" s="36" t="s">
        <v>4</v>
      </c>
      <c r="C1444" s="36" t="s">
        <v>7158</v>
      </c>
      <c r="D1444" s="9" t="s">
        <v>7239</v>
      </c>
      <c r="E1444" s="9" t="s">
        <v>6816</v>
      </c>
      <c r="F1444" s="9" t="s">
        <v>7238</v>
      </c>
      <c r="G1444" s="36" t="s">
        <v>14</v>
      </c>
      <c r="H1444" s="36" t="str">
        <f>IFERROR(VLOOKUP(Table2[[#This Row], [Ticket]],Okey!A:B,2,0),"")</f>
        <v/>
      </c>
      <c r="I1444" s="36" t="s">
        <v>7581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x14ac:dyDescent="0.25">
      <c r="A1445" s="49">
        <f t="shared" si="24"/>
        <v>1443</v>
      </c>
      <c r="B1445" s="36" t="s">
        <v>4</v>
      </c>
      <c r="C1445" s="36" t="s">
        <v>7158</v>
      </c>
      <c r="D1445" s="9" t="s">
        <v>7240</v>
      </c>
      <c r="E1445" s="9" t="s">
        <v>6817</v>
      </c>
      <c r="F1445" s="9" t="s">
        <v>7238</v>
      </c>
      <c r="G1445" s="36" t="s">
        <v>14</v>
      </c>
      <c r="H1445" s="36" t="str">
        <f>IFERROR(VLOOKUP(Table2[[#This Row], [Ticket]],Okey!A:B,2,0),"")</f>
        <v/>
      </c>
      <c r="I1445" s="36" t="s">
        <v>7581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x14ac:dyDescent="0.25">
      <c r="A1446" s="49">
        <f t="shared" si="24"/>
        <v>1444</v>
      </c>
      <c r="B1446" s="36" t="s">
        <v>4</v>
      </c>
      <c r="C1446" s="36" t="s">
        <v>7158</v>
      </c>
      <c r="D1446" s="9" t="s">
        <v>7241</v>
      </c>
      <c r="E1446" s="9" t="s">
        <v>6818</v>
      </c>
      <c r="F1446" s="9" t="s">
        <v>6683</v>
      </c>
      <c r="G1446" s="36" t="s">
        <v>14</v>
      </c>
      <c r="H1446" s="36" t="str">
        <f>IFERROR(VLOOKUP(Table2[[#This Row], [Ticket]],Okey!A:B,2,0),"")</f>
        <v/>
      </c>
      <c r="I1446" s="36" t="s">
        <v>7581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x14ac:dyDescent="0.25">
      <c r="A1447" s="49">
        <f t="shared" si="24"/>
        <v>1445</v>
      </c>
      <c r="B1447" s="36" t="s">
        <v>4</v>
      </c>
      <c r="C1447" s="36" t="s">
        <v>7158</v>
      </c>
      <c r="D1447" s="9" t="s">
        <v>7242</v>
      </c>
      <c r="E1447" s="9" t="s">
        <v>6819</v>
      </c>
      <c r="F1447" s="9" t="s">
        <v>7241</v>
      </c>
      <c r="G1447" s="36" t="s">
        <v>14</v>
      </c>
      <c r="H1447" s="36" t="str">
        <f>IFERROR(VLOOKUP(Table2[[#This Row], [Ticket]],Okey!A:B,2,0),"")</f>
        <v/>
      </c>
      <c r="I1447" s="36" t="s">
        <v>7581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x14ac:dyDescent="0.25">
      <c r="A1448" s="49">
        <f t="shared" si="24"/>
        <v>1446</v>
      </c>
      <c r="B1448" s="36" t="s">
        <v>4</v>
      </c>
      <c r="C1448" s="36" t="s">
        <v>7158</v>
      </c>
      <c r="D1448" s="9" t="s">
        <v>7243</v>
      </c>
      <c r="E1448" s="9" t="s">
        <v>6820</v>
      </c>
      <c r="F1448" s="9" t="s">
        <v>7241</v>
      </c>
      <c r="G1448" s="36" t="s">
        <v>14</v>
      </c>
      <c r="H1448" s="36" t="str">
        <f>IFERROR(VLOOKUP(Table2[[#This Row], [Ticket]],Okey!A:B,2,0),"")</f>
        <v/>
      </c>
      <c r="I1448" s="36" t="s">
        <v>7581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x14ac:dyDescent="0.25">
      <c r="A1449" s="49">
        <f t="shared" si="24"/>
        <v>1447</v>
      </c>
      <c r="B1449" s="36" t="s">
        <v>4</v>
      </c>
      <c r="C1449" s="36" t="s">
        <v>7158</v>
      </c>
      <c r="D1449" s="9" t="s">
        <v>7244</v>
      </c>
      <c r="E1449" s="9" t="s">
        <v>6821</v>
      </c>
      <c r="F1449" s="9" t="s">
        <v>7241</v>
      </c>
      <c r="G1449" s="36" t="s">
        <v>14</v>
      </c>
      <c r="H1449" s="36" t="str">
        <f>IFERROR(VLOOKUP(Table2[[#This Row], [Ticket]],Okey!A:B,2,0),"")</f>
        <v/>
      </c>
      <c r="I1449" s="36" t="s">
        <v>7581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x14ac:dyDescent="0.25">
      <c r="A1450" s="49">
        <f t="shared" si="24"/>
        <v>1448</v>
      </c>
      <c r="B1450" s="36" t="s">
        <v>4</v>
      </c>
      <c r="C1450" s="36" t="s">
        <v>7158</v>
      </c>
      <c r="D1450" s="9" t="s">
        <v>7245</v>
      </c>
      <c r="E1450" s="9" t="s">
        <v>6822</v>
      </c>
      <c r="F1450" s="9" t="s">
        <v>7244</v>
      </c>
      <c r="G1450" s="36" t="s">
        <v>14</v>
      </c>
      <c r="H1450" s="36" t="str">
        <f>IFERROR(VLOOKUP(Table2[[#This Row], [Ticket]],Okey!A:B,2,0),"")</f>
        <v/>
      </c>
      <c r="I1450" s="36" t="s">
        <v>7581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x14ac:dyDescent="0.25">
      <c r="A1451" s="49">
        <f t="shared" si="24"/>
        <v>1449</v>
      </c>
      <c r="B1451" s="36" t="s">
        <v>4</v>
      </c>
      <c r="C1451" s="36" t="s">
        <v>7158</v>
      </c>
      <c r="D1451" s="9" t="s">
        <v>7246</v>
      </c>
      <c r="E1451" s="9" t="s">
        <v>6823</v>
      </c>
      <c r="F1451" s="9" t="s">
        <v>7244</v>
      </c>
      <c r="G1451" s="36" t="s">
        <v>14</v>
      </c>
      <c r="H1451" s="36" t="str">
        <f>IFERROR(VLOOKUP(Table2[[#This Row], [Ticket]],Okey!A:B,2,0),"")</f>
        <v/>
      </c>
      <c r="I1451" s="36" t="s">
        <v>7581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x14ac:dyDescent="0.25">
      <c r="A1452" s="49">
        <f t="shared" si="24"/>
        <v>1450</v>
      </c>
      <c r="B1452" s="36" t="s">
        <v>4</v>
      </c>
      <c r="C1452" s="36" t="s">
        <v>7158</v>
      </c>
      <c r="D1452" s="9" t="s">
        <v>7247</v>
      </c>
      <c r="E1452" s="9" t="s">
        <v>6824</v>
      </c>
      <c r="F1452" s="9" t="s">
        <v>7241</v>
      </c>
      <c r="G1452" s="36" t="s">
        <v>14</v>
      </c>
      <c r="H1452" s="36" t="str">
        <f>IFERROR(VLOOKUP(Table2[[#This Row], [Ticket]],Okey!A:B,2,0),"")</f>
        <v/>
      </c>
      <c r="I1452" s="36" t="s">
        <v>7581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x14ac:dyDescent="0.25">
      <c r="A1453" s="49">
        <f t="shared" si="24"/>
        <v>1451</v>
      </c>
      <c r="B1453" s="36" t="s">
        <v>4</v>
      </c>
      <c r="C1453" s="36" t="s">
        <v>7158</v>
      </c>
      <c r="D1453" s="9" t="s">
        <v>7248</v>
      </c>
      <c r="E1453" s="9" t="s">
        <v>6825</v>
      </c>
      <c r="F1453" s="9" t="s">
        <v>7247</v>
      </c>
      <c r="G1453" s="36" t="s">
        <v>14</v>
      </c>
      <c r="H1453" s="36" t="str">
        <f>IFERROR(VLOOKUP(Table2[[#This Row], [Ticket]],Okey!A:B,2,0),"")</f>
        <v/>
      </c>
      <c r="I1453" s="36" t="s">
        <v>7581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x14ac:dyDescent="0.25">
      <c r="A1454" s="49">
        <f t="shared" si="24"/>
        <v>1452</v>
      </c>
      <c r="B1454" s="36" t="s">
        <v>4</v>
      </c>
      <c r="C1454" s="36" t="s">
        <v>7158</v>
      </c>
      <c r="D1454" s="9" t="s">
        <v>7249</v>
      </c>
      <c r="E1454" s="9" t="s">
        <v>6826</v>
      </c>
      <c r="F1454" s="9" t="s">
        <v>7247</v>
      </c>
      <c r="G1454" s="36" t="s">
        <v>14</v>
      </c>
      <c r="H1454" s="36" t="str">
        <f>IFERROR(VLOOKUP(Table2[[#This Row], [Ticket]],Okey!A:B,2,0),"")</f>
        <v/>
      </c>
      <c r="I1454" s="36" t="s">
        <v>7581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x14ac:dyDescent="0.25">
      <c r="A1455" s="49">
        <f t="shared" si="24"/>
        <v>1453</v>
      </c>
      <c r="B1455" s="36" t="s">
        <v>4</v>
      </c>
      <c r="C1455" s="36" t="s">
        <v>7158</v>
      </c>
      <c r="D1455" s="9" t="s">
        <v>7250</v>
      </c>
      <c r="E1455" s="9" t="s">
        <v>6827</v>
      </c>
      <c r="F1455" s="9" t="s">
        <v>7247</v>
      </c>
      <c r="G1455" s="36" t="s">
        <v>14</v>
      </c>
      <c r="H1455" s="36" t="str">
        <f>IFERROR(VLOOKUP(Table2[[#This Row], [Ticket]],Okey!A:B,2,0),"")</f>
        <v/>
      </c>
      <c r="I1455" s="36" t="s">
        <v>7581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x14ac:dyDescent="0.25">
      <c r="A1456" s="49">
        <f t="shared" si="24"/>
        <v>1454</v>
      </c>
      <c r="B1456" s="36" t="s">
        <v>4</v>
      </c>
      <c r="C1456" s="36" t="s">
        <v>7158</v>
      </c>
      <c r="D1456" s="9" t="s">
        <v>7251</v>
      </c>
      <c r="E1456" s="9" t="s">
        <v>6828</v>
      </c>
      <c r="F1456" s="9" t="s">
        <v>7247</v>
      </c>
      <c r="G1456" s="36" t="s">
        <v>14</v>
      </c>
      <c r="H1456" s="36" t="str">
        <f>IFERROR(VLOOKUP(Table2[[#This Row], [Ticket]],Okey!A:B,2,0),"")</f>
        <v/>
      </c>
      <c r="I1456" s="36" t="s">
        <v>7581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x14ac:dyDescent="0.25">
      <c r="A1457" s="49">
        <f t="shared" si="24"/>
        <v>1455</v>
      </c>
      <c r="B1457" s="36" t="s">
        <v>4</v>
      </c>
      <c r="C1457" s="36" t="s">
        <v>7158</v>
      </c>
      <c r="D1457" s="9" t="s">
        <v>7252</v>
      </c>
      <c r="E1457" s="9" t="s">
        <v>6829</v>
      </c>
      <c r="F1457" s="9" t="s">
        <v>7247</v>
      </c>
      <c r="G1457" s="36" t="s">
        <v>14</v>
      </c>
      <c r="H1457" s="36" t="str">
        <f>IFERROR(VLOOKUP(Table2[[#This Row], [Ticket]],Okey!A:B,2,0),"")</f>
        <v/>
      </c>
      <c r="I1457" s="36" t="s">
        <v>7581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x14ac:dyDescent="0.25">
      <c r="A1458" s="49">
        <f t="shared" si="24"/>
        <v>1456</v>
      </c>
      <c r="B1458" s="36" t="s">
        <v>4</v>
      </c>
      <c r="C1458" s="36" t="s">
        <v>7158</v>
      </c>
      <c r="D1458" s="9" t="s">
        <v>7253</v>
      </c>
      <c r="E1458" s="9" t="s">
        <v>6830</v>
      </c>
      <c r="F1458" s="9" t="s">
        <v>6684</v>
      </c>
      <c r="G1458" s="36" t="s">
        <v>14</v>
      </c>
      <c r="H1458" s="36" t="str">
        <f>IFERROR(VLOOKUP(Table2[[#This Row], [Ticket]],Okey!A:B,2,0),"")</f>
        <v/>
      </c>
      <c r="I1458" s="36" t="s">
        <v>7581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x14ac:dyDescent="0.25">
      <c r="A1459" s="49">
        <f t="shared" si="24"/>
        <v>1457</v>
      </c>
      <c r="B1459" s="36" t="s">
        <v>4</v>
      </c>
      <c r="C1459" s="36" t="s">
        <v>7158</v>
      </c>
      <c r="D1459" s="9" t="s">
        <v>7254</v>
      </c>
      <c r="E1459" s="9" t="s">
        <v>6831</v>
      </c>
      <c r="F1459" s="9" t="s">
        <v>7253</v>
      </c>
      <c r="G1459" s="36" t="s">
        <v>14</v>
      </c>
      <c r="H1459" s="36" t="str">
        <f>IFERROR(VLOOKUP(Table2[[#This Row], [Ticket]],Okey!A:B,2,0),"")</f>
        <v/>
      </c>
      <c r="I1459" s="36" t="s">
        <v>7581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x14ac:dyDescent="0.25">
      <c r="A1460" s="49">
        <f t="shared" si="24"/>
        <v>1458</v>
      </c>
      <c r="B1460" s="36" t="s">
        <v>4</v>
      </c>
      <c r="C1460" s="36" t="s">
        <v>7158</v>
      </c>
      <c r="D1460" s="9" t="s">
        <v>7255</v>
      </c>
      <c r="E1460" s="9" t="s">
        <v>6832</v>
      </c>
      <c r="F1460" s="9" t="s">
        <v>7253</v>
      </c>
      <c r="G1460" s="36" t="s">
        <v>14</v>
      </c>
      <c r="H1460" s="36" t="str">
        <f>IFERROR(VLOOKUP(Table2[[#This Row], [Ticket]],Okey!A:B,2,0),"")</f>
        <v/>
      </c>
      <c r="I1460" s="36" t="s">
        <v>7581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x14ac:dyDescent="0.25">
      <c r="A1461" s="49">
        <f t="shared" si="24"/>
        <v>1459</v>
      </c>
      <c r="B1461" s="36" t="s">
        <v>4</v>
      </c>
      <c r="C1461" s="36" t="s">
        <v>7158</v>
      </c>
      <c r="D1461" s="9" t="s">
        <v>7256</v>
      </c>
      <c r="E1461" s="9" t="s">
        <v>6833</v>
      </c>
      <c r="F1461" s="9" t="s">
        <v>7255</v>
      </c>
      <c r="G1461" s="36" t="s">
        <v>14</v>
      </c>
      <c r="H1461" s="36" t="str">
        <f>IFERROR(VLOOKUP(Table2[[#This Row], [Ticket]],Okey!A:B,2,0),"")</f>
        <v/>
      </c>
      <c r="I1461" s="36" t="s">
        <v>7581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x14ac:dyDescent="0.25">
      <c r="A1462" s="49">
        <f t="shared" si="24"/>
        <v>1460</v>
      </c>
      <c r="B1462" s="36" t="s">
        <v>4</v>
      </c>
      <c r="C1462" s="36" t="s">
        <v>7158</v>
      </c>
      <c r="D1462" s="9" t="s">
        <v>7257</v>
      </c>
      <c r="E1462" s="9" t="s">
        <v>6834</v>
      </c>
      <c r="F1462" s="9" t="s">
        <v>7255</v>
      </c>
      <c r="G1462" s="36" t="s">
        <v>14</v>
      </c>
      <c r="H1462" s="36" t="str">
        <f>IFERROR(VLOOKUP(Table2[[#This Row], [Ticket]],Okey!A:B,2,0),"")</f>
        <v/>
      </c>
      <c r="I1462" s="36" t="s">
        <v>7581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x14ac:dyDescent="0.25">
      <c r="A1463" s="49">
        <f t="shared" si="24"/>
        <v>1461</v>
      </c>
      <c r="B1463" s="36" t="s">
        <v>4</v>
      </c>
      <c r="C1463" s="36" t="s">
        <v>7158</v>
      </c>
      <c r="D1463" s="9" t="s">
        <v>7258</v>
      </c>
      <c r="E1463" s="9" t="s">
        <v>6835</v>
      </c>
      <c r="F1463" s="9" t="s">
        <v>7253</v>
      </c>
      <c r="G1463" s="36" t="s">
        <v>14</v>
      </c>
      <c r="H1463" s="36" t="str">
        <f>IFERROR(VLOOKUP(Table2[[#This Row], [Ticket]],Okey!A:B,2,0),"")</f>
        <v/>
      </c>
      <c r="I1463" s="36" t="s">
        <v>7581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x14ac:dyDescent="0.25">
      <c r="A1464" s="49">
        <f t="shared" si="24"/>
        <v>1462</v>
      </c>
      <c r="B1464" s="36" t="s">
        <v>4</v>
      </c>
      <c r="C1464" s="36" t="s">
        <v>7158</v>
      </c>
      <c r="D1464" s="9" t="s">
        <v>7259</v>
      </c>
      <c r="E1464" s="9" t="s">
        <v>6836</v>
      </c>
      <c r="F1464" s="9" t="s">
        <v>7258</v>
      </c>
      <c r="G1464" s="36" t="s">
        <v>14</v>
      </c>
      <c r="H1464" s="36" t="str">
        <f>IFERROR(VLOOKUP(Table2[[#This Row], [Ticket]],Okey!A:B,2,0),"")</f>
        <v/>
      </c>
      <c r="I1464" s="36" t="s">
        <v>7581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x14ac:dyDescent="0.25">
      <c r="A1465" s="49">
        <f t="shared" si="24"/>
        <v>1463</v>
      </c>
      <c r="B1465" s="36" t="s">
        <v>4</v>
      </c>
      <c r="C1465" s="36" t="s">
        <v>7158</v>
      </c>
      <c r="D1465" s="9" t="s">
        <v>7260</v>
      </c>
      <c r="E1465" s="9" t="s">
        <v>6837</v>
      </c>
      <c r="F1465" s="9" t="s">
        <v>7258</v>
      </c>
      <c r="G1465" s="36" t="s">
        <v>14</v>
      </c>
      <c r="H1465" s="36" t="str">
        <f>IFERROR(VLOOKUP(Table2[[#This Row], [Ticket]],Okey!A:B,2,0),"")</f>
        <v/>
      </c>
      <c r="I1465" s="36" t="s">
        <v>7581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x14ac:dyDescent="0.25">
      <c r="A1466" s="49">
        <f t="shared" si="24"/>
        <v>1464</v>
      </c>
      <c r="B1466" s="36" t="s">
        <v>4</v>
      </c>
      <c r="C1466" s="36" t="s">
        <v>7158</v>
      </c>
      <c r="D1466" s="9" t="s">
        <v>7261</v>
      </c>
      <c r="E1466" s="9" t="s">
        <v>6838</v>
      </c>
      <c r="F1466" s="9" t="s">
        <v>6683</v>
      </c>
      <c r="G1466" s="36" t="s">
        <v>14</v>
      </c>
      <c r="H1466" s="36" t="str">
        <f>IFERROR(VLOOKUP(Table2[[#This Row], [Ticket]],Okey!A:B,2,0),"")</f>
        <v/>
      </c>
      <c r="I1466" s="36" t="s">
        <v>7581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x14ac:dyDescent="0.25">
      <c r="A1467" s="49">
        <f t="shared" si="24"/>
        <v>1465</v>
      </c>
      <c r="B1467" s="36" t="s">
        <v>4</v>
      </c>
      <c r="C1467" s="36" t="s">
        <v>7158</v>
      </c>
      <c r="D1467" s="9" t="s">
        <v>7262</v>
      </c>
      <c r="E1467" s="9" t="s">
        <v>6839</v>
      </c>
      <c r="F1467" s="9" t="s">
        <v>7261</v>
      </c>
      <c r="G1467" s="36" t="s">
        <v>14</v>
      </c>
      <c r="H1467" s="36" t="str">
        <f>IFERROR(VLOOKUP(Table2[[#This Row], [Ticket]],Okey!A:B,2,0),"")</f>
        <v/>
      </c>
      <c r="I1467" s="36" t="s">
        <v>7581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x14ac:dyDescent="0.25">
      <c r="A1468" s="49">
        <f t="shared" si="24"/>
        <v>1466</v>
      </c>
      <c r="B1468" s="36" t="s">
        <v>4</v>
      </c>
      <c r="C1468" s="36" t="s">
        <v>7158</v>
      </c>
      <c r="D1468" s="9" t="s">
        <v>7263</v>
      </c>
      <c r="E1468" s="9" t="s">
        <v>6840</v>
      </c>
      <c r="F1468" s="9" t="s">
        <v>7261</v>
      </c>
      <c r="G1468" s="36" t="s">
        <v>14</v>
      </c>
      <c r="H1468" s="36" t="str">
        <f>IFERROR(VLOOKUP(Table2[[#This Row], [Ticket]],Okey!A:B,2,0),"")</f>
        <v/>
      </c>
      <c r="I1468" s="36" t="s">
        <v>7581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x14ac:dyDescent="0.25">
      <c r="A1469" s="49">
        <f t="shared" si="24"/>
        <v>1467</v>
      </c>
      <c r="B1469" s="36" t="s">
        <v>4</v>
      </c>
      <c r="C1469" s="36" t="s">
        <v>7158</v>
      </c>
      <c r="D1469" s="9" t="s">
        <v>7264</v>
      </c>
      <c r="E1469" s="9" t="s">
        <v>6841</v>
      </c>
      <c r="F1469" s="9" t="s">
        <v>7261</v>
      </c>
      <c r="G1469" s="36" t="s">
        <v>14</v>
      </c>
      <c r="H1469" s="36" t="str">
        <f>IFERROR(VLOOKUP(Table2[[#This Row], [Ticket]],Okey!A:B,2,0),"")</f>
        <v/>
      </c>
      <c r="I1469" s="36" t="s">
        <v>7581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x14ac:dyDescent="0.25">
      <c r="A1470" s="49">
        <f t="shared" si="24"/>
        <v>1468</v>
      </c>
      <c r="B1470" s="36" t="s">
        <v>4</v>
      </c>
      <c r="C1470" s="36" t="s">
        <v>7158</v>
      </c>
      <c r="D1470" s="9" t="s">
        <v>7265</v>
      </c>
      <c r="E1470" s="9" t="s">
        <v>6842</v>
      </c>
      <c r="F1470" s="9" t="s">
        <v>7264</v>
      </c>
      <c r="G1470" s="36" t="s">
        <v>14</v>
      </c>
      <c r="H1470" s="36" t="str">
        <f>IFERROR(VLOOKUP(Table2[[#This Row], [Ticket]],Okey!A:B,2,0),"")</f>
        <v/>
      </c>
      <c r="I1470" s="36" t="s">
        <v>7581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x14ac:dyDescent="0.25">
      <c r="A1471" s="49">
        <f t="shared" si="24"/>
        <v>1469</v>
      </c>
      <c r="B1471" s="36" t="s">
        <v>4</v>
      </c>
      <c r="C1471" s="36" t="s">
        <v>7158</v>
      </c>
      <c r="D1471" s="9" t="s">
        <v>7266</v>
      </c>
      <c r="E1471" s="9" t="s">
        <v>6843</v>
      </c>
      <c r="F1471" s="9" t="s">
        <v>7264</v>
      </c>
      <c r="G1471" s="36" t="s">
        <v>14</v>
      </c>
      <c r="H1471" s="36" t="str">
        <f>IFERROR(VLOOKUP(Table2[[#This Row], [Ticket]],Okey!A:B,2,0),"")</f>
        <v/>
      </c>
      <c r="I1471" s="36" t="s">
        <v>7581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x14ac:dyDescent="0.25">
      <c r="A1472" s="49">
        <f t="shared" si="24"/>
        <v>1470</v>
      </c>
      <c r="B1472" s="36" t="s">
        <v>4</v>
      </c>
      <c r="C1472" s="36" t="s">
        <v>7158</v>
      </c>
      <c r="D1472" s="9" t="s">
        <v>7267</v>
      </c>
      <c r="E1472" s="9" t="s">
        <v>6844</v>
      </c>
      <c r="F1472" s="9" t="s">
        <v>7261</v>
      </c>
      <c r="G1472" s="36" t="s">
        <v>14</v>
      </c>
      <c r="H1472" s="36" t="str">
        <f>IFERROR(VLOOKUP(Table2[[#This Row], [Ticket]],Okey!A:B,2,0),"")</f>
        <v/>
      </c>
      <c r="I1472" s="36" t="s">
        <v>7581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x14ac:dyDescent="0.25">
      <c r="A1473" s="49">
        <f t="shared" si="24"/>
        <v>1471</v>
      </c>
      <c r="B1473" s="36" t="s">
        <v>4</v>
      </c>
      <c r="C1473" s="36" t="s">
        <v>7158</v>
      </c>
      <c r="D1473" s="9" t="s">
        <v>7268</v>
      </c>
      <c r="E1473" s="9" t="s">
        <v>6845</v>
      </c>
      <c r="F1473" s="9" t="s">
        <v>7267</v>
      </c>
      <c r="G1473" s="36" t="s">
        <v>14</v>
      </c>
      <c r="H1473" s="36" t="str">
        <f>IFERROR(VLOOKUP(Table2[[#This Row], [Ticket]],Okey!A:B,2,0),"")</f>
        <v/>
      </c>
      <c r="I1473" s="36" t="s">
        <v>7581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x14ac:dyDescent="0.25">
      <c r="A1474" s="49">
        <f t="shared" si="24"/>
        <v>1472</v>
      </c>
      <c r="B1474" s="36" t="s">
        <v>4</v>
      </c>
      <c r="C1474" s="36" t="s">
        <v>7158</v>
      </c>
      <c r="D1474" s="9" t="s">
        <v>7269</v>
      </c>
      <c r="E1474" s="9" t="s">
        <v>6846</v>
      </c>
      <c r="F1474" s="9" t="s">
        <v>7267</v>
      </c>
      <c r="G1474" s="36" t="s">
        <v>14</v>
      </c>
      <c r="H1474" s="36" t="str">
        <f>IFERROR(VLOOKUP(Table2[[#This Row], [Ticket]],Okey!A:B,2,0),"")</f>
        <v/>
      </c>
      <c r="I1474" s="36" t="s">
        <v>7581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x14ac:dyDescent="0.25">
      <c r="A1475" s="49">
        <f t="shared" si="24"/>
        <v>1473</v>
      </c>
      <c r="B1475" s="36" t="s">
        <v>4</v>
      </c>
      <c r="C1475" s="36" t="s">
        <v>7158</v>
      </c>
      <c r="D1475" s="9" t="s">
        <v>7270</v>
      </c>
      <c r="E1475" s="9" t="s">
        <v>6847</v>
      </c>
      <c r="F1475" s="9" t="s">
        <v>7267</v>
      </c>
      <c r="G1475" s="36" t="s">
        <v>14</v>
      </c>
      <c r="H1475" s="36" t="str">
        <f>IFERROR(VLOOKUP(Table2[[#This Row], [Ticket]],Okey!A:B,2,0),"")</f>
        <v/>
      </c>
      <c r="I1475" s="36" t="s">
        <v>7581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x14ac:dyDescent="0.25">
      <c r="A1476" s="49">
        <f t="shared" si="24"/>
        <v>1474</v>
      </c>
      <c r="B1476" s="36" t="s">
        <v>4</v>
      </c>
      <c r="C1476" s="36" t="s">
        <v>7158</v>
      </c>
      <c r="D1476" s="9" t="s">
        <v>7271</v>
      </c>
      <c r="E1476" s="9" t="s">
        <v>6848</v>
      </c>
      <c r="F1476" s="9" t="s">
        <v>7267</v>
      </c>
      <c r="G1476" s="36" t="s">
        <v>14</v>
      </c>
      <c r="H1476" s="36" t="str">
        <f>IFERROR(VLOOKUP(Table2[[#This Row], [Ticket]],Okey!A:B,2,0),"")</f>
        <v/>
      </c>
      <c r="I1476" s="36" t="s">
        <v>7581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x14ac:dyDescent="0.25">
      <c r="A1477" s="49">
        <f t="shared" si="24"/>
        <v>1475</v>
      </c>
      <c r="B1477" s="36" t="s">
        <v>4</v>
      </c>
      <c r="C1477" s="36" t="s">
        <v>7158</v>
      </c>
      <c r="D1477" s="9" t="s">
        <v>7272</v>
      </c>
      <c r="E1477" s="9" t="s">
        <v>6849</v>
      </c>
      <c r="F1477" s="9" t="s">
        <v>7267</v>
      </c>
      <c r="G1477" s="36" t="s">
        <v>14</v>
      </c>
      <c r="H1477" s="36" t="str">
        <f>IFERROR(VLOOKUP(Table2[[#This Row], [Ticket]],Okey!A:B,2,0),"")</f>
        <v/>
      </c>
      <c r="I1477" s="36" t="s">
        <v>7581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x14ac:dyDescent="0.25">
      <c r="A1478" s="49">
        <f t="shared" si="24"/>
        <v>1476</v>
      </c>
      <c r="B1478" s="36" t="s">
        <v>4</v>
      </c>
      <c r="C1478" s="36" t="s">
        <v>7158</v>
      </c>
      <c r="D1478" s="9" t="s">
        <v>7273</v>
      </c>
      <c r="E1478" s="9" t="s">
        <v>6850</v>
      </c>
      <c r="F1478" s="9" t="s">
        <v>6684</v>
      </c>
      <c r="G1478" s="36" t="s">
        <v>14</v>
      </c>
      <c r="H1478" s="36" t="str">
        <f>IFERROR(VLOOKUP(Table2[[#This Row], [Ticket]],Okey!A:B,2,0),"")</f>
        <v/>
      </c>
      <c r="I1478" s="36" t="s">
        <v>7581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x14ac:dyDescent="0.25">
      <c r="A1479" s="49">
        <f t="shared" si="24"/>
        <v>1477</v>
      </c>
      <c r="B1479" s="36" t="s">
        <v>4</v>
      </c>
      <c r="C1479" s="36" t="s">
        <v>7158</v>
      </c>
      <c r="D1479" s="9" t="s">
        <v>7274</v>
      </c>
      <c r="E1479" s="9" t="s">
        <v>6851</v>
      </c>
      <c r="F1479" s="9" t="s">
        <v>7273</v>
      </c>
      <c r="G1479" s="36" t="s">
        <v>14</v>
      </c>
      <c r="H1479" s="36" t="str">
        <f>IFERROR(VLOOKUP(Table2[[#This Row], [Ticket]],Okey!A:B,2,0),"")</f>
        <v/>
      </c>
      <c r="I1479" s="36" t="s">
        <v>7581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x14ac:dyDescent="0.25">
      <c r="A1480" s="49">
        <f t="shared" si="24"/>
        <v>1478</v>
      </c>
      <c r="B1480" s="36" t="s">
        <v>4</v>
      </c>
      <c r="C1480" s="36" t="s">
        <v>7158</v>
      </c>
      <c r="D1480" s="9" t="s">
        <v>7275</v>
      </c>
      <c r="E1480" s="9" t="s">
        <v>6852</v>
      </c>
      <c r="F1480" s="9" t="s">
        <v>7273</v>
      </c>
      <c r="G1480" s="36" t="s">
        <v>14</v>
      </c>
      <c r="H1480" s="36" t="str">
        <f>IFERROR(VLOOKUP(Table2[[#This Row], [Ticket]],Okey!A:B,2,0),"")</f>
        <v/>
      </c>
      <c r="I1480" s="36" t="s">
        <v>7581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x14ac:dyDescent="0.25">
      <c r="A1481" s="49">
        <f t="shared" si="24"/>
        <v>1479</v>
      </c>
      <c r="B1481" s="36" t="s">
        <v>4</v>
      </c>
      <c r="C1481" s="36" t="s">
        <v>7158</v>
      </c>
      <c r="D1481" s="9" t="s">
        <v>7276</v>
      </c>
      <c r="E1481" s="9" t="s">
        <v>6853</v>
      </c>
      <c r="F1481" s="9" t="s">
        <v>7275</v>
      </c>
      <c r="G1481" s="36" t="s">
        <v>14</v>
      </c>
      <c r="H1481" s="36" t="str">
        <f>IFERROR(VLOOKUP(Table2[[#This Row], [Ticket]],Okey!A:B,2,0),"")</f>
        <v/>
      </c>
      <c r="I1481" s="36" t="s">
        <v>7581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x14ac:dyDescent="0.25">
      <c r="A1482" s="49">
        <f t="shared" si="24"/>
        <v>1480</v>
      </c>
      <c r="B1482" s="36" t="s">
        <v>4</v>
      </c>
      <c r="C1482" s="36" t="s">
        <v>7158</v>
      </c>
      <c r="D1482" s="9" t="s">
        <v>7277</v>
      </c>
      <c r="E1482" s="9" t="s">
        <v>6854</v>
      </c>
      <c r="F1482" s="9" t="s">
        <v>7275</v>
      </c>
      <c r="G1482" s="36" t="s">
        <v>14</v>
      </c>
      <c r="H1482" s="36" t="str">
        <f>IFERROR(VLOOKUP(Table2[[#This Row], [Ticket]],Okey!A:B,2,0),"")</f>
        <v/>
      </c>
      <c r="I1482" s="36" t="s">
        <v>7581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x14ac:dyDescent="0.25">
      <c r="A1483" s="49">
        <f t="shared" si="24"/>
        <v>1481</v>
      </c>
      <c r="B1483" s="36" t="s">
        <v>4</v>
      </c>
      <c r="C1483" s="36" t="s">
        <v>7158</v>
      </c>
      <c r="D1483" s="9" t="s">
        <v>7278</v>
      </c>
      <c r="E1483" s="9" t="s">
        <v>6855</v>
      </c>
      <c r="F1483" s="9" t="s">
        <v>7273</v>
      </c>
      <c r="G1483" s="36" t="s">
        <v>14</v>
      </c>
      <c r="H1483" s="36" t="str">
        <f>IFERROR(VLOOKUP(Table2[[#This Row], [Ticket]],Okey!A:B,2,0),"")</f>
        <v/>
      </c>
      <c r="I1483" s="36" t="s">
        <v>7581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x14ac:dyDescent="0.25">
      <c r="A1484" s="49">
        <f t="shared" si="24"/>
        <v>1482</v>
      </c>
      <c r="B1484" s="36" t="s">
        <v>4</v>
      </c>
      <c r="C1484" s="36" t="s">
        <v>7158</v>
      </c>
      <c r="D1484" s="9" t="s">
        <v>7279</v>
      </c>
      <c r="E1484" s="9" t="s">
        <v>6856</v>
      </c>
      <c r="F1484" s="9" t="s">
        <v>7278</v>
      </c>
      <c r="G1484" s="36" t="s">
        <v>14</v>
      </c>
      <c r="H1484" s="36" t="str">
        <f>IFERROR(VLOOKUP(Table2[[#This Row], [Ticket]],Okey!A:B,2,0),"")</f>
        <v/>
      </c>
      <c r="I1484" s="36" t="s">
        <v>7581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x14ac:dyDescent="0.25">
      <c r="A1485" s="49">
        <f t="shared" si="24"/>
        <v>1483</v>
      </c>
      <c r="B1485" s="36" t="s">
        <v>4</v>
      </c>
      <c r="C1485" s="36" t="s">
        <v>7158</v>
      </c>
      <c r="D1485" s="9" t="s">
        <v>7280</v>
      </c>
      <c r="E1485" s="9" t="s">
        <v>6857</v>
      </c>
      <c r="F1485" s="9" t="s">
        <v>7278</v>
      </c>
      <c r="G1485" s="36" t="s">
        <v>14</v>
      </c>
      <c r="H1485" s="36" t="str">
        <f>IFERROR(VLOOKUP(Table2[[#This Row], [Ticket]],Okey!A:B,2,0),"")</f>
        <v/>
      </c>
      <c r="I1485" s="36" t="s">
        <v>7581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x14ac:dyDescent="0.25">
      <c r="A1486" s="49">
        <f t="shared" si="24"/>
        <v>1484</v>
      </c>
      <c r="B1486" s="36" t="s">
        <v>4</v>
      </c>
      <c r="C1486" s="36" t="s">
        <v>7158</v>
      </c>
      <c r="D1486" s="9" t="s">
        <v>7281</v>
      </c>
      <c r="E1486" s="9" t="s">
        <v>6858</v>
      </c>
      <c r="F1486" s="9" t="s">
        <v>6683</v>
      </c>
      <c r="G1486" s="36" t="s">
        <v>14</v>
      </c>
      <c r="H1486" s="36" t="str">
        <f>IFERROR(VLOOKUP(Table2[[#This Row], [Ticket]],Okey!A:B,2,0),"")</f>
        <v/>
      </c>
      <c r="I1486" s="36" t="s">
        <v>7581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x14ac:dyDescent="0.25">
      <c r="A1487" s="49">
        <f t="shared" si="24"/>
        <v>1485</v>
      </c>
      <c r="B1487" s="36" t="s">
        <v>4</v>
      </c>
      <c r="C1487" s="36" t="s">
        <v>7158</v>
      </c>
      <c r="D1487" s="9" t="s">
        <v>7282</v>
      </c>
      <c r="E1487" s="9" t="s">
        <v>6859</v>
      </c>
      <c r="F1487" s="9" t="s">
        <v>7281</v>
      </c>
      <c r="G1487" s="36" t="s">
        <v>14</v>
      </c>
      <c r="H1487" s="36" t="str">
        <f>IFERROR(VLOOKUP(Table2[[#This Row], [Ticket]],Okey!A:B,2,0),"")</f>
        <v/>
      </c>
      <c r="I1487" s="36" t="s">
        <v>7581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x14ac:dyDescent="0.25">
      <c r="A1488" s="49">
        <f t="shared" si="24"/>
        <v>1486</v>
      </c>
      <c r="B1488" s="36" t="s">
        <v>4</v>
      </c>
      <c r="C1488" s="36" t="s">
        <v>7158</v>
      </c>
      <c r="D1488" s="9" t="s">
        <v>7283</v>
      </c>
      <c r="E1488" s="9" t="s">
        <v>6860</v>
      </c>
      <c r="F1488" s="9" t="s">
        <v>7281</v>
      </c>
      <c r="G1488" s="36" t="s">
        <v>14</v>
      </c>
      <c r="H1488" s="36" t="str">
        <f>IFERROR(VLOOKUP(Table2[[#This Row], [Ticket]],Okey!A:B,2,0),"")</f>
        <v/>
      </c>
      <c r="I1488" s="36" t="s">
        <v>7581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x14ac:dyDescent="0.25">
      <c r="A1489" s="49">
        <f t="shared" si="24"/>
        <v>1487</v>
      </c>
      <c r="B1489" s="36" t="s">
        <v>4</v>
      </c>
      <c r="C1489" s="36" t="s">
        <v>7158</v>
      </c>
      <c r="D1489" s="9" t="s">
        <v>7284</v>
      </c>
      <c r="E1489" s="9" t="s">
        <v>6861</v>
      </c>
      <c r="F1489" s="9" t="s">
        <v>7281</v>
      </c>
      <c r="G1489" s="36" t="s">
        <v>14</v>
      </c>
      <c r="H1489" s="36" t="str">
        <f>IFERROR(VLOOKUP(Table2[[#This Row], [Ticket]],Okey!A:B,2,0),"")</f>
        <v/>
      </c>
      <c r="I1489" s="36" t="s">
        <v>7581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x14ac:dyDescent="0.25">
      <c r="A1490" s="49">
        <f t="shared" si="24"/>
        <v>1488</v>
      </c>
      <c r="B1490" s="36" t="s">
        <v>4</v>
      </c>
      <c r="C1490" s="36" t="s">
        <v>7158</v>
      </c>
      <c r="D1490" s="9" t="s">
        <v>7285</v>
      </c>
      <c r="E1490" s="9" t="s">
        <v>6862</v>
      </c>
      <c r="F1490" s="9" t="s">
        <v>7284</v>
      </c>
      <c r="G1490" s="36" t="s">
        <v>14</v>
      </c>
      <c r="H1490" s="36" t="str">
        <f>IFERROR(VLOOKUP(Table2[[#This Row], [Ticket]],Okey!A:B,2,0),"")</f>
        <v/>
      </c>
      <c r="I1490" s="36" t="s">
        <v>7581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x14ac:dyDescent="0.25">
      <c r="A1491" s="49">
        <f t="shared" si="24"/>
        <v>1489</v>
      </c>
      <c r="B1491" s="36" t="s">
        <v>4</v>
      </c>
      <c r="C1491" s="36" t="s">
        <v>7158</v>
      </c>
      <c r="D1491" s="9" t="s">
        <v>7286</v>
      </c>
      <c r="E1491" s="9" t="s">
        <v>6863</v>
      </c>
      <c r="F1491" s="9" t="s">
        <v>7284</v>
      </c>
      <c r="G1491" s="36" t="s">
        <v>14</v>
      </c>
      <c r="H1491" s="36" t="str">
        <f>IFERROR(VLOOKUP(Table2[[#This Row], [Ticket]],Okey!A:B,2,0),"")</f>
        <v/>
      </c>
      <c r="I1491" s="36" t="s">
        <v>7581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x14ac:dyDescent="0.25">
      <c r="A1492" s="49">
        <f t="shared" si="24"/>
        <v>1490</v>
      </c>
      <c r="B1492" s="36" t="s">
        <v>4</v>
      </c>
      <c r="C1492" s="36" t="s">
        <v>7158</v>
      </c>
      <c r="D1492" s="9" t="s">
        <v>7287</v>
      </c>
      <c r="E1492" s="9" t="s">
        <v>6864</v>
      </c>
      <c r="F1492" s="9" t="s">
        <v>7281</v>
      </c>
      <c r="G1492" s="36" t="s">
        <v>14</v>
      </c>
      <c r="H1492" s="36" t="str">
        <f>IFERROR(VLOOKUP(Table2[[#This Row], [Ticket]],Okey!A:B,2,0),"")</f>
        <v/>
      </c>
      <c r="I1492" s="36" t="s">
        <v>7581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x14ac:dyDescent="0.25">
      <c r="A1493" s="49">
        <f t="shared" ref="A1493:A1556" si="25">1+A1492</f>
        <v>1491</v>
      </c>
      <c r="B1493" s="36" t="s">
        <v>4</v>
      </c>
      <c r="C1493" s="36" t="s">
        <v>7158</v>
      </c>
      <c r="D1493" s="9" t="s">
        <v>7288</v>
      </c>
      <c r="E1493" s="9" t="s">
        <v>6865</v>
      </c>
      <c r="F1493" s="9" t="s">
        <v>7287</v>
      </c>
      <c r="G1493" s="36" t="s">
        <v>14</v>
      </c>
      <c r="H1493" s="36" t="str">
        <f>IFERROR(VLOOKUP(Table2[[#This Row], [Ticket]],Okey!A:B,2,0),"")</f>
        <v/>
      </c>
      <c r="I1493" s="36" t="s">
        <v>7581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x14ac:dyDescent="0.25">
      <c r="A1494" s="49">
        <f t="shared" si="25"/>
        <v>1492</v>
      </c>
      <c r="B1494" s="36" t="s">
        <v>4</v>
      </c>
      <c r="C1494" s="36" t="s">
        <v>7158</v>
      </c>
      <c r="D1494" s="9" t="s">
        <v>7289</v>
      </c>
      <c r="E1494" s="9" t="s">
        <v>6866</v>
      </c>
      <c r="F1494" s="9" t="s">
        <v>7287</v>
      </c>
      <c r="G1494" s="36" t="s">
        <v>14</v>
      </c>
      <c r="H1494" s="36" t="str">
        <f>IFERROR(VLOOKUP(Table2[[#This Row], [Ticket]],Okey!A:B,2,0),"")</f>
        <v/>
      </c>
      <c r="I1494" s="36" t="s">
        <v>7581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x14ac:dyDescent="0.25">
      <c r="A1495" s="49">
        <f t="shared" si="25"/>
        <v>1493</v>
      </c>
      <c r="B1495" s="36" t="s">
        <v>4</v>
      </c>
      <c r="C1495" s="36" t="s">
        <v>7158</v>
      </c>
      <c r="D1495" s="9" t="s">
        <v>7290</v>
      </c>
      <c r="E1495" s="9" t="s">
        <v>6867</v>
      </c>
      <c r="F1495" s="9" t="s">
        <v>7287</v>
      </c>
      <c r="G1495" s="36" t="s">
        <v>14</v>
      </c>
      <c r="H1495" s="36" t="str">
        <f>IFERROR(VLOOKUP(Table2[[#This Row], [Ticket]],Okey!A:B,2,0),"")</f>
        <v/>
      </c>
      <c r="I1495" s="36" t="s">
        <v>7581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x14ac:dyDescent="0.25">
      <c r="A1496" s="49">
        <f t="shared" si="25"/>
        <v>1494</v>
      </c>
      <c r="B1496" s="36" t="s">
        <v>4</v>
      </c>
      <c r="C1496" s="36" t="s">
        <v>7158</v>
      </c>
      <c r="D1496" s="9" t="s">
        <v>7291</v>
      </c>
      <c r="E1496" s="9" t="s">
        <v>6868</v>
      </c>
      <c r="F1496" s="9" t="s">
        <v>7287</v>
      </c>
      <c r="G1496" s="36" t="s">
        <v>14</v>
      </c>
      <c r="H1496" s="36" t="str">
        <f>IFERROR(VLOOKUP(Table2[[#This Row], [Ticket]],Okey!A:B,2,0),"")</f>
        <v/>
      </c>
      <c r="I1496" s="36" t="s">
        <v>7581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x14ac:dyDescent="0.25">
      <c r="A1497" s="49">
        <f t="shared" si="25"/>
        <v>1495</v>
      </c>
      <c r="B1497" s="36" t="s">
        <v>4</v>
      </c>
      <c r="C1497" s="36" t="s">
        <v>7158</v>
      </c>
      <c r="D1497" s="9" t="s">
        <v>7292</v>
      </c>
      <c r="E1497" s="9" t="s">
        <v>6869</v>
      </c>
      <c r="F1497" s="9" t="s">
        <v>7287</v>
      </c>
      <c r="G1497" s="36" t="s">
        <v>14</v>
      </c>
      <c r="H1497" s="36" t="str">
        <f>IFERROR(VLOOKUP(Table2[[#This Row], [Ticket]],Okey!A:B,2,0),"")</f>
        <v/>
      </c>
      <c r="I1497" s="36" t="s">
        <v>7581</v>
      </c>
      <c r="J1497" s="36" t="str">
        <f>VLOOKUP(Table2[[#This Row], [Author]],People!A:B,2,0)</f>
        <v>HC</v>
      </c>
      <c r="K1497" s="36"/>
      <c r="L1497" s="36"/>
      <c r="M1497" s="36" t="s">
        <v>1613</v>
      </c>
    </row>
    <row r="1498" spans="1:13" x14ac:dyDescent="0.25">
      <c r="A1498" s="49">
        <f t="shared" si="25"/>
        <v>1496</v>
      </c>
      <c r="B1498" s="36" t="s">
        <v>4</v>
      </c>
      <c r="C1498" s="36" t="s">
        <v>7158</v>
      </c>
      <c r="D1498" s="9" t="s">
        <v>7293</v>
      </c>
      <c r="E1498" s="9" t="s">
        <v>6870</v>
      </c>
      <c r="F1498" s="9" t="s">
        <v>6684</v>
      </c>
      <c r="G1498" s="36" t="s">
        <v>14</v>
      </c>
      <c r="H1498" s="36" t="str">
        <f>IFERROR(VLOOKUP(Table2[[#This Row], [Ticket]],Okey!A:B,2,0),"")</f>
        <v/>
      </c>
      <c r="I1498" s="36" t="s">
        <v>7581</v>
      </c>
      <c r="J1498" s="36" t="str">
        <f>VLOOKUP(Table2[[#This Row], [Author]],People!A:B,2,0)</f>
        <v>HC</v>
      </c>
      <c r="K1498" s="36"/>
      <c r="L1498" s="36"/>
      <c r="M1498" s="36" t="s">
        <v>1613</v>
      </c>
    </row>
    <row r="1499" spans="1:13" x14ac:dyDescent="0.25">
      <c r="A1499" s="49">
        <f t="shared" si="25"/>
        <v>1497</v>
      </c>
      <c r="B1499" s="36" t="s">
        <v>4</v>
      </c>
      <c r="C1499" s="36" t="s">
        <v>7158</v>
      </c>
      <c r="D1499" s="9" t="s">
        <v>7294</v>
      </c>
      <c r="E1499" s="9" t="s">
        <v>6871</v>
      </c>
      <c r="F1499" s="9" t="s">
        <v>7293</v>
      </c>
      <c r="G1499" s="36" t="s">
        <v>14</v>
      </c>
      <c r="H1499" s="36" t="str">
        <f>IFERROR(VLOOKUP(Table2[[#This Row], [Ticket]],Okey!A:B,2,0),"")</f>
        <v/>
      </c>
      <c r="I1499" s="36" t="s">
        <v>7581</v>
      </c>
      <c r="J1499" s="36" t="str">
        <f>VLOOKUP(Table2[[#This Row], [Author]],People!A:B,2,0)</f>
        <v>HC</v>
      </c>
      <c r="K1499" s="36"/>
      <c r="L1499" s="36"/>
      <c r="M1499" s="36" t="s">
        <v>1613</v>
      </c>
    </row>
    <row r="1500" spans="1:13" x14ac:dyDescent="0.25">
      <c r="A1500" s="49">
        <f t="shared" si="25"/>
        <v>1498</v>
      </c>
      <c r="B1500" s="36" t="s">
        <v>4</v>
      </c>
      <c r="C1500" s="36" t="s">
        <v>7158</v>
      </c>
      <c r="D1500" s="9" t="s">
        <v>7295</v>
      </c>
      <c r="E1500" s="9" t="s">
        <v>6872</v>
      </c>
      <c r="F1500" s="9" t="s">
        <v>7293</v>
      </c>
      <c r="G1500" s="36" t="s">
        <v>14</v>
      </c>
      <c r="H1500" s="36" t="str">
        <f>IFERROR(VLOOKUP(Table2[[#This Row], [Ticket]],Okey!A:B,2,0),"")</f>
        <v/>
      </c>
      <c r="I1500" s="36" t="s">
        <v>7581</v>
      </c>
      <c r="J1500" s="36" t="str">
        <f>VLOOKUP(Table2[[#This Row], [Author]],People!A:B,2,0)</f>
        <v>HC</v>
      </c>
      <c r="K1500" s="36"/>
      <c r="L1500" s="36"/>
      <c r="M1500" s="36" t="s">
        <v>1613</v>
      </c>
    </row>
    <row r="1501" spans="1:13" x14ac:dyDescent="0.25">
      <c r="A1501" s="49">
        <f t="shared" si="25"/>
        <v>1499</v>
      </c>
      <c r="B1501" s="36" t="s">
        <v>4</v>
      </c>
      <c r="C1501" s="36" t="s">
        <v>7158</v>
      </c>
      <c r="D1501" s="9" t="s">
        <v>7296</v>
      </c>
      <c r="E1501" s="9" t="s">
        <v>6873</v>
      </c>
      <c r="F1501" s="9" t="s">
        <v>7295</v>
      </c>
      <c r="G1501" s="36" t="s">
        <v>14</v>
      </c>
      <c r="H1501" s="36" t="str">
        <f>IFERROR(VLOOKUP(Table2[[#This Row], [Ticket]],Okey!A:B,2,0),"")</f>
        <v/>
      </c>
      <c r="I1501" s="36" t="s">
        <v>7581</v>
      </c>
      <c r="J1501" s="36" t="str">
        <f>VLOOKUP(Table2[[#This Row], [Author]],People!A:B,2,0)</f>
        <v>HC</v>
      </c>
      <c r="K1501" s="36"/>
      <c r="L1501" s="36"/>
      <c r="M1501" s="36" t="s">
        <v>1613</v>
      </c>
    </row>
    <row r="1502" spans="1:13" x14ac:dyDescent="0.25">
      <c r="A1502" s="49">
        <f t="shared" si="25"/>
        <v>1500</v>
      </c>
      <c r="B1502" s="36" t="s">
        <v>4</v>
      </c>
      <c r="C1502" s="36" t="s">
        <v>7158</v>
      </c>
      <c r="D1502" s="9" t="s">
        <v>7297</v>
      </c>
      <c r="E1502" s="9" t="s">
        <v>6874</v>
      </c>
      <c r="F1502" s="9" t="s">
        <v>7295</v>
      </c>
      <c r="G1502" s="36" t="s">
        <v>14</v>
      </c>
      <c r="H1502" s="36" t="str">
        <f>IFERROR(VLOOKUP(Table2[[#This Row], [Ticket]],Okey!A:B,2,0),"")</f>
        <v/>
      </c>
      <c r="I1502" s="36" t="s">
        <v>7581</v>
      </c>
      <c r="J1502" s="36" t="str">
        <f>VLOOKUP(Table2[[#This Row], [Author]],People!A:B,2,0)</f>
        <v>HC</v>
      </c>
      <c r="K1502" s="36"/>
      <c r="L1502" s="36"/>
      <c r="M1502" s="36" t="s">
        <v>1613</v>
      </c>
    </row>
    <row r="1503" spans="1:13" x14ac:dyDescent="0.25">
      <c r="A1503" s="49">
        <f t="shared" si="25"/>
        <v>1501</v>
      </c>
      <c r="B1503" s="36" t="s">
        <v>4</v>
      </c>
      <c r="C1503" s="36" t="s">
        <v>7158</v>
      </c>
      <c r="D1503" s="9" t="s">
        <v>7298</v>
      </c>
      <c r="E1503" s="9" t="s">
        <v>6875</v>
      </c>
      <c r="F1503" s="9" t="s">
        <v>7293</v>
      </c>
      <c r="G1503" s="36" t="s">
        <v>14</v>
      </c>
      <c r="H1503" s="36" t="str">
        <f>IFERROR(VLOOKUP(Table2[[#This Row], [Ticket]],Okey!A:B,2,0),"")</f>
        <v/>
      </c>
      <c r="I1503" s="36" t="s">
        <v>7581</v>
      </c>
      <c r="J1503" s="36" t="str">
        <f>VLOOKUP(Table2[[#This Row], [Author]],People!A:B,2,0)</f>
        <v>HC</v>
      </c>
      <c r="K1503" s="36"/>
      <c r="L1503" s="36"/>
      <c r="M1503" s="36" t="s">
        <v>1613</v>
      </c>
    </row>
    <row r="1504" spans="1:13" x14ac:dyDescent="0.25">
      <c r="A1504" s="49">
        <f t="shared" si="25"/>
        <v>1502</v>
      </c>
      <c r="B1504" s="36" t="s">
        <v>4</v>
      </c>
      <c r="C1504" s="36" t="s">
        <v>7158</v>
      </c>
      <c r="D1504" s="9" t="s">
        <v>7299</v>
      </c>
      <c r="E1504" s="9" t="s">
        <v>6876</v>
      </c>
      <c r="F1504" s="9" t="s">
        <v>7298</v>
      </c>
      <c r="G1504" s="36" t="s">
        <v>14</v>
      </c>
      <c r="H1504" s="36" t="str">
        <f>IFERROR(VLOOKUP(Table2[[#This Row], [Ticket]],Okey!A:B,2,0),"")</f>
        <v/>
      </c>
      <c r="I1504" s="36" t="s">
        <v>7581</v>
      </c>
      <c r="J1504" s="36" t="str">
        <f>VLOOKUP(Table2[[#This Row], [Author]],People!A:B,2,0)</f>
        <v>HC</v>
      </c>
      <c r="K1504" s="36"/>
      <c r="L1504" s="36"/>
      <c r="M1504" s="36" t="s">
        <v>1613</v>
      </c>
    </row>
    <row r="1505" spans="1:13" x14ac:dyDescent="0.25">
      <c r="A1505" s="49">
        <f t="shared" si="25"/>
        <v>1503</v>
      </c>
      <c r="B1505" s="36" t="s">
        <v>4</v>
      </c>
      <c r="C1505" s="36" t="s">
        <v>7158</v>
      </c>
      <c r="D1505" s="9" t="s">
        <v>7300</v>
      </c>
      <c r="E1505" s="9" t="s">
        <v>6877</v>
      </c>
      <c r="F1505" s="9" t="s">
        <v>7298</v>
      </c>
      <c r="G1505" s="36" t="s">
        <v>14</v>
      </c>
      <c r="H1505" s="36" t="str">
        <f>IFERROR(VLOOKUP(Table2[[#This Row], [Ticket]],Okey!A:B,2,0),"")</f>
        <v/>
      </c>
      <c r="I1505" s="36" t="s">
        <v>7581</v>
      </c>
      <c r="J1505" s="36" t="str">
        <f>VLOOKUP(Table2[[#This Row], [Author]],People!A:B,2,0)</f>
        <v>HC</v>
      </c>
      <c r="K1505" s="36"/>
      <c r="L1505" s="36"/>
      <c r="M1505" s="36" t="s">
        <v>1613</v>
      </c>
    </row>
    <row r="1506" spans="1:13" x14ac:dyDescent="0.25">
      <c r="A1506" s="49">
        <f t="shared" si="25"/>
        <v>1504</v>
      </c>
      <c r="B1506" s="36" t="s">
        <v>4</v>
      </c>
      <c r="C1506" s="36" t="s">
        <v>7158</v>
      </c>
      <c r="D1506" s="9" t="s">
        <v>7301</v>
      </c>
      <c r="E1506" s="9" t="s">
        <v>6878</v>
      </c>
      <c r="F1506" s="9" t="s">
        <v>6683</v>
      </c>
      <c r="G1506" s="36" t="s">
        <v>14</v>
      </c>
      <c r="H1506" s="36" t="str">
        <f>IFERROR(VLOOKUP(Table2[[#This Row], [Ticket]],Okey!A:B,2,0),"")</f>
        <v/>
      </c>
      <c r="I1506" s="36" t="s">
        <v>7581</v>
      </c>
      <c r="J1506" s="36" t="str">
        <f>VLOOKUP(Table2[[#This Row], [Author]],People!A:B,2,0)</f>
        <v>HC</v>
      </c>
      <c r="K1506" s="36"/>
      <c r="L1506" s="36"/>
      <c r="M1506" s="36" t="s">
        <v>1613</v>
      </c>
    </row>
    <row r="1507" spans="1:13" x14ac:dyDescent="0.25">
      <c r="A1507" s="49">
        <f t="shared" si="25"/>
        <v>1505</v>
      </c>
      <c r="B1507" s="36" t="s">
        <v>4</v>
      </c>
      <c r="C1507" s="36" t="s">
        <v>7158</v>
      </c>
      <c r="D1507" s="9" t="s">
        <v>7302</v>
      </c>
      <c r="E1507" s="9" t="s">
        <v>6879</v>
      </c>
      <c r="F1507" s="9" t="s">
        <v>7301</v>
      </c>
      <c r="G1507" s="36" t="s">
        <v>14</v>
      </c>
      <c r="H1507" s="36" t="str">
        <f>IFERROR(VLOOKUP(Table2[[#This Row], [Ticket]],Okey!A:B,2,0),"")</f>
        <v/>
      </c>
      <c r="I1507" s="36" t="s">
        <v>7581</v>
      </c>
      <c r="J1507" s="36" t="str">
        <f>VLOOKUP(Table2[[#This Row], [Author]],People!A:B,2,0)</f>
        <v>HC</v>
      </c>
      <c r="K1507" s="36"/>
      <c r="L1507" s="36"/>
      <c r="M1507" s="36" t="s">
        <v>1613</v>
      </c>
    </row>
    <row r="1508" spans="1:13" x14ac:dyDescent="0.25">
      <c r="A1508" s="49">
        <f t="shared" si="25"/>
        <v>1506</v>
      </c>
      <c r="B1508" s="36" t="s">
        <v>4</v>
      </c>
      <c r="C1508" s="36" t="s">
        <v>7158</v>
      </c>
      <c r="D1508" s="9" t="s">
        <v>7303</v>
      </c>
      <c r="E1508" s="9" t="s">
        <v>6880</v>
      </c>
      <c r="F1508" s="9" t="s">
        <v>7301</v>
      </c>
      <c r="G1508" s="36" t="s">
        <v>14</v>
      </c>
      <c r="H1508" s="36" t="str">
        <f>IFERROR(VLOOKUP(Table2[[#This Row], [Ticket]],Okey!A:B,2,0),"")</f>
        <v/>
      </c>
      <c r="I1508" s="36" t="s">
        <v>7581</v>
      </c>
      <c r="J1508" s="36" t="str">
        <f>VLOOKUP(Table2[[#This Row], [Author]],People!A:B,2,0)</f>
        <v>HC</v>
      </c>
      <c r="K1508" s="36"/>
      <c r="L1508" s="36"/>
      <c r="M1508" s="36" t="s">
        <v>1613</v>
      </c>
    </row>
    <row r="1509" spans="1:13" x14ac:dyDescent="0.25">
      <c r="A1509" s="49">
        <f t="shared" si="25"/>
        <v>1507</v>
      </c>
      <c r="B1509" s="36" t="s">
        <v>4</v>
      </c>
      <c r="C1509" s="36" t="s">
        <v>7158</v>
      </c>
      <c r="D1509" s="9" t="s">
        <v>7304</v>
      </c>
      <c r="E1509" s="9" t="s">
        <v>6881</v>
      </c>
      <c r="F1509" s="9" t="s">
        <v>7301</v>
      </c>
      <c r="G1509" s="36" t="s">
        <v>14</v>
      </c>
      <c r="H1509" s="36" t="str">
        <f>IFERROR(VLOOKUP(Table2[[#This Row], [Ticket]],Okey!A:B,2,0),"")</f>
        <v/>
      </c>
      <c r="I1509" s="36" t="s">
        <v>7581</v>
      </c>
      <c r="J1509" s="36" t="str">
        <f>VLOOKUP(Table2[[#This Row], [Author]],People!A:B,2,0)</f>
        <v>HC</v>
      </c>
      <c r="K1509" s="36"/>
      <c r="L1509" s="36"/>
      <c r="M1509" s="36" t="s">
        <v>1613</v>
      </c>
    </row>
    <row r="1510" spans="1:13" x14ac:dyDescent="0.25">
      <c r="A1510" s="49">
        <f t="shared" si="25"/>
        <v>1508</v>
      </c>
      <c r="B1510" s="36" t="s">
        <v>4</v>
      </c>
      <c r="C1510" s="36" t="s">
        <v>7158</v>
      </c>
      <c r="D1510" s="9" t="s">
        <v>7305</v>
      </c>
      <c r="E1510" s="9" t="s">
        <v>6882</v>
      </c>
      <c r="F1510" s="9" t="s">
        <v>7304</v>
      </c>
      <c r="G1510" s="36" t="s">
        <v>14</v>
      </c>
      <c r="H1510" s="36" t="str">
        <f>IFERROR(VLOOKUP(Table2[[#This Row], [Ticket]],Okey!A:B,2,0),"")</f>
        <v/>
      </c>
      <c r="I1510" s="36" t="s">
        <v>7581</v>
      </c>
      <c r="J1510" s="36" t="str">
        <f>VLOOKUP(Table2[[#This Row], [Author]],People!A:B,2,0)</f>
        <v>HC</v>
      </c>
      <c r="K1510" s="36"/>
      <c r="L1510" s="36"/>
      <c r="M1510" s="36" t="s">
        <v>1613</v>
      </c>
    </row>
    <row r="1511" spans="1:13" x14ac:dyDescent="0.25">
      <c r="A1511" s="49">
        <f t="shared" si="25"/>
        <v>1509</v>
      </c>
      <c r="B1511" s="36" t="s">
        <v>4</v>
      </c>
      <c r="C1511" s="36" t="s">
        <v>7158</v>
      </c>
      <c r="D1511" s="9" t="s">
        <v>7306</v>
      </c>
      <c r="E1511" s="9" t="s">
        <v>6883</v>
      </c>
      <c r="F1511" s="9" t="s">
        <v>7304</v>
      </c>
      <c r="G1511" s="36" t="s">
        <v>14</v>
      </c>
      <c r="H1511" s="36" t="str">
        <f>IFERROR(VLOOKUP(Table2[[#This Row], [Ticket]],Okey!A:B,2,0),"")</f>
        <v/>
      </c>
      <c r="I1511" s="36" t="s">
        <v>7581</v>
      </c>
      <c r="J1511" s="36" t="str">
        <f>VLOOKUP(Table2[[#This Row], [Author]],People!A:B,2,0)</f>
        <v>HC</v>
      </c>
      <c r="K1511" s="36"/>
      <c r="L1511" s="36"/>
      <c r="M1511" s="36" t="s">
        <v>1613</v>
      </c>
    </row>
    <row r="1512" spans="1:13" x14ac:dyDescent="0.25">
      <c r="A1512" s="49">
        <f t="shared" si="25"/>
        <v>1510</v>
      </c>
      <c r="B1512" s="36" t="s">
        <v>4</v>
      </c>
      <c r="C1512" s="36" t="s">
        <v>7158</v>
      </c>
      <c r="D1512" s="9" t="s">
        <v>7307</v>
      </c>
      <c r="E1512" s="9" t="s">
        <v>6884</v>
      </c>
      <c r="F1512" s="9" t="s">
        <v>7301</v>
      </c>
      <c r="G1512" s="36" t="s">
        <v>14</v>
      </c>
      <c r="H1512" s="36" t="str">
        <f>IFERROR(VLOOKUP(Table2[[#This Row], [Ticket]],Okey!A:B,2,0),"")</f>
        <v/>
      </c>
      <c r="I1512" s="36" t="s">
        <v>7581</v>
      </c>
      <c r="J1512" s="36" t="str">
        <f>VLOOKUP(Table2[[#This Row], [Author]],People!A:B,2,0)</f>
        <v>HC</v>
      </c>
      <c r="K1512" s="36"/>
      <c r="L1512" s="36"/>
      <c r="M1512" s="36" t="s">
        <v>1613</v>
      </c>
    </row>
    <row r="1513" spans="1:13" x14ac:dyDescent="0.25">
      <c r="A1513" s="49">
        <f t="shared" si="25"/>
        <v>1511</v>
      </c>
      <c r="B1513" s="36" t="s">
        <v>4</v>
      </c>
      <c r="C1513" s="36" t="s">
        <v>7158</v>
      </c>
      <c r="D1513" s="9" t="s">
        <v>7308</v>
      </c>
      <c r="E1513" s="9" t="s">
        <v>6885</v>
      </c>
      <c r="F1513" s="9" t="s">
        <v>7307</v>
      </c>
      <c r="G1513" s="36" t="s">
        <v>14</v>
      </c>
      <c r="H1513" s="36" t="str">
        <f>IFERROR(VLOOKUP(Table2[[#This Row], [Ticket]],Okey!A:B,2,0),"")</f>
        <v/>
      </c>
      <c r="I1513" s="36" t="s">
        <v>7581</v>
      </c>
      <c r="J1513" s="36" t="str">
        <f>VLOOKUP(Table2[[#This Row], [Author]],People!A:B,2,0)</f>
        <v>HC</v>
      </c>
      <c r="K1513" s="36"/>
      <c r="L1513" s="36"/>
      <c r="M1513" s="36" t="s">
        <v>1613</v>
      </c>
    </row>
    <row r="1514" spans="1:13" x14ac:dyDescent="0.25">
      <c r="A1514" s="49">
        <f t="shared" si="25"/>
        <v>1512</v>
      </c>
      <c r="B1514" s="36" t="s">
        <v>4</v>
      </c>
      <c r="C1514" s="36" t="s">
        <v>7158</v>
      </c>
      <c r="D1514" s="9" t="s">
        <v>7309</v>
      </c>
      <c r="E1514" s="9" t="s">
        <v>6886</v>
      </c>
      <c r="F1514" s="9" t="s">
        <v>7307</v>
      </c>
      <c r="G1514" s="36" t="s">
        <v>14</v>
      </c>
      <c r="H1514" s="36" t="str">
        <f>IFERROR(VLOOKUP(Table2[[#This Row], [Ticket]],Okey!A:B,2,0),"")</f>
        <v/>
      </c>
      <c r="I1514" s="36" t="s">
        <v>7581</v>
      </c>
      <c r="J1514" s="36" t="str">
        <f>VLOOKUP(Table2[[#This Row], [Author]],People!A:B,2,0)</f>
        <v>HC</v>
      </c>
      <c r="K1514" s="36"/>
      <c r="L1514" s="36"/>
      <c r="M1514" s="36" t="s">
        <v>1613</v>
      </c>
    </row>
    <row r="1515" spans="1:13" x14ac:dyDescent="0.25">
      <c r="A1515" s="49">
        <f t="shared" si="25"/>
        <v>1513</v>
      </c>
      <c r="B1515" s="36" t="s">
        <v>4</v>
      </c>
      <c r="C1515" s="36" t="s">
        <v>7158</v>
      </c>
      <c r="D1515" s="9" t="s">
        <v>7310</v>
      </c>
      <c r="E1515" s="9" t="s">
        <v>6887</v>
      </c>
      <c r="F1515" s="9" t="s">
        <v>7307</v>
      </c>
      <c r="G1515" s="36" t="s">
        <v>14</v>
      </c>
      <c r="H1515" s="36" t="str">
        <f>IFERROR(VLOOKUP(Table2[[#This Row], [Ticket]],Okey!A:B,2,0),"")</f>
        <v/>
      </c>
      <c r="I1515" s="36" t="s">
        <v>7581</v>
      </c>
      <c r="J1515" s="36" t="str">
        <f>VLOOKUP(Table2[[#This Row], [Author]],People!A:B,2,0)</f>
        <v>HC</v>
      </c>
      <c r="K1515" s="36"/>
      <c r="L1515" s="36"/>
      <c r="M1515" s="36" t="s">
        <v>1613</v>
      </c>
    </row>
    <row r="1516" spans="1:13" x14ac:dyDescent="0.25">
      <c r="A1516" s="49">
        <f t="shared" si="25"/>
        <v>1514</v>
      </c>
      <c r="B1516" s="36" t="s">
        <v>4</v>
      </c>
      <c r="C1516" s="36" t="s">
        <v>7158</v>
      </c>
      <c r="D1516" s="9" t="s">
        <v>7311</v>
      </c>
      <c r="E1516" s="9" t="s">
        <v>6888</v>
      </c>
      <c r="F1516" s="9" t="s">
        <v>7307</v>
      </c>
      <c r="G1516" s="36" t="s">
        <v>14</v>
      </c>
      <c r="H1516" s="36" t="str">
        <f>IFERROR(VLOOKUP(Table2[[#This Row], [Ticket]],Okey!A:B,2,0),"")</f>
        <v/>
      </c>
      <c r="I1516" s="36" t="s">
        <v>7581</v>
      </c>
      <c r="J1516" s="36" t="str">
        <f>VLOOKUP(Table2[[#This Row], [Author]],People!A:B,2,0)</f>
        <v>HC</v>
      </c>
      <c r="K1516" s="36"/>
      <c r="L1516" s="36"/>
      <c r="M1516" s="36" t="s">
        <v>1613</v>
      </c>
    </row>
    <row r="1517" spans="1:13" x14ac:dyDescent="0.25">
      <c r="A1517" s="49">
        <f t="shared" si="25"/>
        <v>1515</v>
      </c>
      <c r="B1517" s="36" t="s">
        <v>4</v>
      </c>
      <c r="C1517" s="36" t="s">
        <v>7158</v>
      </c>
      <c r="D1517" s="9" t="s">
        <v>7312</v>
      </c>
      <c r="E1517" s="9" t="s">
        <v>6889</v>
      </c>
      <c r="F1517" s="9" t="s">
        <v>7307</v>
      </c>
      <c r="G1517" s="36" t="s">
        <v>14</v>
      </c>
      <c r="H1517" s="36" t="str">
        <f>IFERROR(VLOOKUP(Table2[[#This Row], [Ticket]],Okey!A:B,2,0),"")</f>
        <v/>
      </c>
      <c r="I1517" s="36" t="s">
        <v>7581</v>
      </c>
      <c r="J1517" s="36" t="str">
        <f>VLOOKUP(Table2[[#This Row], [Author]],People!A:B,2,0)</f>
        <v>HC</v>
      </c>
      <c r="K1517" s="36"/>
      <c r="L1517" s="36"/>
      <c r="M1517" s="36" t="s">
        <v>1613</v>
      </c>
    </row>
    <row r="1518" spans="1:13" x14ac:dyDescent="0.25">
      <c r="A1518" s="49">
        <f t="shared" si="25"/>
        <v>1516</v>
      </c>
      <c r="B1518" s="36" t="s">
        <v>4</v>
      </c>
      <c r="C1518" s="36" t="s">
        <v>7158</v>
      </c>
      <c r="D1518" s="9" t="s">
        <v>7313</v>
      </c>
      <c r="E1518" s="9" t="s">
        <v>6890</v>
      </c>
      <c r="F1518" s="9" t="s">
        <v>6684</v>
      </c>
      <c r="G1518" s="36" t="s">
        <v>14</v>
      </c>
      <c r="H1518" s="36" t="str">
        <f>IFERROR(VLOOKUP(Table2[[#This Row], [Ticket]],Okey!A:B,2,0),"")</f>
        <v/>
      </c>
      <c r="I1518" s="36" t="s">
        <v>7581</v>
      </c>
      <c r="J1518" s="36" t="str">
        <f>VLOOKUP(Table2[[#This Row], [Author]],People!A:B,2,0)</f>
        <v>HC</v>
      </c>
      <c r="K1518" s="36"/>
      <c r="L1518" s="36"/>
      <c r="M1518" s="36" t="s">
        <v>1613</v>
      </c>
    </row>
    <row r="1519" spans="1:13" x14ac:dyDescent="0.25">
      <c r="A1519" s="49">
        <f t="shared" si="25"/>
        <v>1517</v>
      </c>
      <c r="B1519" s="36" t="s">
        <v>4</v>
      </c>
      <c r="C1519" s="36" t="s">
        <v>7158</v>
      </c>
      <c r="D1519" s="9" t="s">
        <v>7314</v>
      </c>
      <c r="E1519" s="9" t="s">
        <v>6891</v>
      </c>
      <c r="F1519" s="9" t="s">
        <v>7313</v>
      </c>
      <c r="G1519" s="36" t="s">
        <v>14</v>
      </c>
      <c r="H1519" s="36" t="str">
        <f>IFERROR(VLOOKUP(Table2[[#This Row], [Ticket]],Okey!A:B,2,0),"")</f>
        <v/>
      </c>
      <c r="I1519" s="36" t="s">
        <v>7581</v>
      </c>
      <c r="J1519" s="36" t="str">
        <f>VLOOKUP(Table2[[#This Row], [Author]],People!A:B,2,0)</f>
        <v>HC</v>
      </c>
      <c r="K1519" s="36"/>
      <c r="L1519" s="36"/>
      <c r="M1519" s="36" t="s">
        <v>1613</v>
      </c>
    </row>
    <row r="1520" spans="1:13" x14ac:dyDescent="0.25">
      <c r="A1520" s="49">
        <f t="shared" si="25"/>
        <v>1518</v>
      </c>
      <c r="B1520" s="36" t="s">
        <v>4</v>
      </c>
      <c r="C1520" s="36" t="s">
        <v>7158</v>
      </c>
      <c r="D1520" s="9" t="s">
        <v>7315</v>
      </c>
      <c r="E1520" s="9" t="s">
        <v>6892</v>
      </c>
      <c r="F1520" s="9" t="s">
        <v>7313</v>
      </c>
      <c r="G1520" s="36" t="s">
        <v>14</v>
      </c>
      <c r="H1520" s="36" t="str">
        <f>IFERROR(VLOOKUP(Table2[[#This Row], [Ticket]],Okey!A:B,2,0),"")</f>
        <v/>
      </c>
      <c r="I1520" s="36" t="s">
        <v>7581</v>
      </c>
      <c r="J1520" s="36" t="str">
        <f>VLOOKUP(Table2[[#This Row], [Author]],People!A:B,2,0)</f>
        <v>HC</v>
      </c>
      <c r="K1520" s="36"/>
      <c r="L1520" s="36"/>
      <c r="M1520" s="36" t="s">
        <v>1613</v>
      </c>
    </row>
    <row r="1521" spans="1:13" x14ac:dyDescent="0.25">
      <c r="A1521" s="49">
        <f t="shared" si="25"/>
        <v>1519</v>
      </c>
      <c r="B1521" s="36" t="s">
        <v>4</v>
      </c>
      <c r="C1521" s="36" t="s">
        <v>7158</v>
      </c>
      <c r="D1521" s="9" t="s">
        <v>7316</v>
      </c>
      <c r="E1521" s="9" t="s">
        <v>6893</v>
      </c>
      <c r="F1521" s="9" t="s">
        <v>7315</v>
      </c>
      <c r="G1521" s="36" t="s">
        <v>14</v>
      </c>
      <c r="H1521" s="36" t="str">
        <f>IFERROR(VLOOKUP(Table2[[#This Row], [Ticket]],Okey!A:B,2,0),"")</f>
        <v/>
      </c>
      <c r="I1521" s="36" t="s">
        <v>7581</v>
      </c>
      <c r="J1521" s="36" t="str">
        <f>VLOOKUP(Table2[[#This Row], [Author]],People!A:B,2,0)</f>
        <v>HC</v>
      </c>
      <c r="K1521" s="36"/>
      <c r="L1521" s="36"/>
      <c r="M1521" s="36" t="s">
        <v>1613</v>
      </c>
    </row>
    <row r="1522" spans="1:13" x14ac:dyDescent="0.25">
      <c r="A1522" s="49">
        <f t="shared" si="25"/>
        <v>1520</v>
      </c>
      <c r="B1522" s="36" t="s">
        <v>4</v>
      </c>
      <c r="C1522" s="36" t="s">
        <v>7158</v>
      </c>
      <c r="D1522" s="9" t="s">
        <v>7317</v>
      </c>
      <c r="E1522" s="9" t="s">
        <v>6894</v>
      </c>
      <c r="F1522" s="9" t="s">
        <v>7315</v>
      </c>
      <c r="G1522" s="36" t="s">
        <v>14</v>
      </c>
      <c r="H1522" s="36" t="str">
        <f>IFERROR(VLOOKUP(Table2[[#This Row], [Ticket]],Okey!A:B,2,0),"")</f>
        <v/>
      </c>
      <c r="I1522" s="36" t="s">
        <v>7581</v>
      </c>
      <c r="J1522" s="36" t="str">
        <f>VLOOKUP(Table2[[#This Row], [Author]],People!A:B,2,0)</f>
        <v>HC</v>
      </c>
      <c r="K1522" s="36"/>
      <c r="L1522" s="36"/>
      <c r="M1522" s="36" t="s">
        <v>1613</v>
      </c>
    </row>
    <row r="1523" spans="1:13" x14ac:dyDescent="0.25">
      <c r="A1523" s="49">
        <f t="shared" si="25"/>
        <v>1521</v>
      </c>
      <c r="B1523" s="36" t="s">
        <v>4</v>
      </c>
      <c r="C1523" s="36" t="s">
        <v>7158</v>
      </c>
      <c r="D1523" s="9" t="s">
        <v>7318</v>
      </c>
      <c r="E1523" s="9" t="s">
        <v>6895</v>
      </c>
      <c r="F1523" s="9" t="s">
        <v>7313</v>
      </c>
      <c r="G1523" s="36" t="s">
        <v>14</v>
      </c>
      <c r="H1523" s="36" t="str">
        <f>IFERROR(VLOOKUP(Table2[[#This Row], [Ticket]],Okey!A:B,2,0),"")</f>
        <v/>
      </c>
      <c r="I1523" s="36" t="s">
        <v>7581</v>
      </c>
      <c r="J1523" s="36" t="str">
        <f>VLOOKUP(Table2[[#This Row], [Author]],People!A:B,2,0)</f>
        <v>HC</v>
      </c>
      <c r="K1523" s="36"/>
      <c r="L1523" s="36"/>
      <c r="M1523" s="36" t="s">
        <v>1613</v>
      </c>
    </row>
    <row r="1524" spans="1:13" x14ac:dyDescent="0.25">
      <c r="A1524" s="49">
        <f t="shared" si="25"/>
        <v>1522</v>
      </c>
      <c r="B1524" s="36" t="s">
        <v>4</v>
      </c>
      <c r="C1524" s="36" t="s">
        <v>7158</v>
      </c>
      <c r="D1524" s="9" t="s">
        <v>7319</v>
      </c>
      <c r="E1524" s="9" t="s">
        <v>6896</v>
      </c>
      <c r="F1524" s="9" t="s">
        <v>7318</v>
      </c>
      <c r="G1524" s="36" t="s">
        <v>14</v>
      </c>
      <c r="H1524" s="36" t="str">
        <f>IFERROR(VLOOKUP(Table2[[#This Row], [Ticket]],Okey!A:B,2,0),"")</f>
        <v/>
      </c>
      <c r="I1524" s="36" t="s">
        <v>7581</v>
      </c>
      <c r="J1524" s="36" t="str">
        <f>VLOOKUP(Table2[[#This Row], [Author]],People!A:B,2,0)</f>
        <v>HC</v>
      </c>
      <c r="K1524" s="36"/>
      <c r="L1524" s="36"/>
      <c r="M1524" s="36" t="s">
        <v>1613</v>
      </c>
    </row>
    <row r="1525" spans="1:13" x14ac:dyDescent="0.25">
      <c r="A1525" s="49">
        <f t="shared" si="25"/>
        <v>1523</v>
      </c>
      <c r="B1525" s="36" t="s">
        <v>4</v>
      </c>
      <c r="C1525" s="36" t="s">
        <v>7158</v>
      </c>
      <c r="D1525" s="9" t="s">
        <v>7320</v>
      </c>
      <c r="E1525" s="9" t="s">
        <v>6897</v>
      </c>
      <c r="F1525" s="9" t="s">
        <v>7318</v>
      </c>
      <c r="G1525" s="36" t="s">
        <v>14</v>
      </c>
      <c r="H1525" s="36" t="str">
        <f>IFERROR(VLOOKUP(Table2[[#This Row], [Ticket]],Okey!A:B,2,0),"")</f>
        <v/>
      </c>
      <c r="I1525" s="36" t="s">
        <v>7581</v>
      </c>
      <c r="J1525" s="36" t="str">
        <f>VLOOKUP(Table2[[#This Row], [Author]],People!A:B,2,0)</f>
        <v>HC</v>
      </c>
      <c r="K1525" s="36"/>
      <c r="L1525" s="36"/>
      <c r="M1525" s="36" t="s">
        <v>1613</v>
      </c>
    </row>
    <row r="1526" spans="1:13" x14ac:dyDescent="0.25">
      <c r="A1526" s="49">
        <f t="shared" si="25"/>
        <v>1524</v>
      </c>
      <c r="B1526" s="36" t="s">
        <v>4</v>
      </c>
      <c r="C1526" s="36" t="s">
        <v>7158</v>
      </c>
      <c r="D1526" s="9" t="s">
        <v>7321</v>
      </c>
      <c r="E1526" s="9" t="s">
        <v>6898</v>
      </c>
      <c r="F1526" s="9" t="s">
        <v>6683</v>
      </c>
      <c r="G1526" s="36" t="s">
        <v>14</v>
      </c>
      <c r="H1526" s="36" t="str">
        <f>IFERROR(VLOOKUP(Table2[[#This Row], [Ticket]],Okey!A:B,2,0),"")</f>
        <v/>
      </c>
      <c r="I1526" s="36" t="s">
        <v>7581</v>
      </c>
      <c r="J1526" s="36" t="str">
        <f>VLOOKUP(Table2[[#This Row], [Author]],People!A:B,2,0)</f>
        <v>HC</v>
      </c>
      <c r="K1526" s="36"/>
      <c r="L1526" s="36"/>
      <c r="M1526" s="36" t="s">
        <v>1613</v>
      </c>
    </row>
    <row r="1527" spans="1:13" x14ac:dyDescent="0.25">
      <c r="A1527" s="49">
        <f t="shared" si="25"/>
        <v>1525</v>
      </c>
      <c r="B1527" s="36" t="s">
        <v>4</v>
      </c>
      <c r="C1527" s="36" t="s">
        <v>7158</v>
      </c>
      <c r="D1527" s="9" t="s">
        <v>7322</v>
      </c>
      <c r="E1527" s="9" t="s">
        <v>6899</v>
      </c>
      <c r="F1527" s="9" t="s">
        <v>7321</v>
      </c>
      <c r="G1527" s="36" t="s">
        <v>14</v>
      </c>
      <c r="H1527" s="36" t="str">
        <f>IFERROR(VLOOKUP(Table2[[#This Row], [Ticket]],Okey!A:B,2,0),"")</f>
        <v/>
      </c>
      <c r="I1527" s="36" t="s">
        <v>7581</v>
      </c>
      <c r="J1527" s="36" t="str">
        <f>VLOOKUP(Table2[[#This Row], [Author]],People!A:B,2,0)</f>
        <v>HC</v>
      </c>
      <c r="K1527" s="36"/>
      <c r="L1527" s="36"/>
      <c r="M1527" s="36" t="s">
        <v>1613</v>
      </c>
    </row>
    <row r="1528" spans="1:13" x14ac:dyDescent="0.25">
      <c r="A1528" s="49">
        <f t="shared" si="25"/>
        <v>1526</v>
      </c>
      <c r="B1528" s="36" t="s">
        <v>4</v>
      </c>
      <c r="C1528" s="36" t="s">
        <v>7158</v>
      </c>
      <c r="D1528" s="9" t="s">
        <v>7323</v>
      </c>
      <c r="E1528" s="9" t="s">
        <v>6900</v>
      </c>
      <c r="F1528" s="9" t="s">
        <v>7321</v>
      </c>
      <c r="G1528" s="36" t="s">
        <v>14</v>
      </c>
      <c r="H1528" s="36" t="str">
        <f>IFERROR(VLOOKUP(Table2[[#This Row], [Ticket]],Okey!A:B,2,0),"")</f>
        <v/>
      </c>
      <c r="I1528" s="36" t="s">
        <v>7581</v>
      </c>
      <c r="J1528" s="36" t="str">
        <f>VLOOKUP(Table2[[#This Row], [Author]],People!A:B,2,0)</f>
        <v>HC</v>
      </c>
      <c r="K1528" s="36"/>
      <c r="L1528" s="36"/>
      <c r="M1528" s="36" t="s">
        <v>1613</v>
      </c>
    </row>
    <row r="1529" spans="1:13" x14ac:dyDescent="0.25">
      <c r="A1529" s="49">
        <f t="shared" si="25"/>
        <v>1527</v>
      </c>
      <c r="B1529" s="36" t="s">
        <v>4</v>
      </c>
      <c r="C1529" s="36" t="s">
        <v>7158</v>
      </c>
      <c r="D1529" s="9" t="s">
        <v>7324</v>
      </c>
      <c r="E1529" s="9" t="s">
        <v>6901</v>
      </c>
      <c r="F1529" s="9" t="s">
        <v>7321</v>
      </c>
      <c r="G1529" s="36" t="s">
        <v>14</v>
      </c>
      <c r="H1529" s="36" t="str">
        <f>IFERROR(VLOOKUP(Table2[[#This Row], [Ticket]],Okey!A:B,2,0),"")</f>
        <v/>
      </c>
      <c r="I1529" s="36" t="s">
        <v>7581</v>
      </c>
      <c r="J1529" s="36" t="str">
        <f>VLOOKUP(Table2[[#This Row], [Author]],People!A:B,2,0)</f>
        <v>HC</v>
      </c>
      <c r="K1529" s="36"/>
      <c r="L1529" s="36"/>
      <c r="M1529" s="36" t="s">
        <v>1613</v>
      </c>
    </row>
    <row r="1530" spans="1:13" x14ac:dyDescent="0.25">
      <c r="A1530" s="49">
        <f t="shared" si="25"/>
        <v>1528</v>
      </c>
      <c r="B1530" s="36" t="s">
        <v>4</v>
      </c>
      <c r="C1530" s="36" t="s">
        <v>7158</v>
      </c>
      <c r="D1530" s="9" t="s">
        <v>7325</v>
      </c>
      <c r="E1530" s="9" t="s">
        <v>6902</v>
      </c>
      <c r="F1530" s="9" t="s">
        <v>7324</v>
      </c>
      <c r="G1530" s="36" t="s">
        <v>14</v>
      </c>
      <c r="H1530" s="36" t="str">
        <f>IFERROR(VLOOKUP(Table2[[#This Row], [Ticket]],Okey!A:B,2,0),"")</f>
        <v/>
      </c>
      <c r="I1530" s="36" t="s">
        <v>7581</v>
      </c>
      <c r="J1530" s="36" t="str">
        <f>VLOOKUP(Table2[[#This Row], [Author]],People!A:B,2,0)</f>
        <v>HC</v>
      </c>
      <c r="K1530" s="36"/>
      <c r="L1530" s="36"/>
      <c r="M1530" s="36" t="s">
        <v>1613</v>
      </c>
    </row>
    <row r="1531" spans="1:13" x14ac:dyDescent="0.25">
      <c r="A1531" s="49">
        <f t="shared" si="25"/>
        <v>1529</v>
      </c>
      <c r="B1531" s="36" t="s">
        <v>4</v>
      </c>
      <c r="C1531" s="36" t="s">
        <v>7158</v>
      </c>
      <c r="D1531" s="9" t="s">
        <v>7326</v>
      </c>
      <c r="E1531" s="9" t="s">
        <v>6903</v>
      </c>
      <c r="F1531" s="9" t="s">
        <v>7324</v>
      </c>
      <c r="G1531" s="36" t="s">
        <v>14</v>
      </c>
      <c r="H1531" s="36" t="str">
        <f>IFERROR(VLOOKUP(Table2[[#This Row], [Ticket]],Okey!A:B,2,0),"")</f>
        <v/>
      </c>
      <c r="I1531" s="36" t="s">
        <v>7581</v>
      </c>
      <c r="J1531" s="36" t="str">
        <f>VLOOKUP(Table2[[#This Row], [Author]],People!A:B,2,0)</f>
        <v>HC</v>
      </c>
      <c r="K1531" s="36"/>
      <c r="L1531" s="36"/>
      <c r="M1531" s="36" t="s">
        <v>1613</v>
      </c>
    </row>
    <row r="1532" spans="1:13" x14ac:dyDescent="0.25">
      <c r="A1532" s="49">
        <f t="shared" si="25"/>
        <v>1530</v>
      </c>
      <c r="B1532" s="36" t="s">
        <v>4</v>
      </c>
      <c r="C1532" s="36" t="s">
        <v>7158</v>
      </c>
      <c r="D1532" s="9" t="s">
        <v>7327</v>
      </c>
      <c r="E1532" s="9" t="s">
        <v>6904</v>
      </c>
      <c r="F1532" s="9" t="s">
        <v>7321</v>
      </c>
      <c r="G1532" s="36" t="s">
        <v>14</v>
      </c>
      <c r="H1532" s="36" t="str">
        <f>IFERROR(VLOOKUP(Table2[[#This Row], [Ticket]],Okey!A:B,2,0),"")</f>
        <v/>
      </c>
      <c r="I1532" s="36" t="s">
        <v>7581</v>
      </c>
      <c r="J1532" s="36" t="str">
        <f>VLOOKUP(Table2[[#This Row], [Author]],People!A:B,2,0)</f>
        <v>HC</v>
      </c>
      <c r="K1532" s="36"/>
      <c r="L1532" s="36"/>
      <c r="M1532" s="36" t="s">
        <v>1613</v>
      </c>
    </row>
    <row r="1533" spans="1:13" x14ac:dyDescent="0.25">
      <c r="A1533" s="49">
        <f t="shared" si="25"/>
        <v>1531</v>
      </c>
      <c r="B1533" s="36" t="s">
        <v>4</v>
      </c>
      <c r="C1533" s="36" t="s">
        <v>7158</v>
      </c>
      <c r="D1533" s="9" t="s">
        <v>7328</v>
      </c>
      <c r="E1533" s="9" t="s">
        <v>6905</v>
      </c>
      <c r="F1533" s="9" t="s">
        <v>7327</v>
      </c>
      <c r="G1533" s="36" t="s">
        <v>14</v>
      </c>
      <c r="H1533" s="36" t="str">
        <f>IFERROR(VLOOKUP(Table2[[#This Row], [Ticket]],Okey!A:B,2,0),"")</f>
        <v/>
      </c>
      <c r="I1533" s="36" t="s">
        <v>7581</v>
      </c>
      <c r="J1533" s="36" t="str">
        <f>VLOOKUP(Table2[[#This Row], [Author]],People!A:B,2,0)</f>
        <v>HC</v>
      </c>
      <c r="K1533" s="36"/>
      <c r="L1533" s="36"/>
      <c r="M1533" s="36" t="s">
        <v>1613</v>
      </c>
    </row>
    <row r="1534" spans="1:13" x14ac:dyDescent="0.25">
      <c r="A1534" s="49">
        <f t="shared" si="25"/>
        <v>1532</v>
      </c>
      <c r="B1534" s="36" t="s">
        <v>4</v>
      </c>
      <c r="C1534" s="36" t="s">
        <v>7158</v>
      </c>
      <c r="D1534" s="9" t="s">
        <v>7329</v>
      </c>
      <c r="E1534" s="9" t="s">
        <v>6906</v>
      </c>
      <c r="F1534" s="9" t="s">
        <v>7327</v>
      </c>
      <c r="G1534" s="36" t="s">
        <v>14</v>
      </c>
      <c r="H1534" s="36" t="str">
        <f>IFERROR(VLOOKUP(Table2[[#This Row], [Ticket]],Okey!A:B,2,0),"")</f>
        <v/>
      </c>
      <c r="I1534" s="36" t="s">
        <v>7581</v>
      </c>
      <c r="J1534" s="36" t="str">
        <f>VLOOKUP(Table2[[#This Row], [Author]],People!A:B,2,0)</f>
        <v>HC</v>
      </c>
      <c r="K1534" s="36"/>
      <c r="L1534" s="36"/>
      <c r="M1534" s="36" t="s">
        <v>1613</v>
      </c>
    </row>
    <row r="1535" spans="1:13" x14ac:dyDescent="0.25">
      <c r="A1535" s="49">
        <f t="shared" si="25"/>
        <v>1533</v>
      </c>
      <c r="B1535" s="36" t="s">
        <v>4</v>
      </c>
      <c r="C1535" s="36" t="s">
        <v>7158</v>
      </c>
      <c r="D1535" s="9" t="s">
        <v>7330</v>
      </c>
      <c r="E1535" s="9" t="s">
        <v>6907</v>
      </c>
      <c r="F1535" s="9" t="s">
        <v>7327</v>
      </c>
      <c r="G1535" s="36" t="s">
        <v>14</v>
      </c>
      <c r="H1535" s="36" t="str">
        <f>IFERROR(VLOOKUP(Table2[[#This Row], [Ticket]],Okey!A:B,2,0),"")</f>
        <v/>
      </c>
      <c r="I1535" s="36" t="s">
        <v>7581</v>
      </c>
      <c r="J1535" s="36" t="str">
        <f>VLOOKUP(Table2[[#This Row], [Author]],People!A:B,2,0)</f>
        <v>HC</v>
      </c>
      <c r="K1535" s="36"/>
      <c r="L1535" s="36"/>
      <c r="M1535" s="36" t="s">
        <v>1613</v>
      </c>
    </row>
    <row r="1536" spans="1:13" x14ac:dyDescent="0.25">
      <c r="A1536" s="49">
        <f t="shared" si="25"/>
        <v>1534</v>
      </c>
      <c r="B1536" s="36" t="s">
        <v>4</v>
      </c>
      <c r="C1536" s="36" t="s">
        <v>7158</v>
      </c>
      <c r="D1536" s="9" t="s">
        <v>7331</v>
      </c>
      <c r="E1536" s="9" t="s">
        <v>6908</v>
      </c>
      <c r="F1536" s="9" t="s">
        <v>7327</v>
      </c>
      <c r="G1536" s="36" t="s">
        <v>14</v>
      </c>
      <c r="H1536" s="36" t="str">
        <f>IFERROR(VLOOKUP(Table2[[#This Row], [Ticket]],Okey!A:B,2,0),"")</f>
        <v/>
      </c>
      <c r="I1536" s="36" t="s">
        <v>7581</v>
      </c>
      <c r="J1536" s="36" t="str">
        <f>VLOOKUP(Table2[[#This Row], [Author]],People!A:B,2,0)</f>
        <v>HC</v>
      </c>
      <c r="K1536" s="36"/>
      <c r="L1536" s="36"/>
      <c r="M1536" s="36" t="s">
        <v>1613</v>
      </c>
    </row>
    <row r="1537" spans="1:13" x14ac:dyDescent="0.25">
      <c r="A1537" s="49">
        <f t="shared" si="25"/>
        <v>1535</v>
      </c>
      <c r="B1537" s="36" t="s">
        <v>4</v>
      </c>
      <c r="C1537" s="36" t="s">
        <v>7158</v>
      </c>
      <c r="D1537" s="9" t="s">
        <v>7332</v>
      </c>
      <c r="E1537" s="9" t="s">
        <v>6909</v>
      </c>
      <c r="F1537" s="9" t="s">
        <v>7327</v>
      </c>
      <c r="G1537" s="36" t="s">
        <v>14</v>
      </c>
      <c r="H1537" s="36" t="str">
        <f>IFERROR(VLOOKUP(Table2[[#This Row], [Ticket]],Okey!A:B,2,0),"")</f>
        <v/>
      </c>
      <c r="I1537" s="36" t="s">
        <v>7581</v>
      </c>
      <c r="J1537" s="36" t="str">
        <f>VLOOKUP(Table2[[#This Row], [Author]],People!A:B,2,0)</f>
        <v>HC</v>
      </c>
      <c r="K1537" s="36"/>
      <c r="L1537" s="36"/>
      <c r="M1537" s="36" t="s">
        <v>1613</v>
      </c>
    </row>
    <row r="1538" spans="1:13" x14ac:dyDescent="0.25">
      <c r="A1538" s="49">
        <f t="shared" si="25"/>
        <v>1536</v>
      </c>
      <c r="B1538" s="36" t="s">
        <v>4</v>
      </c>
      <c r="C1538" s="36" t="s">
        <v>7158</v>
      </c>
      <c r="D1538" s="9" t="s">
        <v>7333</v>
      </c>
      <c r="E1538" s="9" t="s">
        <v>6910</v>
      </c>
      <c r="F1538" s="9" t="s">
        <v>6684</v>
      </c>
      <c r="G1538" s="36" t="s">
        <v>14</v>
      </c>
      <c r="H1538" s="36" t="str">
        <f>IFERROR(VLOOKUP(Table2[[#This Row], [Ticket]],Okey!A:B,2,0),"")</f>
        <v/>
      </c>
      <c r="I1538" s="36" t="s">
        <v>7581</v>
      </c>
      <c r="J1538" s="36" t="str">
        <f>VLOOKUP(Table2[[#This Row], [Author]],People!A:B,2,0)</f>
        <v>HC</v>
      </c>
      <c r="K1538" s="36"/>
      <c r="L1538" s="36"/>
      <c r="M1538" s="36" t="s">
        <v>1613</v>
      </c>
    </row>
    <row r="1539" spans="1:13" x14ac:dyDescent="0.25">
      <c r="A1539" s="49">
        <f t="shared" si="25"/>
        <v>1537</v>
      </c>
      <c r="B1539" s="36" t="s">
        <v>4</v>
      </c>
      <c r="C1539" s="36" t="s">
        <v>7158</v>
      </c>
      <c r="D1539" s="9" t="s">
        <v>7334</v>
      </c>
      <c r="E1539" s="9" t="s">
        <v>6911</v>
      </c>
      <c r="F1539" s="9" t="s">
        <v>7333</v>
      </c>
      <c r="G1539" s="36" t="s">
        <v>14</v>
      </c>
      <c r="H1539" s="36" t="str">
        <f>IFERROR(VLOOKUP(Table2[[#This Row], [Ticket]],Okey!A:B,2,0),"")</f>
        <v/>
      </c>
      <c r="I1539" s="36" t="s">
        <v>7581</v>
      </c>
      <c r="J1539" s="36" t="str">
        <f>VLOOKUP(Table2[[#This Row], [Author]],People!A:B,2,0)</f>
        <v>HC</v>
      </c>
      <c r="K1539" s="36"/>
      <c r="L1539" s="36"/>
      <c r="M1539" s="36" t="s">
        <v>1613</v>
      </c>
    </row>
    <row r="1540" spans="1:13" x14ac:dyDescent="0.25">
      <c r="A1540" s="49">
        <f t="shared" si="25"/>
        <v>1538</v>
      </c>
      <c r="B1540" s="36" t="s">
        <v>4</v>
      </c>
      <c r="C1540" s="36" t="s">
        <v>7158</v>
      </c>
      <c r="D1540" s="9" t="s">
        <v>7335</v>
      </c>
      <c r="E1540" s="9" t="s">
        <v>6912</v>
      </c>
      <c r="F1540" s="9" t="s">
        <v>7333</v>
      </c>
      <c r="G1540" s="36" t="s">
        <v>14</v>
      </c>
      <c r="H1540" s="36" t="str">
        <f>IFERROR(VLOOKUP(Table2[[#This Row], [Ticket]],Okey!A:B,2,0),"")</f>
        <v/>
      </c>
      <c r="I1540" s="36" t="s">
        <v>7581</v>
      </c>
      <c r="J1540" s="36" t="str">
        <f>VLOOKUP(Table2[[#This Row], [Author]],People!A:B,2,0)</f>
        <v>HC</v>
      </c>
      <c r="K1540" s="36"/>
      <c r="L1540" s="36"/>
      <c r="M1540" s="36" t="s">
        <v>1613</v>
      </c>
    </row>
    <row r="1541" spans="1:13" x14ac:dyDescent="0.25">
      <c r="A1541" s="49">
        <f t="shared" si="25"/>
        <v>1539</v>
      </c>
      <c r="B1541" s="36" t="s">
        <v>4</v>
      </c>
      <c r="C1541" s="36" t="s">
        <v>7158</v>
      </c>
      <c r="D1541" s="9" t="s">
        <v>7336</v>
      </c>
      <c r="E1541" s="9" t="s">
        <v>6913</v>
      </c>
      <c r="F1541" s="9" t="s">
        <v>7335</v>
      </c>
      <c r="G1541" s="36" t="s">
        <v>14</v>
      </c>
      <c r="H1541" s="36" t="str">
        <f>IFERROR(VLOOKUP(Table2[[#This Row], [Ticket]],Okey!A:B,2,0),"")</f>
        <v/>
      </c>
      <c r="I1541" s="36" t="s">
        <v>7581</v>
      </c>
      <c r="J1541" s="36" t="str">
        <f>VLOOKUP(Table2[[#This Row], [Author]],People!A:B,2,0)</f>
        <v>HC</v>
      </c>
      <c r="K1541" s="36"/>
      <c r="L1541" s="36"/>
      <c r="M1541" s="36" t="s">
        <v>1613</v>
      </c>
    </row>
    <row r="1542" spans="1:13" x14ac:dyDescent="0.25">
      <c r="A1542" s="49">
        <f t="shared" si="25"/>
        <v>1540</v>
      </c>
      <c r="B1542" s="36" t="s">
        <v>4</v>
      </c>
      <c r="C1542" s="36" t="s">
        <v>7158</v>
      </c>
      <c r="D1542" s="9" t="s">
        <v>7337</v>
      </c>
      <c r="E1542" s="9" t="s">
        <v>6914</v>
      </c>
      <c r="F1542" s="9" t="s">
        <v>7335</v>
      </c>
      <c r="G1542" s="36" t="s">
        <v>14</v>
      </c>
      <c r="H1542" s="36" t="str">
        <f>IFERROR(VLOOKUP(Table2[[#This Row], [Ticket]],Okey!A:B,2,0),"")</f>
        <v/>
      </c>
      <c r="I1542" s="36" t="s">
        <v>7581</v>
      </c>
      <c r="J1542" s="36" t="str">
        <f>VLOOKUP(Table2[[#This Row], [Author]],People!A:B,2,0)</f>
        <v>HC</v>
      </c>
      <c r="K1542" s="36"/>
      <c r="L1542" s="36"/>
      <c r="M1542" s="36" t="s">
        <v>1613</v>
      </c>
    </row>
    <row r="1543" spans="1:13" x14ac:dyDescent="0.25">
      <c r="A1543" s="49">
        <f t="shared" si="25"/>
        <v>1541</v>
      </c>
      <c r="B1543" s="36" t="s">
        <v>4</v>
      </c>
      <c r="C1543" s="36" t="s">
        <v>7158</v>
      </c>
      <c r="D1543" s="9" t="s">
        <v>7338</v>
      </c>
      <c r="E1543" s="9" t="s">
        <v>6915</v>
      </c>
      <c r="F1543" s="9" t="s">
        <v>7333</v>
      </c>
      <c r="G1543" s="36" t="s">
        <v>14</v>
      </c>
      <c r="H1543" s="36" t="str">
        <f>IFERROR(VLOOKUP(Table2[[#This Row], [Ticket]],Okey!A:B,2,0),"")</f>
        <v/>
      </c>
      <c r="I1543" s="36" t="s">
        <v>7581</v>
      </c>
      <c r="J1543" s="36" t="str">
        <f>VLOOKUP(Table2[[#This Row], [Author]],People!A:B,2,0)</f>
        <v>HC</v>
      </c>
      <c r="K1543" s="36"/>
      <c r="L1543" s="36"/>
      <c r="M1543" s="36" t="s">
        <v>1613</v>
      </c>
    </row>
    <row r="1544" spans="1:13" x14ac:dyDescent="0.25">
      <c r="A1544" s="49">
        <f t="shared" si="25"/>
        <v>1542</v>
      </c>
      <c r="B1544" s="36" t="s">
        <v>4</v>
      </c>
      <c r="C1544" s="36" t="s">
        <v>7158</v>
      </c>
      <c r="D1544" s="9" t="s">
        <v>7339</v>
      </c>
      <c r="E1544" s="9" t="s">
        <v>6916</v>
      </c>
      <c r="F1544" s="9" t="s">
        <v>7338</v>
      </c>
      <c r="G1544" s="36" t="s">
        <v>14</v>
      </c>
      <c r="H1544" s="36" t="str">
        <f>IFERROR(VLOOKUP(Table2[[#This Row], [Ticket]],Okey!A:B,2,0),"")</f>
        <v/>
      </c>
      <c r="I1544" s="36" t="s">
        <v>7581</v>
      </c>
      <c r="J1544" s="36" t="str">
        <f>VLOOKUP(Table2[[#This Row], [Author]],People!A:B,2,0)</f>
        <v>HC</v>
      </c>
      <c r="K1544" s="36"/>
      <c r="L1544" s="36"/>
      <c r="M1544" s="36" t="s">
        <v>1613</v>
      </c>
    </row>
    <row r="1545" spans="1:13" x14ac:dyDescent="0.25">
      <c r="A1545" s="49">
        <f t="shared" si="25"/>
        <v>1543</v>
      </c>
      <c r="B1545" s="36" t="s">
        <v>4</v>
      </c>
      <c r="C1545" s="36" t="s">
        <v>7158</v>
      </c>
      <c r="D1545" s="9" t="s">
        <v>7340</v>
      </c>
      <c r="E1545" s="9" t="s">
        <v>6917</v>
      </c>
      <c r="F1545" s="9" t="s">
        <v>7338</v>
      </c>
      <c r="G1545" s="36" t="s">
        <v>14</v>
      </c>
      <c r="H1545" s="36" t="str">
        <f>IFERROR(VLOOKUP(Table2[[#This Row], [Ticket]],Okey!A:B,2,0),"")</f>
        <v/>
      </c>
      <c r="I1545" s="36" t="s">
        <v>7581</v>
      </c>
      <c r="J1545" s="36" t="str">
        <f>VLOOKUP(Table2[[#This Row], [Author]],People!A:B,2,0)</f>
        <v>HC</v>
      </c>
      <c r="K1545" s="36"/>
      <c r="L1545" s="36"/>
      <c r="M1545" s="36" t="s">
        <v>1613</v>
      </c>
    </row>
    <row r="1546" spans="1:13" x14ac:dyDescent="0.25">
      <c r="A1546" s="49">
        <f t="shared" si="25"/>
        <v>1544</v>
      </c>
      <c r="B1546" s="36" t="s">
        <v>4</v>
      </c>
      <c r="C1546" s="36" t="s">
        <v>7158</v>
      </c>
      <c r="D1546" s="9" t="s">
        <v>7341</v>
      </c>
      <c r="E1546" s="9" t="s">
        <v>6918</v>
      </c>
      <c r="F1546" s="9" t="s">
        <v>6683</v>
      </c>
      <c r="G1546" s="36" t="s">
        <v>14</v>
      </c>
      <c r="H1546" s="36" t="str">
        <f>IFERROR(VLOOKUP(Table2[[#This Row], [Ticket]],Okey!A:B,2,0),"")</f>
        <v/>
      </c>
      <c r="I1546" s="36" t="s">
        <v>7581</v>
      </c>
      <c r="J1546" s="36" t="str">
        <f>VLOOKUP(Table2[[#This Row], [Author]],People!A:B,2,0)</f>
        <v>HC</v>
      </c>
      <c r="K1546" s="36"/>
      <c r="L1546" s="36"/>
      <c r="M1546" s="36" t="s">
        <v>1613</v>
      </c>
    </row>
    <row r="1547" spans="1:13" x14ac:dyDescent="0.25">
      <c r="A1547" s="49">
        <f t="shared" si="25"/>
        <v>1545</v>
      </c>
      <c r="B1547" s="36" t="s">
        <v>4</v>
      </c>
      <c r="C1547" s="36" t="s">
        <v>7158</v>
      </c>
      <c r="D1547" s="9" t="s">
        <v>7342</v>
      </c>
      <c r="E1547" s="9" t="s">
        <v>6919</v>
      </c>
      <c r="F1547" s="9" t="s">
        <v>7341</v>
      </c>
      <c r="G1547" s="36" t="s">
        <v>14</v>
      </c>
      <c r="H1547" s="36" t="str">
        <f>IFERROR(VLOOKUP(Table2[[#This Row], [Ticket]],Okey!A:B,2,0),"")</f>
        <v/>
      </c>
      <c r="I1547" s="36" t="s">
        <v>7581</v>
      </c>
      <c r="J1547" s="36" t="str">
        <f>VLOOKUP(Table2[[#This Row], [Author]],People!A:B,2,0)</f>
        <v>HC</v>
      </c>
      <c r="K1547" s="36"/>
      <c r="L1547" s="36"/>
      <c r="M1547" s="36" t="s">
        <v>1613</v>
      </c>
    </row>
    <row r="1548" spans="1:13" x14ac:dyDescent="0.25">
      <c r="A1548" s="49">
        <f t="shared" si="25"/>
        <v>1546</v>
      </c>
      <c r="B1548" s="36" t="s">
        <v>4</v>
      </c>
      <c r="C1548" s="36" t="s">
        <v>7158</v>
      </c>
      <c r="D1548" s="9" t="s">
        <v>7343</v>
      </c>
      <c r="E1548" s="9" t="s">
        <v>6920</v>
      </c>
      <c r="F1548" s="9" t="s">
        <v>7341</v>
      </c>
      <c r="G1548" s="36" t="s">
        <v>14</v>
      </c>
      <c r="H1548" s="36" t="str">
        <f>IFERROR(VLOOKUP(Table2[[#This Row], [Ticket]],Okey!A:B,2,0),"")</f>
        <v/>
      </c>
      <c r="I1548" s="36" t="s">
        <v>7581</v>
      </c>
      <c r="J1548" s="36" t="str">
        <f>VLOOKUP(Table2[[#This Row], [Author]],People!A:B,2,0)</f>
        <v>HC</v>
      </c>
      <c r="K1548" s="36"/>
      <c r="L1548" s="36"/>
      <c r="M1548" s="36" t="s">
        <v>1613</v>
      </c>
    </row>
    <row r="1549" spans="1:13" x14ac:dyDescent="0.25">
      <c r="A1549" s="49">
        <f t="shared" si="25"/>
        <v>1547</v>
      </c>
      <c r="B1549" s="36" t="s">
        <v>4</v>
      </c>
      <c r="C1549" s="36" t="s">
        <v>7158</v>
      </c>
      <c r="D1549" s="9" t="s">
        <v>7344</v>
      </c>
      <c r="E1549" s="9" t="s">
        <v>6921</v>
      </c>
      <c r="F1549" s="9" t="s">
        <v>7341</v>
      </c>
      <c r="G1549" s="36" t="s">
        <v>14</v>
      </c>
      <c r="H1549" s="36" t="str">
        <f>IFERROR(VLOOKUP(Table2[[#This Row], [Ticket]],Okey!A:B,2,0),"")</f>
        <v/>
      </c>
      <c r="I1549" s="36" t="s">
        <v>7581</v>
      </c>
      <c r="J1549" s="36" t="str">
        <f>VLOOKUP(Table2[[#This Row], [Author]],People!A:B,2,0)</f>
        <v>HC</v>
      </c>
      <c r="K1549" s="36"/>
      <c r="L1549" s="36"/>
      <c r="M1549" s="36" t="s">
        <v>1613</v>
      </c>
    </row>
    <row r="1550" spans="1:13" x14ac:dyDescent="0.25">
      <c r="A1550" s="49">
        <f t="shared" si="25"/>
        <v>1548</v>
      </c>
      <c r="B1550" s="36" t="s">
        <v>4</v>
      </c>
      <c r="C1550" s="36" t="s">
        <v>7158</v>
      </c>
      <c r="D1550" s="9" t="s">
        <v>7345</v>
      </c>
      <c r="E1550" s="9" t="s">
        <v>6922</v>
      </c>
      <c r="F1550" s="9" t="s">
        <v>7344</v>
      </c>
      <c r="G1550" s="36" t="s">
        <v>14</v>
      </c>
      <c r="H1550" s="36" t="str">
        <f>IFERROR(VLOOKUP(Table2[[#This Row], [Ticket]],Okey!A:B,2,0),"")</f>
        <v/>
      </c>
      <c r="I1550" s="36" t="s">
        <v>7581</v>
      </c>
      <c r="J1550" s="36" t="str">
        <f>VLOOKUP(Table2[[#This Row], [Author]],People!A:B,2,0)</f>
        <v>HC</v>
      </c>
      <c r="K1550" s="36"/>
      <c r="L1550" s="36"/>
      <c r="M1550" s="36" t="s">
        <v>1613</v>
      </c>
    </row>
    <row r="1551" spans="1:13" x14ac:dyDescent="0.25">
      <c r="A1551" s="49">
        <f t="shared" si="25"/>
        <v>1549</v>
      </c>
      <c r="B1551" s="36" t="s">
        <v>4</v>
      </c>
      <c r="C1551" s="36" t="s">
        <v>7158</v>
      </c>
      <c r="D1551" s="9" t="s">
        <v>7346</v>
      </c>
      <c r="E1551" s="9" t="s">
        <v>6923</v>
      </c>
      <c r="F1551" s="9" t="s">
        <v>7344</v>
      </c>
      <c r="G1551" s="36" t="s">
        <v>14</v>
      </c>
      <c r="H1551" s="36" t="str">
        <f>IFERROR(VLOOKUP(Table2[[#This Row], [Ticket]],Okey!A:B,2,0),"")</f>
        <v/>
      </c>
      <c r="I1551" s="36" t="s">
        <v>7581</v>
      </c>
      <c r="J1551" s="36" t="str">
        <f>VLOOKUP(Table2[[#This Row], [Author]],People!A:B,2,0)</f>
        <v>HC</v>
      </c>
      <c r="K1551" s="36"/>
      <c r="L1551" s="36"/>
      <c r="M1551" s="36" t="s">
        <v>1613</v>
      </c>
    </row>
    <row r="1552" spans="1:13" x14ac:dyDescent="0.25">
      <c r="A1552" s="49">
        <f t="shared" si="25"/>
        <v>1550</v>
      </c>
      <c r="B1552" s="36" t="s">
        <v>4</v>
      </c>
      <c r="C1552" s="36" t="s">
        <v>7158</v>
      </c>
      <c r="D1552" s="9" t="s">
        <v>7347</v>
      </c>
      <c r="E1552" s="9" t="s">
        <v>6924</v>
      </c>
      <c r="F1552" s="9" t="s">
        <v>7341</v>
      </c>
      <c r="G1552" s="36" t="s">
        <v>14</v>
      </c>
      <c r="H1552" s="36" t="str">
        <f>IFERROR(VLOOKUP(Table2[[#This Row], [Ticket]],Okey!A:B,2,0),"")</f>
        <v/>
      </c>
      <c r="I1552" s="36" t="s">
        <v>7581</v>
      </c>
      <c r="J1552" s="36" t="str">
        <f>VLOOKUP(Table2[[#This Row], [Author]],People!A:B,2,0)</f>
        <v>HC</v>
      </c>
      <c r="K1552" s="36"/>
      <c r="L1552" s="36"/>
      <c r="M1552" s="36" t="s">
        <v>1613</v>
      </c>
    </row>
    <row r="1553" spans="1:13" x14ac:dyDescent="0.25">
      <c r="A1553" s="49">
        <f t="shared" si="25"/>
        <v>1551</v>
      </c>
      <c r="B1553" s="36" t="s">
        <v>4</v>
      </c>
      <c r="C1553" s="36" t="s">
        <v>7158</v>
      </c>
      <c r="D1553" s="9" t="s">
        <v>7348</v>
      </c>
      <c r="E1553" s="9" t="s">
        <v>6925</v>
      </c>
      <c r="F1553" s="9" t="s">
        <v>7347</v>
      </c>
      <c r="G1553" s="36" t="s">
        <v>14</v>
      </c>
      <c r="H1553" s="36" t="str">
        <f>IFERROR(VLOOKUP(Table2[[#This Row], [Ticket]],Okey!A:B,2,0),"")</f>
        <v/>
      </c>
      <c r="I1553" s="36" t="s">
        <v>7581</v>
      </c>
      <c r="J1553" s="36" t="str">
        <f>VLOOKUP(Table2[[#This Row], [Author]],People!A:B,2,0)</f>
        <v>HC</v>
      </c>
      <c r="K1553" s="36"/>
      <c r="L1553" s="36"/>
      <c r="M1553" s="36" t="s">
        <v>1613</v>
      </c>
    </row>
    <row r="1554" spans="1:13" x14ac:dyDescent="0.25">
      <c r="A1554" s="49">
        <f t="shared" si="25"/>
        <v>1552</v>
      </c>
      <c r="B1554" s="36" t="s">
        <v>4</v>
      </c>
      <c r="C1554" s="36" t="s">
        <v>7158</v>
      </c>
      <c r="D1554" s="9" t="s">
        <v>7349</v>
      </c>
      <c r="E1554" s="9" t="s">
        <v>6926</v>
      </c>
      <c r="F1554" s="9" t="s">
        <v>7347</v>
      </c>
      <c r="G1554" s="36" t="s">
        <v>14</v>
      </c>
      <c r="H1554" s="36" t="str">
        <f>IFERROR(VLOOKUP(Table2[[#This Row], [Ticket]],Okey!A:B,2,0),"")</f>
        <v/>
      </c>
      <c r="I1554" s="36" t="s">
        <v>7581</v>
      </c>
      <c r="J1554" s="36" t="str">
        <f>VLOOKUP(Table2[[#This Row], [Author]],People!A:B,2,0)</f>
        <v>HC</v>
      </c>
      <c r="K1554" s="36"/>
      <c r="L1554" s="36"/>
      <c r="M1554" s="36" t="s">
        <v>1613</v>
      </c>
    </row>
    <row r="1555" spans="1:13" x14ac:dyDescent="0.25">
      <c r="A1555" s="49">
        <f t="shared" si="25"/>
        <v>1553</v>
      </c>
      <c r="B1555" s="36" t="s">
        <v>4</v>
      </c>
      <c r="C1555" s="36" t="s">
        <v>7158</v>
      </c>
      <c r="D1555" s="9" t="s">
        <v>7350</v>
      </c>
      <c r="E1555" s="9" t="s">
        <v>6927</v>
      </c>
      <c r="F1555" s="9" t="s">
        <v>7347</v>
      </c>
      <c r="G1555" s="36" t="s">
        <v>14</v>
      </c>
      <c r="H1555" s="36" t="str">
        <f>IFERROR(VLOOKUP(Table2[[#This Row], [Ticket]],Okey!A:B,2,0),"")</f>
        <v/>
      </c>
      <c r="I1555" s="36" t="s">
        <v>7581</v>
      </c>
      <c r="J1555" s="36" t="str">
        <f>VLOOKUP(Table2[[#This Row], [Author]],People!A:B,2,0)</f>
        <v>HC</v>
      </c>
      <c r="K1555" s="36"/>
      <c r="L1555" s="36"/>
      <c r="M1555" s="36" t="s">
        <v>1613</v>
      </c>
    </row>
    <row r="1556" spans="1:13" x14ac:dyDescent="0.25">
      <c r="A1556" s="49">
        <f t="shared" si="25"/>
        <v>1554</v>
      </c>
      <c r="B1556" s="36" t="s">
        <v>4</v>
      </c>
      <c r="C1556" s="36" t="s">
        <v>7158</v>
      </c>
      <c r="D1556" s="9" t="s">
        <v>7351</v>
      </c>
      <c r="E1556" s="9" t="s">
        <v>6928</v>
      </c>
      <c r="F1556" s="9" t="s">
        <v>7347</v>
      </c>
      <c r="G1556" s="36" t="s">
        <v>14</v>
      </c>
      <c r="H1556" s="36" t="str">
        <f>IFERROR(VLOOKUP(Table2[[#This Row], [Ticket]],Okey!A:B,2,0),"")</f>
        <v/>
      </c>
      <c r="I1556" s="36" t="s">
        <v>7581</v>
      </c>
      <c r="J1556" s="36" t="str">
        <f>VLOOKUP(Table2[[#This Row], [Author]],People!A:B,2,0)</f>
        <v>HC</v>
      </c>
      <c r="K1556" s="36"/>
      <c r="L1556" s="36"/>
      <c r="M1556" s="36" t="s">
        <v>1613</v>
      </c>
    </row>
    <row r="1557" spans="1:13" x14ac:dyDescent="0.25">
      <c r="A1557" s="49">
        <f t="shared" ref="A1557:A1620" si="26">1+A1556</f>
        <v>1555</v>
      </c>
      <c r="B1557" s="36" t="s">
        <v>4</v>
      </c>
      <c r="C1557" s="36" t="s">
        <v>7158</v>
      </c>
      <c r="D1557" s="9" t="s">
        <v>7352</v>
      </c>
      <c r="E1557" s="9" t="s">
        <v>6929</v>
      </c>
      <c r="F1557" s="9" t="s">
        <v>7347</v>
      </c>
      <c r="G1557" s="36" t="s">
        <v>14</v>
      </c>
      <c r="H1557" s="36" t="str">
        <f>IFERROR(VLOOKUP(Table2[[#This Row], [Ticket]],Okey!A:B,2,0),"")</f>
        <v/>
      </c>
      <c r="I1557" s="36" t="s">
        <v>7581</v>
      </c>
      <c r="J1557" s="36" t="str">
        <f>VLOOKUP(Table2[[#This Row], [Author]],People!A:B,2,0)</f>
        <v>HC</v>
      </c>
      <c r="K1557" s="36"/>
      <c r="L1557" s="36"/>
      <c r="M1557" s="36" t="s">
        <v>1613</v>
      </c>
    </row>
    <row r="1558" spans="1:13" x14ac:dyDescent="0.25">
      <c r="A1558" s="49">
        <f t="shared" si="26"/>
        <v>1556</v>
      </c>
      <c r="B1558" s="36" t="s">
        <v>4</v>
      </c>
      <c r="C1558" s="36" t="s">
        <v>7158</v>
      </c>
      <c r="D1558" s="9" t="s">
        <v>7353</v>
      </c>
      <c r="E1558" s="9" t="s">
        <v>6930</v>
      </c>
      <c r="F1558" s="9" t="s">
        <v>6684</v>
      </c>
      <c r="G1558" s="36" t="s">
        <v>14</v>
      </c>
      <c r="H1558" s="36" t="str">
        <f>IFERROR(VLOOKUP(Table2[[#This Row], [Ticket]],Okey!A:B,2,0),"")</f>
        <v/>
      </c>
      <c r="I1558" s="36" t="s">
        <v>7581</v>
      </c>
      <c r="J1558" s="36" t="str">
        <f>VLOOKUP(Table2[[#This Row], [Author]],People!A:B,2,0)</f>
        <v>HC</v>
      </c>
      <c r="K1558" s="36"/>
      <c r="L1558" s="36"/>
      <c r="M1558" s="36" t="s">
        <v>1613</v>
      </c>
    </row>
    <row r="1559" spans="1:13" x14ac:dyDescent="0.25">
      <c r="A1559" s="49">
        <f t="shared" si="26"/>
        <v>1557</v>
      </c>
      <c r="B1559" s="36" t="s">
        <v>4</v>
      </c>
      <c r="C1559" s="36" t="s">
        <v>7158</v>
      </c>
      <c r="D1559" s="9" t="s">
        <v>7354</v>
      </c>
      <c r="E1559" s="9" t="s">
        <v>6931</v>
      </c>
      <c r="F1559" s="9" t="s">
        <v>7353</v>
      </c>
      <c r="G1559" s="36" t="s">
        <v>14</v>
      </c>
      <c r="H1559" s="36" t="str">
        <f>IFERROR(VLOOKUP(Table2[[#This Row], [Ticket]],Okey!A:B,2,0),"")</f>
        <v/>
      </c>
      <c r="I1559" s="36" t="s">
        <v>7581</v>
      </c>
      <c r="J1559" s="36" t="str">
        <f>VLOOKUP(Table2[[#This Row], [Author]],People!A:B,2,0)</f>
        <v>HC</v>
      </c>
      <c r="K1559" s="36"/>
      <c r="L1559" s="36"/>
      <c r="M1559" s="36" t="s">
        <v>1613</v>
      </c>
    </row>
    <row r="1560" spans="1:13" x14ac:dyDescent="0.25">
      <c r="A1560" s="49">
        <f t="shared" si="26"/>
        <v>1558</v>
      </c>
      <c r="B1560" s="36" t="s">
        <v>4</v>
      </c>
      <c r="C1560" s="36" t="s">
        <v>7158</v>
      </c>
      <c r="D1560" s="9" t="s">
        <v>7355</v>
      </c>
      <c r="E1560" s="9" t="s">
        <v>6932</v>
      </c>
      <c r="F1560" s="9" t="s">
        <v>7353</v>
      </c>
      <c r="G1560" s="36" t="s">
        <v>14</v>
      </c>
      <c r="H1560" s="36" t="str">
        <f>IFERROR(VLOOKUP(Table2[[#This Row], [Ticket]],Okey!A:B,2,0),"")</f>
        <v/>
      </c>
      <c r="I1560" s="36" t="s">
        <v>7581</v>
      </c>
      <c r="J1560" s="36" t="str">
        <f>VLOOKUP(Table2[[#This Row], [Author]],People!A:B,2,0)</f>
        <v>HC</v>
      </c>
      <c r="K1560" s="36"/>
      <c r="L1560" s="36"/>
      <c r="M1560" s="36" t="s">
        <v>1613</v>
      </c>
    </row>
    <row r="1561" spans="1:13" x14ac:dyDescent="0.25">
      <c r="A1561" s="49">
        <f t="shared" si="26"/>
        <v>1559</v>
      </c>
      <c r="B1561" s="36" t="s">
        <v>4</v>
      </c>
      <c r="C1561" s="36" t="s">
        <v>7158</v>
      </c>
      <c r="D1561" s="9" t="s">
        <v>7356</v>
      </c>
      <c r="E1561" s="9" t="s">
        <v>6933</v>
      </c>
      <c r="F1561" s="9" t="s">
        <v>7355</v>
      </c>
      <c r="G1561" s="36" t="s">
        <v>14</v>
      </c>
      <c r="H1561" s="36" t="str">
        <f>IFERROR(VLOOKUP(Table2[[#This Row], [Ticket]],Okey!A:B,2,0),"")</f>
        <v/>
      </c>
      <c r="I1561" s="36" t="s">
        <v>7581</v>
      </c>
      <c r="J1561" s="36" t="str">
        <f>VLOOKUP(Table2[[#This Row], [Author]],People!A:B,2,0)</f>
        <v>HC</v>
      </c>
      <c r="K1561" s="36"/>
      <c r="L1561" s="36"/>
      <c r="M1561" s="36" t="s">
        <v>1613</v>
      </c>
    </row>
    <row r="1562" spans="1:13" x14ac:dyDescent="0.25">
      <c r="A1562" s="49">
        <f t="shared" si="26"/>
        <v>1560</v>
      </c>
      <c r="B1562" s="36" t="s">
        <v>4</v>
      </c>
      <c r="C1562" s="36" t="s">
        <v>7158</v>
      </c>
      <c r="D1562" s="9" t="s">
        <v>7357</v>
      </c>
      <c r="E1562" s="9" t="s">
        <v>6934</v>
      </c>
      <c r="F1562" s="9" t="s">
        <v>7355</v>
      </c>
      <c r="G1562" s="36" t="s">
        <v>14</v>
      </c>
      <c r="H1562" s="36" t="str">
        <f>IFERROR(VLOOKUP(Table2[[#This Row], [Ticket]],Okey!A:B,2,0),"")</f>
        <v/>
      </c>
      <c r="I1562" s="36" t="s">
        <v>7581</v>
      </c>
      <c r="J1562" s="36" t="str">
        <f>VLOOKUP(Table2[[#This Row], [Author]],People!A:B,2,0)</f>
        <v>HC</v>
      </c>
      <c r="K1562" s="36"/>
      <c r="L1562" s="36"/>
      <c r="M1562" s="36" t="s">
        <v>1613</v>
      </c>
    </row>
    <row r="1563" spans="1:13" x14ac:dyDescent="0.25">
      <c r="A1563" s="49">
        <f t="shared" si="26"/>
        <v>1561</v>
      </c>
      <c r="B1563" s="36" t="s">
        <v>4</v>
      </c>
      <c r="C1563" s="36" t="s">
        <v>7158</v>
      </c>
      <c r="D1563" s="9" t="s">
        <v>7358</v>
      </c>
      <c r="E1563" s="9" t="s">
        <v>6935</v>
      </c>
      <c r="F1563" s="9" t="s">
        <v>7353</v>
      </c>
      <c r="G1563" s="36" t="s">
        <v>14</v>
      </c>
      <c r="H1563" s="36" t="str">
        <f>IFERROR(VLOOKUP(Table2[[#This Row], [Ticket]],Okey!A:B,2,0),"")</f>
        <v/>
      </c>
      <c r="I1563" s="36" t="s">
        <v>7581</v>
      </c>
      <c r="J1563" s="36" t="str">
        <f>VLOOKUP(Table2[[#This Row], [Author]],People!A:B,2,0)</f>
        <v>HC</v>
      </c>
      <c r="K1563" s="36"/>
      <c r="L1563" s="36"/>
      <c r="M1563" s="36" t="s">
        <v>1613</v>
      </c>
    </row>
    <row r="1564" spans="1:13" x14ac:dyDescent="0.25">
      <c r="A1564" s="49">
        <f t="shared" si="26"/>
        <v>1562</v>
      </c>
      <c r="B1564" s="36" t="s">
        <v>4</v>
      </c>
      <c r="C1564" s="36" t="s">
        <v>7158</v>
      </c>
      <c r="D1564" s="9" t="s">
        <v>7359</v>
      </c>
      <c r="E1564" s="9" t="s">
        <v>6936</v>
      </c>
      <c r="F1564" s="9" t="s">
        <v>7358</v>
      </c>
      <c r="G1564" s="36" t="s">
        <v>14</v>
      </c>
      <c r="H1564" s="36" t="str">
        <f>IFERROR(VLOOKUP(Table2[[#This Row], [Ticket]],Okey!A:B,2,0),"")</f>
        <v/>
      </c>
      <c r="I1564" s="36" t="s">
        <v>7581</v>
      </c>
      <c r="J1564" s="36" t="str">
        <f>VLOOKUP(Table2[[#This Row], [Author]],People!A:B,2,0)</f>
        <v>HC</v>
      </c>
      <c r="K1564" s="36"/>
      <c r="L1564" s="36"/>
      <c r="M1564" s="36" t="s">
        <v>1613</v>
      </c>
    </row>
    <row r="1565" spans="1:13" x14ac:dyDescent="0.25">
      <c r="A1565" s="49">
        <f t="shared" si="26"/>
        <v>1563</v>
      </c>
      <c r="B1565" s="36" t="s">
        <v>4</v>
      </c>
      <c r="C1565" s="36" t="s">
        <v>7158</v>
      </c>
      <c r="D1565" s="9" t="s">
        <v>7360</v>
      </c>
      <c r="E1565" s="9" t="s">
        <v>6937</v>
      </c>
      <c r="F1565" s="9" t="s">
        <v>7358</v>
      </c>
      <c r="G1565" s="36" t="s">
        <v>14</v>
      </c>
      <c r="H1565" s="36" t="str">
        <f>IFERROR(VLOOKUP(Table2[[#This Row], [Ticket]],Okey!A:B,2,0),"")</f>
        <v/>
      </c>
      <c r="I1565" s="36" t="s">
        <v>7581</v>
      </c>
      <c r="J1565" s="36" t="str">
        <f>VLOOKUP(Table2[[#This Row], [Author]],People!A:B,2,0)</f>
        <v>HC</v>
      </c>
      <c r="K1565" s="36"/>
      <c r="L1565" s="36"/>
      <c r="M1565" s="36" t="s">
        <v>1613</v>
      </c>
    </row>
    <row r="1566" spans="1:13" x14ac:dyDescent="0.25">
      <c r="A1566" s="49">
        <f t="shared" si="26"/>
        <v>1564</v>
      </c>
      <c r="B1566" s="36" t="s">
        <v>4</v>
      </c>
      <c r="C1566" s="36" t="s">
        <v>7158</v>
      </c>
      <c r="D1566" s="9" t="s">
        <v>7361</v>
      </c>
      <c r="E1566" s="9" t="s">
        <v>6938</v>
      </c>
      <c r="F1566" s="9" t="s">
        <v>6683</v>
      </c>
      <c r="G1566" s="36" t="s">
        <v>14</v>
      </c>
      <c r="H1566" s="36" t="str">
        <f>IFERROR(VLOOKUP(Table2[[#This Row], [Ticket]],Okey!A:B,2,0),"")</f>
        <v/>
      </c>
      <c r="I1566" s="36" t="s">
        <v>7581</v>
      </c>
      <c r="J1566" s="36" t="str">
        <f>VLOOKUP(Table2[[#This Row], [Author]],People!A:B,2,0)</f>
        <v>HC</v>
      </c>
      <c r="K1566" s="36"/>
      <c r="L1566" s="36"/>
      <c r="M1566" s="36" t="s">
        <v>1613</v>
      </c>
    </row>
    <row r="1567" spans="1:13" x14ac:dyDescent="0.25">
      <c r="A1567" s="49">
        <f t="shared" si="26"/>
        <v>1565</v>
      </c>
      <c r="B1567" s="36" t="s">
        <v>4</v>
      </c>
      <c r="C1567" s="36" t="s">
        <v>7158</v>
      </c>
      <c r="D1567" s="9" t="s">
        <v>7362</v>
      </c>
      <c r="E1567" s="9" t="s">
        <v>6939</v>
      </c>
      <c r="F1567" s="9" t="s">
        <v>7361</v>
      </c>
      <c r="G1567" s="36" t="s">
        <v>14</v>
      </c>
      <c r="H1567" s="36" t="str">
        <f>IFERROR(VLOOKUP(Table2[[#This Row], [Ticket]],Okey!A:B,2,0),"")</f>
        <v/>
      </c>
      <c r="I1567" s="36" t="s">
        <v>7581</v>
      </c>
      <c r="J1567" s="36" t="str">
        <f>VLOOKUP(Table2[[#This Row], [Author]],People!A:B,2,0)</f>
        <v>HC</v>
      </c>
      <c r="K1567" s="36"/>
      <c r="L1567" s="36"/>
      <c r="M1567" s="36" t="s">
        <v>1613</v>
      </c>
    </row>
    <row r="1568" spans="1:13" x14ac:dyDescent="0.25">
      <c r="A1568" s="49">
        <f t="shared" si="26"/>
        <v>1566</v>
      </c>
      <c r="B1568" s="36" t="s">
        <v>4</v>
      </c>
      <c r="C1568" s="36" t="s">
        <v>7158</v>
      </c>
      <c r="D1568" s="9" t="s">
        <v>7363</v>
      </c>
      <c r="E1568" s="9" t="s">
        <v>6940</v>
      </c>
      <c r="F1568" s="9" t="s">
        <v>7361</v>
      </c>
      <c r="G1568" s="36" t="s">
        <v>14</v>
      </c>
      <c r="H1568" s="36" t="str">
        <f>IFERROR(VLOOKUP(Table2[[#This Row], [Ticket]],Okey!A:B,2,0),"")</f>
        <v/>
      </c>
      <c r="I1568" s="36" t="s">
        <v>7581</v>
      </c>
      <c r="J1568" s="36" t="str">
        <f>VLOOKUP(Table2[[#This Row], [Author]],People!A:B,2,0)</f>
        <v>HC</v>
      </c>
      <c r="K1568" s="36"/>
      <c r="L1568" s="36"/>
      <c r="M1568" s="36" t="s">
        <v>1613</v>
      </c>
    </row>
    <row r="1569" spans="1:13" x14ac:dyDescent="0.25">
      <c r="A1569" s="49">
        <f t="shared" si="26"/>
        <v>1567</v>
      </c>
      <c r="B1569" s="36" t="s">
        <v>4</v>
      </c>
      <c r="C1569" s="36" t="s">
        <v>7158</v>
      </c>
      <c r="D1569" s="9" t="s">
        <v>7364</v>
      </c>
      <c r="E1569" s="9" t="s">
        <v>6941</v>
      </c>
      <c r="F1569" s="9" t="s">
        <v>7361</v>
      </c>
      <c r="G1569" s="36" t="s">
        <v>14</v>
      </c>
      <c r="H1569" s="36" t="str">
        <f>IFERROR(VLOOKUP(Table2[[#This Row], [Ticket]],Okey!A:B,2,0),"")</f>
        <v/>
      </c>
      <c r="I1569" s="36" t="s">
        <v>7581</v>
      </c>
      <c r="J1569" s="36" t="str">
        <f>VLOOKUP(Table2[[#This Row], [Author]],People!A:B,2,0)</f>
        <v>HC</v>
      </c>
      <c r="K1569" s="36"/>
      <c r="L1569" s="36"/>
      <c r="M1569" s="36" t="s">
        <v>1613</v>
      </c>
    </row>
    <row r="1570" spans="1:13" x14ac:dyDescent="0.25">
      <c r="A1570" s="49">
        <f t="shared" si="26"/>
        <v>1568</v>
      </c>
      <c r="B1570" s="36" t="s">
        <v>4</v>
      </c>
      <c r="C1570" s="36" t="s">
        <v>7158</v>
      </c>
      <c r="D1570" s="9" t="s">
        <v>7365</v>
      </c>
      <c r="E1570" s="9" t="s">
        <v>6942</v>
      </c>
      <c r="F1570" s="9" t="s">
        <v>7364</v>
      </c>
      <c r="G1570" s="36" t="s">
        <v>14</v>
      </c>
      <c r="H1570" s="36" t="str">
        <f>IFERROR(VLOOKUP(Table2[[#This Row], [Ticket]],Okey!A:B,2,0),"")</f>
        <v/>
      </c>
      <c r="I1570" s="36" t="s">
        <v>7581</v>
      </c>
      <c r="J1570" s="36" t="str">
        <f>VLOOKUP(Table2[[#This Row], [Author]],People!A:B,2,0)</f>
        <v>HC</v>
      </c>
      <c r="K1570" s="36"/>
      <c r="L1570" s="36"/>
      <c r="M1570" s="36" t="s">
        <v>1613</v>
      </c>
    </row>
    <row r="1571" spans="1:13" x14ac:dyDescent="0.25">
      <c r="A1571" s="49">
        <f t="shared" si="26"/>
        <v>1569</v>
      </c>
      <c r="B1571" s="36" t="s">
        <v>4</v>
      </c>
      <c r="C1571" s="36" t="s">
        <v>7158</v>
      </c>
      <c r="D1571" s="9" t="s">
        <v>7366</v>
      </c>
      <c r="E1571" s="9" t="s">
        <v>6943</v>
      </c>
      <c r="F1571" s="9" t="s">
        <v>7364</v>
      </c>
      <c r="G1571" s="36" t="s">
        <v>14</v>
      </c>
      <c r="H1571" s="36" t="str">
        <f>IFERROR(VLOOKUP(Table2[[#This Row], [Ticket]],Okey!A:B,2,0),"")</f>
        <v/>
      </c>
      <c r="I1571" s="36" t="s">
        <v>7581</v>
      </c>
      <c r="J1571" s="36" t="str">
        <f>VLOOKUP(Table2[[#This Row], [Author]],People!A:B,2,0)</f>
        <v>HC</v>
      </c>
      <c r="K1571" s="36"/>
      <c r="L1571" s="36"/>
      <c r="M1571" s="36" t="s">
        <v>1613</v>
      </c>
    </row>
    <row r="1572" spans="1:13" x14ac:dyDescent="0.25">
      <c r="A1572" s="49">
        <f t="shared" si="26"/>
        <v>1570</v>
      </c>
      <c r="B1572" s="36" t="s">
        <v>4</v>
      </c>
      <c r="C1572" s="36" t="s">
        <v>7158</v>
      </c>
      <c r="D1572" s="9" t="s">
        <v>7367</v>
      </c>
      <c r="E1572" s="9" t="s">
        <v>6944</v>
      </c>
      <c r="F1572" s="9" t="s">
        <v>7361</v>
      </c>
      <c r="G1572" s="36" t="s">
        <v>14</v>
      </c>
      <c r="H1572" s="36" t="str">
        <f>IFERROR(VLOOKUP(Table2[[#This Row], [Ticket]],Okey!A:B,2,0),"")</f>
        <v/>
      </c>
      <c r="I1572" s="36" t="s">
        <v>7581</v>
      </c>
      <c r="J1572" s="36" t="str">
        <f>VLOOKUP(Table2[[#This Row], [Author]],People!A:B,2,0)</f>
        <v>HC</v>
      </c>
      <c r="K1572" s="36"/>
      <c r="L1572" s="36"/>
      <c r="M1572" s="36" t="s">
        <v>1613</v>
      </c>
    </row>
    <row r="1573" spans="1:13" x14ac:dyDescent="0.25">
      <c r="A1573" s="49">
        <f t="shared" si="26"/>
        <v>1571</v>
      </c>
      <c r="B1573" s="36" t="s">
        <v>4</v>
      </c>
      <c r="C1573" s="36" t="s">
        <v>7158</v>
      </c>
      <c r="D1573" s="9" t="s">
        <v>7368</v>
      </c>
      <c r="E1573" s="9" t="s">
        <v>6945</v>
      </c>
      <c r="F1573" s="9" t="s">
        <v>7367</v>
      </c>
      <c r="G1573" s="36" t="s">
        <v>14</v>
      </c>
      <c r="H1573" s="36" t="str">
        <f>IFERROR(VLOOKUP(Table2[[#This Row], [Ticket]],Okey!A:B,2,0),"")</f>
        <v/>
      </c>
      <c r="I1573" s="36" t="s">
        <v>7581</v>
      </c>
      <c r="J1573" s="36" t="str">
        <f>VLOOKUP(Table2[[#This Row], [Author]],People!A:B,2,0)</f>
        <v>HC</v>
      </c>
      <c r="K1573" s="36"/>
      <c r="L1573" s="36"/>
      <c r="M1573" s="36" t="s">
        <v>1613</v>
      </c>
    </row>
    <row r="1574" spans="1:13" x14ac:dyDescent="0.25">
      <c r="A1574" s="49">
        <f t="shared" si="26"/>
        <v>1572</v>
      </c>
      <c r="B1574" s="36" t="s">
        <v>4</v>
      </c>
      <c r="C1574" s="36" t="s">
        <v>7158</v>
      </c>
      <c r="D1574" s="9" t="s">
        <v>7369</v>
      </c>
      <c r="E1574" s="9" t="s">
        <v>6946</v>
      </c>
      <c r="F1574" s="9" t="s">
        <v>7367</v>
      </c>
      <c r="G1574" s="36" t="s">
        <v>14</v>
      </c>
      <c r="H1574" s="36" t="str">
        <f>IFERROR(VLOOKUP(Table2[[#This Row], [Ticket]],Okey!A:B,2,0),"")</f>
        <v/>
      </c>
      <c r="I1574" s="36" t="s">
        <v>7581</v>
      </c>
      <c r="J1574" s="36" t="str">
        <f>VLOOKUP(Table2[[#This Row], [Author]],People!A:B,2,0)</f>
        <v>HC</v>
      </c>
      <c r="K1574" s="36"/>
      <c r="L1574" s="36"/>
      <c r="M1574" s="36" t="s">
        <v>1613</v>
      </c>
    </row>
    <row r="1575" spans="1:13" x14ac:dyDescent="0.25">
      <c r="A1575" s="49">
        <f t="shared" si="26"/>
        <v>1573</v>
      </c>
      <c r="B1575" s="36" t="s">
        <v>4</v>
      </c>
      <c r="C1575" s="36" t="s">
        <v>7158</v>
      </c>
      <c r="D1575" s="9" t="s">
        <v>7370</v>
      </c>
      <c r="E1575" s="9" t="s">
        <v>6947</v>
      </c>
      <c r="F1575" s="9" t="s">
        <v>7367</v>
      </c>
      <c r="G1575" s="36" t="s">
        <v>14</v>
      </c>
      <c r="H1575" s="36" t="str">
        <f>IFERROR(VLOOKUP(Table2[[#This Row], [Ticket]],Okey!A:B,2,0),"")</f>
        <v/>
      </c>
      <c r="I1575" s="36" t="s">
        <v>7581</v>
      </c>
      <c r="J1575" s="36" t="str">
        <f>VLOOKUP(Table2[[#This Row], [Author]],People!A:B,2,0)</f>
        <v>HC</v>
      </c>
      <c r="K1575" s="36"/>
      <c r="L1575" s="36"/>
      <c r="M1575" s="36" t="s">
        <v>1613</v>
      </c>
    </row>
    <row r="1576" spans="1:13" x14ac:dyDescent="0.25">
      <c r="A1576" s="49">
        <f t="shared" si="26"/>
        <v>1574</v>
      </c>
      <c r="B1576" s="36" t="s">
        <v>4</v>
      </c>
      <c r="C1576" s="36" t="s">
        <v>7158</v>
      </c>
      <c r="D1576" s="9" t="s">
        <v>7371</v>
      </c>
      <c r="E1576" s="9" t="s">
        <v>6948</v>
      </c>
      <c r="F1576" s="9" t="s">
        <v>7367</v>
      </c>
      <c r="G1576" s="36" t="s">
        <v>14</v>
      </c>
      <c r="H1576" s="36" t="str">
        <f>IFERROR(VLOOKUP(Table2[[#This Row], [Ticket]],Okey!A:B,2,0),"")</f>
        <v/>
      </c>
      <c r="I1576" s="36" t="s">
        <v>7581</v>
      </c>
      <c r="J1576" s="36" t="str">
        <f>VLOOKUP(Table2[[#This Row], [Author]],People!A:B,2,0)</f>
        <v>HC</v>
      </c>
      <c r="K1576" s="36"/>
      <c r="L1576" s="36"/>
      <c r="M1576" s="36" t="s">
        <v>1613</v>
      </c>
    </row>
    <row r="1577" spans="1:13" x14ac:dyDescent="0.25">
      <c r="A1577" s="49">
        <f t="shared" si="26"/>
        <v>1575</v>
      </c>
      <c r="B1577" s="36" t="s">
        <v>4</v>
      </c>
      <c r="C1577" s="36" t="s">
        <v>7158</v>
      </c>
      <c r="D1577" s="9" t="s">
        <v>7372</v>
      </c>
      <c r="E1577" s="9" t="s">
        <v>6949</v>
      </c>
      <c r="F1577" s="9" t="s">
        <v>7367</v>
      </c>
      <c r="G1577" s="36" t="s">
        <v>14</v>
      </c>
      <c r="H1577" s="36" t="str">
        <f>IFERROR(VLOOKUP(Table2[[#This Row], [Ticket]],Okey!A:B,2,0),"")</f>
        <v/>
      </c>
      <c r="I1577" s="36" t="s">
        <v>7581</v>
      </c>
      <c r="J1577" s="36" t="str">
        <f>VLOOKUP(Table2[[#This Row], [Author]],People!A:B,2,0)</f>
        <v>HC</v>
      </c>
      <c r="K1577" s="36"/>
      <c r="L1577" s="36"/>
      <c r="M1577" s="36" t="s">
        <v>1613</v>
      </c>
    </row>
    <row r="1578" spans="1:13" x14ac:dyDescent="0.25">
      <c r="A1578" s="49">
        <f t="shared" si="26"/>
        <v>1576</v>
      </c>
      <c r="B1578" s="36" t="s">
        <v>4</v>
      </c>
      <c r="C1578" s="36" t="s">
        <v>7158</v>
      </c>
      <c r="D1578" s="9" t="s">
        <v>7373</v>
      </c>
      <c r="E1578" s="9" t="s">
        <v>6950</v>
      </c>
      <c r="F1578" s="9" t="s">
        <v>6684</v>
      </c>
      <c r="G1578" s="36" t="s">
        <v>14</v>
      </c>
      <c r="H1578" s="36" t="str">
        <f>IFERROR(VLOOKUP(Table2[[#This Row], [Ticket]],Okey!A:B,2,0),"")</f>
        <v/>
      </c>
      <c r="I1578" s="36" t="s">
        <v>7581</v>
      </c>
      <c r="J1578" s="36" t="str">
        <f>VLOOKUP(Table2[[#This Row], [Author]],People!A:B,2,0)</f>
        <v>HC</v>
      </c>
      <c r="K1578" s="36"/>
      <c r="L1578" s="36"/>
      <c r="M1578" s="36" t="s">
        <v>1613</v>
      </c>
    </row>
    <row r="1579" spans="1:13" x14ac:dyDescent="0.25">
      <c r="A1579" s="49">
        <f t="shared" si="26"/>
        <v>1577</v>
      </c>
      <c r="B1579" s="36" t="s">
        <v>4</v>
      </c>
      <c r="C1579" s="36" t="s">
        <v>7158</v>
      </c>
      <c r="D1579" s="9" t="s">
        <v>7374</v>
      </c>
      <c r="E1579" s="9" t="s">
        <v>6951</v>
      </c>
      <c r="F1579" s="9" t="s">
        <v>7373</v>
      </c>
      <c r="G1579" s="36" t="s">
        <v>14</v>
      </c>
      <c r="H1579" s="36" t="str">
        <f>IFERROR(VLOOKUP(Table2[[#This Row], [Ticket]],Okey!A:B,2,0),"")</f>
        <v/>
      </c>
      <c r="I1579" s="36" t="s">
        <v>7581</v>
      </c>
      <c r="J1579" s="36" t="str">
        <f>VLOOKUP(Table2[[#This Row], [Author]],People!A:B,2,0)</f>
        <v>HC</v>
      </c>
      <c r="K1579" s="36"/>
      <c r="L1579" s="36"/>
      <c r="M1579" s="36" t="s">
        <v>1613</v>
      </c>
    </row>
    <row r="1580" spans="1:13" x14ac:dyDescent="0.25">
      <c r="A1580" s="49">
        <f t="shared" si="26"/>
        <v>1578</v>
      </c>
      <c r="B1580" s="36" t="s">
        <v>4</v>
      </c>
      <c r="C1580" s="36" t="s">
        <v>7158</v>
      </c>
      <c r="D1580" s="9" t="s">
        <v>7375</v>
      </c>
      <c r="E1580" s="9" t="s">
        <v>6952</v>
      </c>
      <c r="F1580" s="9" t="s">
        <v>7373</v>
      </c>
      <c r="G1580" s="36" t="s">
        <v>14</v>
      </c>
      <c r="H1580" s="36" t="str">
        <f>IFERROR(VLOOKUP(Table2[[#This Row], [Ticket]],Okey!A:B,2,0),"")</f>
        <v/>
      </c>
      <c r="I1580" s="36" t="s">
        <v>7581</v>
      </c>
      <c r="J1580" s="36" t="str">
        <f>VLOOKUP(Table2[[#This Row], [Author]],People!A:B,2,0)</f>
        <v>HC</v>
      </c>
      <c r="K1580" s="36"/>
      <c r="L1580" s="36"/>
      <c r="M1580" s="36" t="s">
        <v>1613</v>
      </c>
    </row>
    <row r="1581" spans="1:13" x14ac:dyDescent="0.25">
      <c r="A1581" s="49">
        <f t="shared" si="26"/>
        <v>1579</v>
      </c>
      <c r="B1581" s="36" t="s">
        <v>4</v>
      </c>
      <c r="C1581" s="36" t="s">
        <v>7158</v>
      </c>
      <c r="D1581" s="9" t="s">
        <v>7376</v>
      </c>
      <c r="E1581" s="9" t="s">
        <v>6953</v>
      </c>
      <c r="F1581" s="9" t="s">
        <v>7375</v>
      </c>
      <c r="G1581" s="36" t="s">
        <v>14</v>
      </c>
      <c r="H1581" s="36" t="str">
        <f>IFERROR(VLOOKUP(Table2[[#This Row], [Ticket]],Okey!A:B,2,0),"")</f>
        <v/>
      </c>
      <c r="I1581" s="36" t="s">
        <v>7581</v>
      </c>
      <c r="J1581" s="36" t="str">
        <f>VLOOKUP(Table2[[#This Row], [Author]],People!A:B,2,0)</f>
        <v>HC</v>
      </c>
      <c r="K1581" s="36"/>
      <c r="L1581" s="36"/>
      <c r="M1581" s="36" t="s">
        <v>1613</v>
      </c>
    </row>
    <row r="1582" spans="1:13" x14ac:dyDescent="0.25">
      <c r="A1582" s="49">
        <f t="shared" si="26"/>
        <v>1580</v>
      </c>
      <c r="B1582" s="36" t="s">
        <v>4</v>
      </c>
      <c r="C1582" s="36" t="s">
        <v>7158</v>
      </c>
      <c r="D1582" s="9" t="s">
        <v>7377</v>
      </c>
      <c r="E1582" s="9" t="s">
        <v>6954</v>
      </c>
      <c r="F1582" s="9" t="s">
        <v>7375</v>
      </c>
      <c r="G1582" s="36" t="s">
        <v>14</v>
      </c>
      <c r="H1582" s="36" t="str">
        <f>IFERROR(VLOOKUP(Table2[[#This Row], [Ticket]],Okey!A:B,2,0),"")</f>
        <v/>
      </c>
      <c r="I1582" s="36" t="s">
        <v>7581</v>
      </c>
      <c r="J1582" s="36" t="str">
        <f>VLOOKUP(Table2[[#This Row], [Author]],People!A:B,2,0)</f>
        <v>HC</v>
      </c>
      <c r="K1582" s="36"/>
      <c r="L1582" s="36"/>
      <c r="M1582" s="36" t="s">
        <v>1613</v>
      </c>
    </row>
    <row r="1583" spans="1:13" x14ac:dyDescent="0.25">
      <c r="A1583" s="49">
        <f t="shared" si="26"/>
        <v>1581</v>
      </c>
      <c r="B1583" s="36" t="s">
        <v>4</v>
      </c>
      <c r="C1583" s="36" t="s">
        <v>7158</v>
      </c>
      <c r="D1583" s="9" t="s">
        <v>7378</v>
      </c>
      <c r="E1583" s="9" t="s">
        <v>6955</v>
      </c>
      <c r="F1583" s="9" t="s">
        <v>7373</v>
      </c>
      <c r="G1583" s="36" t="s">
        <v>14</v>
      </c>
      <c r="H1583" s="36" t="str">
        <f>IFERROR(VLOOKUP(Table2[[#This Row], [Ticket]],Okey!A:B,2,0),"")</f>
        <v/>
      </c>
      <c r="I1583" s="36" t="s">
        <v>7581</v>
      </c>
      <c r="J1583" s="36" t="str">
        <f>VLOOKUP(Table2[[#This Row], [Author]],People!A:B,2,0)</f>
        <v>HC</v>
      </c>
      <c r="K1583" s="36"/>
      <c r="L1583" s="36"/>
      <c r="M1583" s="36" t="s">
        <v>1613</v>
      </c>
    </row>
    <row r="1584" spans="1:13" x14ac:dyDescent="0.25">
      <c r="A1584" s="49">
        <f t="shared" si="26"/>
        <v>1582</v>
      </c>
      <c r="B1584" s="36" t="s">
        <v>4</v>
      </c>
      <c r="C1584" s="36" t="s">
        <v>7158</v>
      </c>
      <c r="D1584" s="9" t="s">
        <v>7379</v>
      </c>
      <c r="E1584" s="9" t="s">
        <v>6956</v>
      </c>
      <c r="F1584" s="9" t="s">
        <v>7378</v>
      </c>
      <c r="G1584" s="36" t="s">
        <v>14</v>
      </c>
      <c r="H1584" s="36" t="str">
        <f>IFERROR(VLOOKUP(Table2[[#This Row], [Ticket]],Okey!A:B,2,0),"")</f>
        <v/>
      </c>
      <c r="I1584" s="36" t="s">
        <v>7581</v>
      </c>
      <c r="J1584" s="36" t="str">
        <f>VLOOKUP(Table2[[#This Row], [Author]],People!A:B,2,0)</f>
        <v>HC</v>
      </c>
      <c r="K1584" s="36"/>
      <c r="L1584" s="36"/>
      <c r="M1584" s="36" t="s">
        <v>1613</v>
      </c>
    </row>
    <row r="1585" spans="1:13" x14ac:dyDescent="0.25">
      <c r="A1585" s="49">
        <f t="shared" si="26"/>
        <v>1583</v>
      </c>
      <c r="B1585" s="36" t="s">
        <v>4</v>
      </c>
      <c r="C1585" s="36" t="s">
        <v>7158</v>
      </c>
      <c r="D1585" s="9" t="s">
        <v>7380</v>
      </c>
      <c r="E1585" s="9" t="s">
        <v>6957</v>
      </c>
      <c r="F1585" s="9" t="s">
        <v>7378</v>
      </c>
      <c r="G1585" s="36" t="s">
        <v>14</v>
      </c>
      <c r="H1585" s="36" t="str">
        <f>IFERROR(VLOOKUP(Table2[[#This Row], [Ticket]],Okey!A:B,2,0),"")</f>
        <v/>
      </c>
      <c r="I1585" s="36" t="s">
        <v>7581</v>
      </c>
      <c r="J1585" s="36" t="str">
        <f>VLOOKUP(Table2[[#This Row], [Author]],People!A:B,2,0)</f>
        <v>HC</v>
      </c>
      <c r="K1585" s="36"/>
      <c r="L1585" s="36"/>
      <c r="M1585" s="36" t="s">
        <v>1613</v>
      </c>
    </row>
    <row r="1586" spans="1:13" x14ac:dyDescent="0.25">
      <c r="A1586" s="49">
        <f t="shared" si="26"/>
        <v>1584</v>
      </c>
      <c r="B1586" s="36" t="s">
        <v>4</v>
      </c>
      <c r="C1586" s="36" t="s">
        <v>7158</v>
      </c>
      <c r="D1586" s="9" t="s">
        <v>7381</v>
      </c>
      <c r="E1586" s="9" t="s">
        <v>6958</v>
      </c>
      <c r="F1586" s="9" t="s">
        <v>6683</v>
      </c>
      <c r="G1586" s="36" t="s">
        <v>14</v>
      </c>
      <c r="H1586" s="36" t="str">
        <f>IFERROR(VLOOKUP(Table2[[#This Row], [Ticket]],Okey!A:B,2,0),"")</f>
        <v/>
      </c>
      <c r="I1586" s="36" t="s">
        <v>7581</v>
      </c>
      <c r="J1586" s="36" t="str">
        <f>VLOOKUP(Table2[[#This Row], [Author]],People!A:B,2,0)</f>
        <v>HC</v>
      </c>
      <c r="K1586" s="36"/>
      <c r="L1586" s="36"/>
      <c r="M1586" s="36" t="s">
        <v>1613</v>
      </c>
    </row>
    <row r="1587" spans="1:13" x14ac:dyDescent="0.25">
      <c r="A1587" s="49">
        <f t="shared" si="26"/>
        <v>1585</v>
      </c>
      <c r="B1587" s="36" t="s">
        <v>4</v>
      </c>
      <c r="C1587" s="36" t="s">
        <v>7158</v>
      </c>
      <c r="D1587" s="9" t="s">
        <v>7382</v>
      </c>
      <c r="E1587" s="9" t="s">
        <v>6959</v>
      </c>
      <c r="F1587" s="9" t="s">
        <v>7381</v>
      </c>
      <c r="G1587" s="36" t="s">
        <v>14</v>
      </c>
      <c r="H1587" s="36" t="str">
        <f>IFERROR(VLOOKUP(Table2[[#This Row], [Ticket]],Okey!A:B,2,0),"")</f>
        <v/>
      </c>
      <c r="I1587" s="36" t="s">
        <v>7581</v>
      </c>
      <c r="J1587" s="36" t="str">
        <f>VLOOKUP(Table2[[#This Row], [Author]],People!A:B,2,0)</f>
        <v>HC</v>
      </c>
      <c r="K1587" s="36"/>
      <c r="L1587" s="36"/>
      <c r="M1587" s="36" t="s">
        <v>1613</v>
      </c>
    </row>
    <row r="1588" spans="1:13" x14ac:dyDescent="0.25">
      <c r="A1588" s="49">
        <f t="shared" si="26"/>
        <v>1586</v>
      </c>
      <c r="B1588" s="36" t="s">
        <v>4</v>
      </c>
      <c r="C1588" s="36" t="s">
        <v>7158</v>
      </c>
      <c r="D1588" s="9" t="s">
        <v>7383</v>
      </c>
      <c r="E1588" s="9" t="s">
        <v>6960</v>
      </c>
      <c r="F1588" s="9" t="s">
        <v>7381</v>
      </c>
      <c r="G1588" s="36" t="s">
        <v>14</v>
      </c>
      <c r="H1588" s="36" t="str">
        <f>IFERROR(VLOOKUP(Table2[[#This Row], [Ticket]],Okey!A:B,2,0),"")</f>
        <v/>
      </c>
      <c r="I1588" s="36" t="s">
        <v>7581</v>
      </c>
      <c r="J1588" s="36" t="str">
        <f>VLOOKUP(Table2[[#This Row], [Author]],People!A:B,2,0)</f>
        <v>HC</v>
      </c>
      <c r="K1588" s="36"/>
      <c r="L1588" s="36"/>
      <c r="M1588" s="36" t="s">
        <v>1613</v>
      </c>
    </row>
    <row r="1589" spans="1:13" x14ac:dyDescent="0.25">
      <c r="A1589" s="49">
        <f t="shared" si="26"/>
        <v>1587</v>
      </c>
      <c r="B1589" s="36" t="s">
        <v>4</v>
      </c>
      <c r="C1589" s="36" t="s">
        <v>7158</v>
      </c>
      <c r="D1589" s="9" t="s">
        <v>7384</v>
      </c>
      <c r="E1589" s="9" t="s">
        <v>6961</v>
      </c>
      <c r="F1589" s="9" t="s">
        <v>7381</v>
      </c>
      <c r="G1589" s="36" t="s">
        <v>14</v>
      </c>
      <c r="H1589" s="36" t="str">
        <f>IFERROR(VLOOKUP(Table2[[#This Row], [Ticket]],Okey!A:B,2,0),"")</f>
        <v/>
      </c>
      <c r="I1589" s="36" t="s">
        <v>7581</v>
      </c>
      <c r="J1589" s="36" t="str">
        <f>VLOOKUP(Table2[[#This Row], [Author]],People!A:B,2,0)</f>
        <v>HC</v>
      </c>
      <c r="K1589" s="36"/>
      <c r="L1589" s="36"/>
      <c r="M1589" s="36" t="s">
        <v>1613</v>
      </c>
    </row>
    <row r="1590" spans="1:13" x14ac:dyDescent="0.25">
      <c r="A1590" s="49">
        <f t="shared" si="26"/>
        <v>1588</v>
      </c>
      <c r="B1590" s="36" t="s">
        <v>4</v>
      </c>
      <c r="C1590" s="36" t="s">
        <v>7158</v>
      </c>
      <c r="D1590" s="9" t="s">
        <v>7385</v>
      </c>
      <c r="E1590" s="9" t="s">
        <v>6962</v>
      </c>
      <c r="F1590" s="9" t="s">
        <v>7384</v>
      </c>
      <c r="G1590" s="36" t="s">
        <v>14</v>
      </c>
      <c r="H1590" s="36" t="str">
        <f>IFERROR(VLOOKUP(Table2[[#This Row], [Ticket]],Okey!A:B,2,0),"")</f>
        <v/>
      </c>
      <c r="I1590" s="36" t="s">
        <v>7581</v>
      </c>
      <c r="J1590" s="36" t="str">
        <f>VLOOKUP(Table2[[#This Row], [Author]],People!A:B,2,0)</f>
        <v>HC</v>
      </c>
      <c r="K1590" s="36"/>
      <c r="L1590" s="36"/>
      <c r="M1590" s="36" t="s">
        <v>1613</v>
      </c>
    </row>
    <row r="1591" spans="1:13" x14ac:dyDescent="0.25">
      <c r="A1591" s="49">
        <f t="shared" si="26"/>
        <v>1589</v>
      </c>
      <c r="B1591" s="36" t="s">
        <v>4</v>
      </c>
      <c r="C1591" s="36" t="s">
        <v>7158</v>
      </c>
      <c r="D1591" s="9" t="s">
        <v>7386</v>
      </c>
      <c r="E1591" s="9" t="s">
        <v>6963</v>
      </c>
      <c r="F1591" s="9" t="s">
        <v>7384</v>
      </c>
      <c r="G1591" s="36" t="s">
        <v>14</v>
      </c>
      <c r="H1591" s="36" t="str">
        <f>IFERROR(VLOOKUP(Table2[[#This Row], [Ticket]],Okey!A:B,2,0),"")</f>
        <v/>
      </c>
      <c r="I1591" s="36" t="s">
        <v>7581</v>
      </c>
      <c r="J1591" s="36" t="str">
        <f>VLOOKUP(Table2[[#This Row], [Author]],People!A:B,2,0)</f>
        <v>HC</v>
      </c>
      <c r="K1591" s="36"/>
      <c r="L1591" s="36"/>
      <c r="M1591" s="36" t="s">
        <v>1613</v>
      </c>
    </row>
    <row r="1592" spans="1:13" x14ac:dyDescent="0.25">
      <c r="A1592" s="49">
        <f t="shared" si="26"/>
        <v>1590</v>
      </c>
      <c r="B1592" s="36" t="s">
        <v>4</v>
      </c>
      <c r="C1592" s="36" t="s">
        <v>7158</v>
      </c>
      <c r="D1592" s="9" t="s">
        <v>7387</v>
      </c>
      <c r="E1592" s="9" t="s">
        <v>6964</v>
      </c>
      <c r="F1592" s="9" t="s">
        <v>7381</v>
      </c>
      <c r="G1592" s="36" t="s">
        <v>14</v>
      </c>
      <c r="H1592" s="36" t="str">
        <f>IFERROR(VLOOKUP(Table2[[#This Row], [Ticket]],Okey!A:B,2,0),"")</f>
        <v/>
      </c>
      <c r="I1592" s="36" t="s">
        <v>7581</v>
      </c>
      <c r="J1592" s="36" t="str">
        <f>VLOOKUP(Table2[[#This Row], [Author]],People!A:B,2,0)</f>
        <v>HC</v>
      </c>
      <c r="K1592" s="36"/>
      <c r="L1592" s="36"/>
      <c r="M1592" s="36" t="s">
        <v>1613</v>
      </c>
    </row>
    <row r="1593" spans="1:13" x14ac:dyDescent="0.25">
      <c r="A1593" s="49">
        <f t="shared" si="26"/>
        <v>1591</v>
      </c>
      <c r="B1593" s="36" t="s">
        <v>4</v>
      </c>
      <c r="C1593" s="36" t="s">
        <v>7158</v>
      </c>
      <c r="D1593" s="9" t="s">
        <v>7388</v>
      </c>
      <c r="E1593" s="9" t="s">
        <v>6965</v>
      </c>
      <c r="F1593" s="9" t="s">
        <v>7387</v>
      </c>
      <c r="G1593" s="36" t="s">
        <v>14</v>
      </c>
      <c r="H1593" s="36" t="str">
        <f>IFERROR(VLOOKUP(Table2[[#This Row], [Ticket]],Okey!A:B,2,0),"")</f>
        <v/>
      </c>
      <c r="I1593" s="36" t="s">
        <v>7581</v>
      </c>
      <c r="J1593" s="36" t="str">
        <f>VLOOKUP(Table2[[#This Row], [Author]],People!A:B,2,0)</f>
        <v>HC</v>
      </c>
      <c r="K1593" s="36"/>
      <c r="L1593" s="36"/>
      <c r="M1593" s="36" t="s">
        <v>1613</v>
      </c>
    </row>
    <row r="1594" spans="1:13" x14ac:dyDescent="0.25">
      <c r="A1594" s="49">
        <f t="shared" si="26"/>
        <v>1592</v>
      </c>
      <c r="B1594" s="36" t="s">
        <v>4</v>
      </c>
      <c r="C1594" s="36" t="s">
        <v>7158</v>
      </c>
      <c r="D1594" s="9" t="s">
        <v>7389</v>
      </c>
      <c r="E1594" s="9" t="s">
        <v>6966</v>
      </c>
      <c r="F1594" s="9" t="s">
        <v>7387</v>
      </c>
      <c r="G1594" s="36" t="s">
        <v>14</v>
      </c>
      <c r="H1594" s="36" t="str">
        <f>IFERROR(VLOOKUP(Table2[[#This Row], [Ticket]],Okey!A:B,2,0),"")</f>
        <v/>
      </c>
      <c r="I1594" s="36" t="s">
        <v>7581</v>
      </c>
      <c r="J1594" s="36" t="str">
        <f>VLOOKUP(Table2[[#This Row], [Author]],People!A:B,2,0)</f>
        <v>HC</v>
      </c>
      <c r="K1594" s="36"/>
      <c r="L1594" s="36"/>
      <c r="M1594" s="36" t="s">
        <v>1613</v>
      </c>
    </row>
    <row r="1595" spans="1:13" x14ac:dyDescent="0.25">
      <c r="A1595" s="49">
        <f t="shared" si="26"/>
        <v>1593</v>
      </c>
      <c r="B1595" s="36" t="s">
        <v>4</v>
      </c>
      <c r="C1595" s="36" t="s">
        <v>7158</v>
      </c>
      <c r="D1595" s="9" t="s">
        <v>7390</v>
      </c>
      <c r="E1595" s="9" t="s">
        <v>6967</v>
      </c>
      <c r="F1595" s="9" t="s">
        <v>7387</v>
      </c>
      <c r="G1595" s="36" t="s">
        <v>14</v>
      </c>
      <c r="H1595" s="36" t="str">
        <f>IFERROR(VLOOKUP(Table2[[#This Row], [Ticket]],Okey!A:B,2,0),"")</f>
        <v/>
      </c>
      <c r="I1595" s="36" t="s">
        <v>7581</v>
      </c>
      <c r="J1595" s="36" t="str">
        <f>VLOOKUP(Table2[[#This Row], [Author]],People!A:B,2,0)</f>
        <v>HC</v>
      </c>
      <c r="K1595" s="36"/>
      <c r="L1595" s="36"/>
      <c r="M1595" s="36" t="s">
        <v>1613</v>
      </c>
    </row>
    <row r="1596" spans="1:13" x14ac:dyDescent="0.25">
      <c r="A1596" s="49">
        <f t="shared" si="26"/>
        <v>1594</v>
      </c>
      <c r="B1596" s="36" t="s">
        <v>4</v>
      </c>
      <c r="C1596" s="36" t="s">
        <v>7158</v>
      </c>
      <c r="D1596" s="9" t="s">
        <v>7391</v>
      </c>
      <c r="E1596" s="9" t="s">
        <v>6968</v>
      </c>
      <c r="F1596" s="9" t="s">
        <v>7387</v>
      </c>
      <c r="G1596" s="36" t="s">
        <v>14</v>
      </c>
      <c r="H1596" s="36" t="str">
        <f>IFERROR(VLOOKUP(Table2[[#This Row], [Ticket]],Okey!A:B,2,0),"")</f>
        <v/>
      </c>
      <c r="I1596" s="36" t="s">
        <v>7581</v>
      </c>
      <c r="J1596" s="36" t="str">
        <f>VLOOKUP(Table2[[#This Row], [Author]],People!A:B,2,0)</f>
        <v>HC</v>
      </c>
      <c r="K1596" s="36"/>
      <c r="L1596" s="36"/>
      <c r="M1596" s="36" t="s">
        <v>1613</v>
      </c>
    </row>
    <row r="1597" spans="1:13" x14ac:dyDescent="0.25">
      <c r="A1597" s="49">
        <f t="shared" si="26"/>
        <v>1595</v>
      </c>
      <c r="B1597" s="36" t="s">
        <v>4</v>
      </c>
      <c r="C1597" s="36" t="s">
        <v>7158</v>
      </c>
      <c r="D1597" s="9" t="s">
        <v>7392</v>
      </c>
      <c r="E1597" s="9" t="s">
        <v>6969</v>
      </c>
      <c r="F1597" s="9" t="s">
        <v>7387</v>
      </c>
      <c r="G1597" s="36" t="s">
        <v>14</v>
      </c>
      <c r="H1597" s="36" t="str">
        <f>IFERROR(VLOOKUP(Table2[[#This Row], [Ticket]],Okey!A:B,2,0),"")</f>
        <v/>
      </c>
      <c r="I1597" s="36" t="s">
        <v>7581</v>
      </c>
      <c r="J1597" s="36" t="str">
        <f>VLOOKUP(Table2[[#This Row], [Author]],People!A:B,2,0)</f>
        <v>HC</v>
      </c>
      <c r="K1597" s="36"/>
      <c r="L1597" s="36"/>
      <c r="M1597" s="36" t="s">
        <v>1613</v>
      </c>
    </row>
    <row r="1598" spans="1:13" x14ac:dyDescent="0.25">
      <c r="A1598" s="49">
        <f t="shared" si="26"/>
        <v>1596</v>
      </c>
      <c r="B1598" s="36" t="s">
        <v>4</v>
      </c>
      <c r="C1598" s="36" t="s">
        <v>7158</v>
      </c>
      <c r="D1598" s="9" t="s">
        <v>7393</v>
      </c>
      <c r="E1598" s="9" t="s">
        <v>6970</v>
      </c>
      <c r="F1598" s="9" t="s">
        <v>6684</v>
      </c>
      <c r="G1598" s="36" t="s">
        <v>14</v>
      </c>
      <c r="H1598" s="36" t="str">
        <f>IFERROR(VLOOKUP(Table2[[#This Row], [Ticket]],Okey!A:B,2,0),"")</f>
        <v/>
      </c>
      <c r="I1598" s="36" t="s">
        <v>7581</v>
      </c>
      <c r="J1598" s="36" t="str">
        <f>VLOOKUP(Table2[[#This Row], [Author]],People!A:B,2,0)</f>
        <v>HC</v>
      </c>
      <c r="K1598" s="36"/>
      <c r="L1598" s="36"/>
      <c r="M1598" s="36" t="s">
        <v>1613</v>
      </c>
    </row>
    <row r="1599" spans="1:13" x14ac:dyDescent="0.25">
      <c r="A1599" s="49">
        <f t="shared" si="26"/>
        <v>1597</v>
      </c>
      <c r="B1599" s="36" t="s">
        <v>4</v>
      </c>
      <c r="C1599" s="36" t="s">
        <v>7158</v>
      </c>
      <c r="D1599" s="9" t="s">
        <v>7394</v>
      </c>
      <c r="E1599" s="9" t="s">
        <v>6971</v>
      </c>
      <c r="F1599" s="9" t="s">
        <v>7393</v>
      </c>
      <c r="G1599" s="36" t="s">
        <v>14</v>
      </c>
      <c r="H1599" s="36" t="str">
        <f>IFERROR(VLOOKUP(Table2[[#This Row], [Ticket]],Okey!A:B,2,0),"")</f>
        <v/>
      </c>
      <c r="I1599" s="36" t="s">
        <v>7581</v>
      </c>
      <c r="J1599" s="36" t="str">
        <f>VLOOKUP(Table2[[#This Row], [Author]],People!A:B,2,0)</f>
        <v>HC</v>
      </c>
      <c r="K1599" s="36"/>
      <c r="L1599" s="36"/>
      <c r="M1599" s="36" t="s">
        <v>1613</v>
      </c>
    </row>
    <row r="1600" spans="1:13" x14ac:dyDescent="0.25">
      <c r="A1600" s="49">
        <f t="shared" si="26"/>
        <v>1598</v>
      </c>
      <c r="B1600" s="36" t="s">
        <v>4</v>
      </c>
      <c r="C1600" s="36" t="s">
        <v>7158</v>
      </c>
      <c r="D1600" s="9" t="s">
        <v>7395</v>
      </c>
      <c r="E1600" s="9" t="s">
        <v>6972</v>
      </c>
      <c r="F1600" s="9" t="s">
        <v>7393</v>
      </c>
      <c r="G1600" s="36" t="s">
        <v>14</v>
      </c>
      <c r="H1600" s="36" t="str">
        <f>IFERROR(VLOOKUP(Table2[[#This Row], [Ticket]],Okey!A:B,2,0),"")</f>
        <v/>
      </c>
      <c r="I1600" s="36" t="s">
        <v>7581</v>
      </c>
      <c r="J1600" s="36" t="str">
        <f>VLOOKUP(Table2[[#This Row], [Author]],People!A:B,2,0)</f>
        <v>HC</v>
      </c>
      <c r="K1600" s="36"/>
      <c r="L1600" s="36"/>
      <c r="M1600" s="36" t="s">
        <v>1613</v>
      </c>
    </row>
    <row r="1601" spans="1:13" x14ac:dyDescent="0.25">
      <c r="A1601" s="49">
        <f t="shared" si="26"/>
        <v>1599</v>
      </c>
      <c r="B1601" s="36" t="s">
        <v>4</v>
      </c>
      <c r="C1601" s="36" t="s">
        <v>7158</v>
      </c>
      <c r="D1601" s="9" t="s">
        <v>7396</v>
      </c>
      <c r="E1601" s="9" t="s">
        <v>6973</v>
      </c>
      <c r="F1601" s="9" t="s">
        <v>7395</v>
      </c>
      <c r="G1601" s="36" t="s">
        <v>14</v>
      </c>
      <c r="H1601" s="36" t="str">
        <f>IFERROR(VLOOKUP(Table2[[#This Row], [Ticket]],Okey!A:B,2,0),"")</f>
        <v/>
      </c>
      <c r="I1601" s="36" t="s">
        <v>7581</v>
      </c>
      <c r="J1601" s="36" t="str">
        <f>VLOOKUP(Table2[[#This Row], [Author]],People!A:B,2,0)</f>
        <v>HC</v>
      </c>
      <c r="K1601" s="36"/>
      <c r="L1601" s="36"/>
      <c r="M1601" s="36" t="s">
        <v>1613</v>
      </c>
    </row>
    <row r="1602" spans="1:13" x14ac:dyDescent="0.25">
      <c r="A1602" s="49">
        <f t="shared" si="26"/>
        <v>1600</v>
      </c>
      <c r="B1602" s="36" t="s">
        <v>4</v>
      </c>
      <c r="C1602" s="36" t="s">
        <v>7158</v>
      </c>
      <c r="D1602" s="9" t="s">
        <v>7397</v>
      </c>
      <c r="E1602" s="9" t="s">
        <v>6974</v>
      </c>
      <c r="F1602" s="9" t="s">
        <v>7395</v>
      </c>
      <c r="G1602" s="36" t="s">
        <v>14</v>
      </c>
      <c r="H1602" s="36" t="str">
        <f>IFERROR(VLOOKUP(Table2[[#This Row], [Ticket]],Okey!A:B,2,0),"")</f>
        <v/>
      </c>
      <c r="I1602" s="36" t="s">
        <v>7581</v>
      </c>
      <c r="J1602" s="36" t="str">
        <f>VLOOKUP(Table2[[#This Row], [Author]],People!A:B,2,0)</f>
        <v>HC</v>
      </c>
      <c r="K1602" s="36"/>
      <c r="L1602" s="36"/>
      <c r="M1602" s="36" t="s">
        <v>1613</v>
      </c>
    </row>
    <row r="1603" spans="1:13" x14ac:dyDescent="0.25">
      <c r="A1603" s="49">
        <f t="shared" si="26"/>
        <v>1601</v>
      </c>
      <c r="B1603" s="36" t="s">
        <v>4</v>
      </c>
      <c r="C1603" s="36" t="s">
        <v>7158</v>
      </c>
      <c r="D1603" s="9" t="s">
        <v>7398</v>
      </c>
      <c r="E1603" s="9" t="s">
        <v>6975</v>
      </c>
      <c r="F1603" s="9" t="s">
        <v>7393</v>
      </c>
      <c r="G1603" s="36" t="s">
        <v>14</v>
      </c>
      <c r="H1603" s="36" t="str">
        <f>IFERROR(VLOOKUP(Table2[[#This Row], [Ticket]],Okey!A:B,2,0),"")</f>
        <v/>
      </c>
      <c r="I1603" s="36" t="s">
        <v>7581</v>
      </c>
      <c r="J1603" s="36" t="str">
        <f>VLOOKUP(Table2[[#This Row], [Author]],People!A:B,2,0)</f>
        <v>HC</v>
      </c>
      <c r="K1603" s="36"/>
      <c r="L1603" s="36"/>
      <c r="M1603" s="36" t="s">
        <v>1613</v>
      </c>
    </row>
    <row r="1604" spans="1:13" x14ac:dyDescent="0.25">
      <c r="A1604" s="49">
        <f t="shared" si="26"/>
        <v>1602</v>
      </c>
      <c r="B1604" s="36" t="s">
        <v>4</v>
      </c>
      <c r="C1604" s="36" t="s">
        <v>7158</v>
      </c>
      <c r="D1604" s="9" t="s">
        <v>7399</v>
      </c>
      <c r="E1604" s="9" t="s">
        <v>6976</v>
      </c>
      <c r="F1604" s="9" t="s">
        <v>7398</v>
      </c>
      <c r="G1604" s="36" t="s">
        <v>14</v>
      </c>
      <c r="H1604" s="36" t="str">
        <f>IFERROR(VLOOKUP(Table2[[#This Row], [Ticket]],Okey!A:B,2,0),"")</f>
        <v/>
      </c>
      <c r="I1604" s="36" t="s">
        <v>7581</v>
      </c>
      <c r="J1604" s="36" t="str">
        <f>VLOOKUP(Table2[[#This Row], [Author]],People!A:B,2,0)</f>
        <v>HC</v>
      </c>
      <c r="K1604" s="36"/>
      <c r="L1604" s="36"/>
      <c r="M1604" s="36" t="s">
        <v>1613</v>
      </c>
    </row>
    <row r="1605" spans="1:13" x14ac:dyDescent="0.25">
      <c r="A1605" s="49">
        <f t="shared" si="26"/>
        <v>1603</v>
      </c>
      <c r="B1605" s="36" t="s">
        <v>4</v>
      </c>
      <c r="C1605" s="36" t="s">
        <v>7158</v>
      </c>
      <c r="D1605" s="9" t="s">
        <v>7400</v>
      </c>
      <c r="E1605" s="9" t="s">
        <v>6977</v>
      </c>
      <c r="F1605" s="9" t="s">
        <v>7398</v>
      </c>
      <c r="G1605" s="36" t="s">
        <v>14</v>
      </c>
      <c r="H1605" s="36" t="str">
        <f>IFERROR(VLOOKUP(Table2[[#This Row], [Ticket]],Okey!A:B,2,0),"")</f>
        <v/>
      </c>
      <c r="I1605" s="36" t="s">
        <v>7581</v>
      </c>
      <c r="J1605" s="36" t="str">
        <f>VLOOKUP(Table2[[#This Row], [Author]],People!A:B,2,0)</f>
        <v>HC</v>
      </c>
      <c r="K1605" s="36"/>
      <c r="L1605" s="36"/>
      <c r="M1605" s="36" t="s">
        <v>1613</v>
      </c>
    </row>
    <row r="1606" spans="1:13" x14ac:dyDescent="0.25">
      <c r="A1606" s="49">
        <f t="shared" si="26"/>
        <v>1604</v>
      </c>
      <c r="B1606" s="36" t="s">
        <v>4</v>
      </c>
      <c r="C1606" s="36" t="s">
        <v>7158</v>
      </c>
      <c r="D1606" s="9" t="s">
        <v>7401</v>
      </c>
      <c r="E1606" s="9" t="s">
        <v>6978</v>
      </c>
      <c r="F1606" s="9" t="s">
        <v>6683</v>
      </c>
      <c r="G1606" s="36" t="s">
        <v>14</v>
      </c>
      <c r="H1606" s="36" t="str">
        <f>IFERROR(VLOOKUP(Table2[[#This Row], [Ticket]],Okey!A:B,2,0),"")</f>
        <v/>
      </c>
      <c r="I1606" s="36" t="s">
        <v>7581</v>
      </c>
      <c r="J1606" s="36" t="str">
        <f>VLOOKUP(Table2[[#This Row], [Author]],People!A:B,2,0)</f>
        <v>HC</v>
      </c>
      <c r="K1606" s="36"/>
      <c r="L1606" s="36"/>
      <c r="M1606" s="36" t="s">
        <v>1613</v>
      </c>
    </row>
    <row r="1607" spans="1:13" x14ac:dyDescent="0.25">
      <c r="A1607" s="49">
        <f t="shared" si="26"/>
        <v>1605</v>
      </c>
      <c r="B1607" s="36" t="s">
        <v>4</v>
      </c>
      <c r="C1607" s="36" t="s">
        <v>7158</v>
      </c>
      <c r="D1607" s="9" t="s">
        <v>7402</v>
      </c>
      <c r="E1607" s="9" t="s">
        <v>6979</v>
      </c>
      <c r="F1607" s="9" t="s">
        <v>7401</v>
      </c>
      <c r="G1607" s="36" t="s">
        <v>14</v>
      </c>
      <c r="H1607" s="36" t="str">
        <f>IFERROR(VLOOKUP(Table2[[#This Row], [Ticket]],Okey!A:B,2,0),"")</f>
        <v/>
      </c>
      <c r="I1607" s="36" t="s">
        <v>7581</v>
      </c>
      <c r="J1607" s="36" t="str">
        <f>VLOOKUP(Table2[[#This Row], [Author]],People!A:B,2,0)</f>
        <v>HC</v>
      </c>
      <c r="K1607" s="36"/>
      <c r="L1607" s="36"/>
      <c r="M1607" s="36" t="s">
        <v>1613</v>
      </c>
    </row>
    <row r="1608" spans="1:13" x14ac:dyDescent="0.25">
      <c r="A1608" s="49">
        <f t="shared" si="26"/>
        <v>1606</v>
      </c>
      <c r="B1608" s="36" t="s">
        <v>4</v>
      </c>
      <c r="C1608" s="36" t="s">
        <v>7158</v>
      </c>
      <c r="D1608" s="9" t="s">
        <v>7403</v>
      </c>
      <c r="E1608" s="9" t="s">
        <v>6980</v>
      </c>
      <c r="F1608" s="9" t="s">
        <v>7401</v>
      </c>
      <c r="G1608" s="36" t="s">
        <v>14</v>
      </c>
      <c r="H1608" s="36" t="str">
        <f>IFERROR(VLOOKUP(Table2[[#This Row], [Ticket]],Okey!A:B,2,0),"")</f>
        <v/>
      </c>
      <c r="I1608" s="36" t="s">
        <v>7581</v>
      </c>
      <c r="J1608" s="36" t="str">
        <f>VLOOKUP(Table2[[#This Row], [Author]],People!A:B,2,0)</f>
        <v>HC</v>
      </c>
      <c r="K1608" s="36"/>
      <c r="L1608" s="36"/>
      <c r="M1608" s="36" t="s">
        <v>1613</v>
      </c>
    </row>
    <row r="1609" spans="1:13" x14ac:dyDescent="0.25">
      <c r="A1609" s="49">
        <f t="shared" si="26"/>
        <v>1607</v>
      </c>
      <c r="B1609" s="36" t="s">
        <v>4</v>
      </c>
      <c r="C1609" s="36" t="s">
        <v>7158</v>
      </c>
      <c r="D1609" s="9" t="s">
        <v>7404</v>
      </c>
      <c r="E1609" s="9" t="s">
        <v>6981</v>
      </c>
      <c r="F1609" s="9" t="s">
        <v>7401</v>
      </c>
      <c r="G1609" s="36" t="s">
        <v>14</v>
      </c>
      <c r="H1609" s="36" t="str">
        <f>IFERROR(VLOOKUP(Table2[[#This Row], [Ticket]],Okey!A:B,2,0),"")</f>
        <v/>
      </c>
      <c r="I1609" s="36" t="s">
        <v>7581</v>
      </c>
      <c r="J1609" s="36" t="str">
        <f>VLOOKUP(Table2[[#This Row], [Author]],People!A:B,2,0)</f>
        <v>HC</v>
      </c>
      <c r="K1609" s="36"/>
      <c r="L1609" s="36"/>
      <c r="M1609" s="36" t="s">
        <v>1613</v>
      </c>
    </row>
    <row r="1610" spans="1:13" x14ac:dyDescent="0.25">
      <c r="A1610" s="49">
        <f t="shared" si="26"/>
        <v>1608</v>
      </c>
      <c r="B1610" s="36" t="s">
        <v>4</v>
      </c>
      <c r="C1610" s="36" t="s">
        <v>7158</v>
      </c>
      <c r="D1610" s="9" t="s">
        <v>7405</v>
      </c>
      <c r="E1610" s="9" t="s">
        <v>6982</v>
      </c>
      <c r="F1610" s="9" t="s">
        <v>7404</v>
      </c>
      <c r="G1610" s="36" t="s">
        <v>14</v>
      </c>
      <c r="H1610" s="36" t="str">
        <f>IFERROR(VLOOKUP(Table2[[#This Row], [Ticket]],Okey!A:B,2,0),"")</f>
        <v/>
      </c>
      <c r="I1610" s="36" t="s">
        <v>7581</v>
      </c>
      <c r="J1610" s="36" t="str">
        <f>VLOOKUP(Table2[[#This Row], [Author]],People!A:B,2,0)</f>
        <v>HC</v>
      </c>
      <c r="K1610" s="36"/>
      <c r="L1610" s="36"/>
      <c r="M1610" s="36" t="s">
        <v>1613</v>
      </c>
    </row>
    <row r="1611" spans="1:13" x14ac:dyDescent="0.25">
      <c r="A1611" s="49">
        <f t="shared" si="26"/>
        <v>1609</v>
      </c>
      <c r="B1611" s="36" t="s">
        <v>4</v>
      </c>
      <c r="C1611" s="36" t="s">
        <v>7158</v>
      </c>
      <c r="D1611" s="9" t="s">
        <v>7406</v>
      </c>
      <c r="E1611" s="9" t="s">
        <v>6983</v>
      </c>
      <c r="F1611" s="9" t="s">
        <v>7404</v>
      </c>
      <c r="G1611" s="36" t="s">
        <v>14</v>
      </c>
      <c r="H1611" s="36" t="str">
        <f>IFERROR(VLOOKUP(Table2[[#This Row], [Ticket]],Okey!A:B,2,0),"")</f>
        <v/>
      </c>
      <c r="I1611" s="36" t="s">
        <v>7581</v>
      </c>
      <c r="J1611" s="36" t="str">
        <f>VLOOKUP(Table2[[#This Row], [Author]],People!A:B,2,0)</f>
        <v>HC</v>
      </c>
      <c r="K1611" s="36"/>
      <c r="L1611" s="36"/>
      <c r="M1611" s="36" t="s">
        <v>1613</v>
      </c>
    </row>
    <row r="1612" spans="1:13" x14ac:dyDescent="0.25">
      <c r="A1612" s="49">
        <f t="shared" si="26"/>
        <v>1610</v>
      </c>
      <c r="B1612" s="36" t="s">
        <v>4</v>
      </c>
      <c r="C1612" s="36" t="s">
        <v>7158</v>
      </c>
      <c r="D1612" s="9" t="s">
        <v>7407</v>
      </c>
      <c r="E1612" s="9" t="s">
        <v>6984</v>
      </c>
      <c r="F1612" s="9" t="s">
        <v>7401</v>
      </c>
      <c r="G1612" s="36" t="s">
        <v>14</v>
      </c>
      <c r="H1612" s="36" t="str">
        <f>IFERROR(VLOOKUP(Table2[[#This Row], [Ticket]],Okey!A:B,2,0),"")</f>
        <v/>
      </c>
      <c r="I1612" s="36" t="s">
        <v>7581</v>
      </c>
      <c r="J1612" s="36" t="str">
        <f>VLOOKUP(Table2[[#This Row], [Author]],People!A:B,2,0)</f>
        <v>HC</v>
      </c>
      <c r="K1612" s="36"/>
      <c r="L1612" s="36"/>
      <c r="M1612" s="36" t="s">
        <v>1613</v>
      </c>
    </row>
    <row r="1613" spans="1:13" x14ac:dyDescent="0.25">
      <c r="A1613" s="49">
        <f t="shared" si="26"/>
        <v>1611</v>
      </c>
      <c r="B1613" s="36" t="s">
        <v>4</v>
      </c>
      <c r="C1613" s="36" t="s">
        <v>7158</v>
      </c>
      <c r="D1613" s="9" t="s">
        <v>7408</v>
      </c>
      <c r="E1613" s="9" t="s">
        <v>6985</v>
      </c>
      <c r="F1613" s="9" t="s">
        <v>7407</v>
      </c>
      <c r="G1613" s="36" t="s">
        <v>14</v>
      </c>
      <c r="H1613" s="36" t="str">
        <f>IFERROR(VLOOKUP(Table2[[#This Row], [Ticket]],Okey!A:B,2,0),"")</f>
        <v/>
      </c>
      <c r="I1613" s="36" t="s">
        <v>7581</v>
      </c>
      <c r="J1613" s="36" t="str">
        <f>VLOOKUP(Table2[[#This Row], [Author]],People!A:B,2,0)</f>
        <v>HC</v>
      </c>
      <c r="K1613" s="36"/>
      <c r="L1613" s="36"/>
      <c r="M1613" s="36" t="s">
        <v>1613</v>
      </c>
    </row>
    <row r="1614" spans="1:13" x14ac:dyDescent="0.25">
      <c r="A1614" s="49">
        <f t="shared" si="26"/>
        <v>1612</v>
      </c>
      <c r="B1614" s="36" t="s">
        <v>4</v>
      </c>
      <c r="C1614" s="36" t="s">
        <v>7158</v>
      </c>
      <c r="D1614" s="9" t="s">
        <v>7409</v>
      </c>
      <c r="E1614" s="9" t="s">
        <v>6986</v>
      </c>
      <c r="F1614" s="9" t="s">
        <v>7407</v>
      </c>
      <c r="G1614" s="36" t="s">
        <v>14</v>
      </c>
      <c r="H1614" s="36" t="str">
        <f>IFERROR(VLOOKUP(Table2[[#This Row], [Ticket]],Okey!A:B,2,0),"")</f>
        <v/>
      </c>
      <c r="I1614" s="36" t="s">
        <v>7581</v>
      </c>
      <c r="J1614" s="36" t="str">
        <f>VLOOKUP(Table2[[#This Row], [Author]],People!A:B,2,0)</f>
        <v>HC</v>
      </c>
      <c r="K1614" s="36"/>
      <c r="L1614" s="36"/>
      <c r="M1614" s="36" t="s">
        <v>1613</v>
      </c>
    </row>
    <row r="1615" spans="1:13" x14ac:dyDescent="0.25">
      <c r="A1615" s="49">
        <f t="shared" si="26"/>
        <v>1613</v>
      </c>
      <c r="B1615" s="36" t="s">
        <v>4</v>
      </c>
      <c r="C1615" s="36" t="s">
        <v>7158</v>
      </c>
      <c r="D1615" s="9" t="s">
        <v>7410</v>
      </c>
      <c r="E1615" s="9" t="s">
        <v>6987</v>
      </c>
      <c r="F1615" s="9" t="s">
        <v>7407</v>
      </c>
      <c r="G1615" s="36" t="s">
        <v>14</v>
      </c>
      <c r="H1615" s="36" t="str">
        <f>IFERROR(VLOOKUP(Table2[[#This Row], [Ticket]],Okey!A:B,2,0),"")</f>
        <v/>
      </c>
      <c r="I1615" s="36" t="s">
        <v>7581</v>
      </c>
      <c r="J1615" s="36" t="str">
        <f>VLOOKUP(Table2[[#This Row], [Author]],People!A:B,2,0)</f>
        <v>HC</v>
      </c>
      <c r="K1615" s="36"/>
      <c r="L1615" s="36"/>
      <c r="M1615" s="36" t="s">
        <v>1613</v>
      </c>
    </row>
    <row r="1616" spans="1:13" x14ac:dyDescent="0.25">
      <c r="A1616" s="49">
        <f t="shared" si="26"/>
        <v>1614</v>
      </c>
      <c r="B1616" s="36" t="s">
        <v>4</v>
      </c>
      <c r="C1616" s="36" t="s">
        <v>7158</v>
      </c>
      <c r="D1616" s="9" t="s">
        <v>7411</v>
      </c>
      <c r="E1616" s="9" t="s">
        <v>6988</v>
      </c>
      <c r="F1616" s="9" t="s">
        <v>7407</v>
      </c>
      <c r="G1616" s="36" t="s">
        <v>14</v>
      </c>
      <c r="H1616" s="36" t="str">
        <f>IFERROR(VLOOKUP(Table2[[#This Row], [Ticket]],Okey!A:B,2,0),"")</f>
        <v/>
      </c>
      <c r="I1616" s="36" t="s">
        <v>7581</v>
      </c>
      <c r="J1616" s="36" t="str">
        <f>VLOOKUP(Table2[[#This Row], [Author]],People!A:B,2,0)</f>
        <v>HC</v>
      </c>
      <c r="K1616" s="36"/>
      <c r="L1616" s="36"/>
      <c r="M1616" s="36" t="s">
        <v>1613</v>
      </c>
    </row>
    <row r="1617" spans="1:13" x14ac:dyDescent="0.25">
      <c r="A1617" s="49">
        <f t="shared" si="26"/>
        <v>1615</v>
      </c>
      <c r="B1617" s="36" t="s">
        <v>4</v>
      </c>
      <c r="C1617" s="36" t="s">
        <v>7158</v>
      </c>
      <c r="D1617" s="9" t="s">
        <v>7412</v>
      </c>
      <c r="E1617" s="9" t="s">
        <v>6989</v>
      </c>
      <c r="F1617" s="9" t="s">
        <v>7407</v>
      </c>
      <c r="G1617" s="36" t="s">
        <v>14</v>
      </c>
      <c r="H1617" s="36" t="str">
        <f>IFERROR(VLOOKUP(Table2[[#This Row], [Ticket]],Okey!A:B,2,0),"")</f>
        <v/>
      </c>
      <c r="I1617" s="36" t="s">
        <v>7581</v>
      </c>
      <c r="J1617" s="36" t="str">
        <f>VLOOKUP(Table2[[#This Row], [Author]],People!A:B,2,0)</f>
        <v>HC</v>
      </c>
      <c r="K1617" s="36"/>
      <c r="L1617" s="36"/>
      <c r="M1617" s="36" t="s">
        <v>1613</v>
      </c>
    </row>
    <row r="1618" spans="1:13" x14ac:dyDescent="0.25">
      <c r="A1618" s="49">
        <f t="shared" si="26"/>
        <v>1616</v>
      </c>
      <c r="B1618" s="36" t="s">
        <v>4</v>
      </c>
      <c r="C1618" s="36" t="s">
        <v>7158</v>
      </c>
      <c r="D1618" s="9" t="s">
        <v>7413</v>
      </c>
      <c r="E1618" s="9" t="s">
        <v>6990</v>
      </c>
      <c r="F1618" s="9" t="s">
        <v>6684</v>
      </c>
      <c r="G1618" s="36" t="s">
        <v>14</v>
      </c>
      <c r="H1618" s="36" t="str">
        <f>IFERROR(VLOOKUP(Table2[[#This Row], [Ticket]],Okey!A:B,2,0),"")</f>
        <v/>
      </c>
      <c r="I1618" s="36" t="s">
        <v>7581</v>
      </c>
      <c r="J1618" s="36" t="str">
        <f>VLOOKUP(Table2[[#This Row], [Author]],People!A:B,2,0)</f>
        <v>HC</v>
      </c>
      <c r="K1618" s="36"/>
      <c r="L1618" s="36"/>
      <c r="M1618" s="36" t="s">
        <v>1613</v>
      </c>
    </row>
    <row r="1619" spans="1:13" x14ac:dyDescent="0.25">
      <c r="A1619" s="49">
        <f t="shared" si="26"/>
        <v>1617</v>
      </c>
      <c r="B1619" s="36" t="s">
        <v>4</v>
      </c>
      <c r="C1619" s="36" t="s">
        <v>7158</v>
      </c>
      <c r="D1619" s="9" t="s">
        <v>7414</v>
      </c>
      <c r="E1619" s="9" t="s">
        <v>6991</v>
      </c>
      <c r="F1619" s="9" t="s">
        <v>7413</v>
      </c>
      <c r="G1619" s="36" t="s">
        <v>14</v>
      </c>
      <c r="H1619" s="36" t="str">
        <f>IFERROR(VLOOKUP(Table2[[#This Row], [Ticket]],Okey!A:B,2,0),"")</f>
        <v/>
      </c>
      <c r="I1619" s="36" t="s">
        <v>7581</v>
      </c>
      <c r="J1619" s="36" t="str">
        <f>VLOOKUP(Table2[[#This Row], [Author]],People!A:B,2,0)</f>
        <v>HC</v>
      </c>
      <c r="K1619" s="36"/>
      <c r="L1619" s="36"/>
      <c r="M1619" s="36" t="s">
        <v>1613</v>
      </c>
    </row>
    <row r="1620" spans="1:13" x14ac:dyDescent="0.25">
      <c r="A1620" s="49">
        <f t="shared" si="26"/>
        <v>1618</v>
      </c>
      <c r="B1620" s="36" t="s">
        <v>4</v>
      </c>
      <c r="C1620" s="36" t="s">
        <v>7158</v>
      </c>
      <c r="D1620" s="9" t="s">
        <v>7415</v>
      </c>
      <c r="E1620" s="9" t="s">
        <v>6992</v>
      </c>
      <c r="F1620" s="9" t="s">
        <v>7413</v>
      </c>
      <c r="G1620" s="36" t="s">
        <v>14</v>
      </c>
      <c r="H1620" s="36" t="str">
        <f>IFERROR(VLOOKUP(Table2[[#This Row], [Ticket]],Okey!A:B,2,0),"")</f>
        <v/>
      </c>
      <c r="I1620" s="36" t="s">
        <v>7581</v>
      </c>
      <c r="J1620" s="36" t="str">
        <f>VLOOKUP(Table2[[#This Row], [Author]],People!A:B,2,0)</f>
        <v>HC</v>
      </c>
      <c r="K1620" s="36"/>
      <c r="L1620" s="36"/>
      <c r="M1620" s="36" t="s">
        <v>1613</v>
      </c>
    </row>
    <row r="1621" spans="1:13" x14ac:dyDescent="0.25">
      <c r="A1621" s="49">
        <f t="shared" ref="A1621:A1684" si="27">1+A1620</f>
        <v>1619</v>
      </c>
      <c r="B1621" s="36" t="s">
        <v>4</v>
      </c>
      <c r="C1621" s="36" t="s">
        <v>7158</v>
      </c>
      <c r="D1621" s="9" t="s">
        <v>7416</v>
      </c>
      <c r="E1621" s="9" t="s">
        <v>6993</v>
      </c>
      <c r="F1621" s="9" t="s">
        <v>7415</v>
      </c>
      <c r="G1621" s="36" t="s">
        <v>14</v>
      </c>
      <c r="H1621" s="36" t="str">
        <f>IFERROR(VLOOKUP(Table2[[#This Row], [Ticket]],Okey!A:B,2,0),"")</f>
        <v/>
      </c>
      <c r="I1621" s="36" t="s">
        <v>7581</v>
      </c>
      <c r="J1621" s="36" t="str">
        <f>VLOOKUP(Table2[[#This Row], [Author]],People!A:B,2,0)</f>
        <v>HC</v>
      </c>
      <c r="K1621" s="36"/>
      <c r="L1621" s="36"/>
      <c r="M1621" s="36" t="s">
        <v>1613</v>
      </c>
    </row>
    <row r="1622" spans="1:13" x14ac:dyDescent="0.25">
      <c r="A1622" s="49">
        <f t="shared" si="27"/>
        <v>1620</v>
      </c>
      <c r="B1622" s="36" t="s">
        <v>4</v>
      </c>
      <c r="C1622" s="36" t="s">
        <v>7158</v>
      </c>
      <c r="D1622" s="9" t="s">
        <v>7417</v>
      </c>
      <c r="E1622" s="9" t="s">
        <v>6994</v>
      </c>
      <c r="F1622" s="9" t="s">
        <v>7415</v>
      </c>
      <c r="G1622" s="36" t="s">
        <v>14</v>
      </c>
      <c r="H1622" s="36" t="str">
        <f>IFERROR(VLOOKUP(Table2[[#This Row], [Ticket]],Okey!A:B,2,0),"")</f>
        <v/>
      </c>
      <c r="I1622" s="36" t="s">
        <v>7581</v>
      </c>
      <c r="J1622" s="36" t="str">
        <f>VLOOKUP(Table2[[#This Row], [Author]],People!A:B,2,0)</f>
        <v>HC</v>
      </c>
      <c r="K1622" s="36"/>
      <c r="L1622" s="36"/>
      <c r="M1622" s="36" t="s">
        <v>1613</v>
      </c>
    </row>
    <row r="1623" spans="1:13" x14ac:dyDescent="0.25">
      <c r="A1623" s="49">
        <f t="shared" si="27"/>
        <v>1621</v>
      </c>
      <c r="B1623" s="36" t="s">
        <v>4</v>
      </c>
      <c r="C1623" s="36" t="s">
        <v>7158</v>
      </c>
      <c r="D1623" s="9" t="s">
        <v>7418</v>
      </c>
      <c r="E1623" s="9" t="s">
        <v>6995</v>
      </c>
      <c r="F1623" s="9" t="s">
        <v>7413</v>
      </c>
      <c r="G1623" s="36" t="s">
        <v>14</v>
      </c>
      <c r="H1623" s="36" t="str">
        <f>IFERROR(VLOOKUP(Table2[[#This Row], [Ticket]],Okey!A:B,2,0),"")</f>
        <v/>
      </c>
      <c r="I1623" s="36" t="s">
        <v>7581</v>
      </c>
      <c r="J1623" s="36" t="str">
        <f>VLOOKUP(Table2[[#This Row], [Author]],People!A:B,2,0)</f>
        <v>HC</v>
      </c>
      <c r="K1623" s="36"/>
      <c r="L1623" s="36"/>
      <c r="M1623" s="36" t="s">
        <v>1613</v>
      </c>
    </row>
    <row r="1624" spans="1:13" x14ac:dyDescent="0.25">
      <c r="A1624" s="49">
        <f t="shared" si="27"/>
        <v>1622</v>
      </c>
      <c r="B1624" s="36" t="s">
        <v>4</v>
      </c>
      <c r="C1624" s="36" t="s">
        <v>7158</v>
      </c>
      <c r="D1624" s="9" t="s">
        <v>7419</v>
      </c>
      <c r="E1624" s="9" t="s">
        <v>6996</v>
      </c>
      <c r="F1624" s="9" t="s">
        <v>7418</v>
      </c>
      <c r="G1624" s="36" t="s">
        <v>14</v>
      </c>
      <c r="H1624" s="36" t="str">
        <f>IFERROR(VLOOKUP(Table2[[#This Row], [Ticket]],Okey!A:B,2,0),"")</f>
        <v/>
      </c>
      <c r="I1624" s="36" t="s">
        <v>7581</v>
      </c>
      <c r="J1624" s="36" t="str">
        <f>VLOOKUP(Table2[[#This Row], [Author]],People!A:B,2,0)</f>
        <v>HC</v>
      </c>
      <c r="K1624" s="36"/>
      <c r="L1624" s="36"/>
      <c r="M1624" s="36" t="s">
        <v>1613</v>
      </c>
    </row>
    <row r="1625" spans="1:13" x14ac:dyDescent="0.25">
      <c r="A1625" s="49">
        <f t="shared" si="27"/>
        <v>1623</v>
      </c>
      <c r="B1625" s="36" t="s">
        <v>4</v>
      </c>
      <c r="C1625" s="36" t="s">
        <v>7158</v>
      </c>
      <c r="D1625" s="9" t="s">
        <v>7420</v>
      </c>
      <c r="E1625" s="9" t="s">
        <v>6997</v>
      </c>
      <c r="F1625" s="9" t="s">
        <v>7418</v>
      </c>
      <c r="G1625" s="36" t="s">
        <v>14</v>
      </c>
      <c r="H1625" s="36" t="str">
        <f>IFERROR(VLOOKUP(Table2[[#This Row], [Ticket]],Okey!A:B,2,0),"")</f>
        <v/>
      </c>
      <c r="I1625" s="36" t="s">
        <v>7581</v>
      </c>
      <c r="J1625" s="36" t="str">
        <f>VLOOKUP(Table2[[#This Row], [Author]],People!A:B,2,0)</f>
        <v>HC</v>
      </c>
      <c r="K1625" s="36"/>
      <c r="L1625" s="36"/>
      <c r="M1625" s="36" t="s">
        <v>1613</v>
      </c>
    </row>
    <row r="1626" spans="1:13" x14ac:dyDescent="0.25">
      <c r="A1626" s="49">
        <f t="shared" si="27"/>
        <v>1624</v>
      </c>
      <c r="B1626" s="36" t="s">
        <v>4</v>
      </c>
      <c r="C1626" s="36" t="s">
        <v>7158</v>
      </c>
      <c r="D1626" s="9" t="s">
        <v>7421</v>
      </c>
      <c r="E1626" s="9" t="s">
        <v>6998</v>
      </c>
      <c r="F1626" s="9" t="s">
        <v>6683</v>
      </c>
      <c r="G1626" s="36" t="s">
        <v>14</v>
      </c>
      <c r="H1626" s="36" t="str">
        <f>IFERROR(VLOOKUP(Table2[[#This Row], [Ticket]],Okey!A:B,2,0),"")</f>
        <v/>
      </c>
      <c r="I1626" s="36" t="s">
        <v>7581</v>
      </c>
      <c r="J1626" s="36" t="str">
        <f>VLOOKUP(Table2[[#This Row], [Author]],People!A:B,2,0)</f>
        <v>HC</v>
      </c>
      <c r="K1626" s="36"/>
      <c r="L1626" s="36"/>
      <c r="M1626" s="36" t="s">
        <v>1613</v>
      </c>
    </row>
    <row r="1627" spans="1:13" x14ac:dyDescent="0.25">
      <c r="A1627" s="49">
        <f t="shared" si="27"/>
        <v>1625</v>
      </c>
      <c r="B1627" s="36" t="s">
        <v>4</v>
      </c>
      <c r="C1627" s="36" t="s">
        <v>7158</v>
      </c>
      <c r="D1627" s="9" t="s">
        <v>7422</v>
      </c>
      <c r="E1627" s="9" t="s">
        <v>6999</v>
      </c>
      <c r="F1627" s="9" t="s">
        <v>7421</v>
      </c>
      <c r="G1627" s="36" t="s">
        <v>14</v>
      </c>
      <c r="H1627" s="36" t="str">
        <f>IFERROR(VLOOKUP(Table2[[#This Row], [Ticket]],Okey!A:B,2,0),"")</f>
        <v/>
      </c>
      <c r="I1627" s="36" t="s">
        <v>7581</v>
      </c>
      <c r="J1627" s="36" t="str">
        <f>VLOOKUP(Table2[[#This Row], [Author]],People!A:B,2,0)</f>
        <v>HC</v>
      </c>
      <c r="K1627" s="36"/>
      <c r="L1627" s="36"/>
      <c r="M1627" s="36" t="s">
        <v>1613</v>
      </c>
    </row>
    <row r="1628" spans="1:13" x14ac:dyDescent="0.25">
      <c r="A1628" s="49">
        <f t="shared" si="27"/>
        <v>1626</v>
      </c>
      <c r="B1628" s="36" t="s">
        <v>4</v>
      </c>
      <c r="C1628" s="36" t="s">
        <v>7158</v>
      </c>
      <c r="D1628" s="9" t="s">
        <v>7423</v>
      </c>
      <c r="E1628" s="9" t="s">
        <v>7000</v>
      </c>
      <c r="F1628" s="9" t="s">
        <v>7421</v>
      </c>
      <c r="G1628" s="36" t="s">
        <v>14</v>
      </c>
      <c r="H1628" s="36" t="str">
        <f>IFERROR(VLOOKUP(Table2[[#This Row], [Ticket]],Okey!A:B,2,0),"")</f>
        <v/>
      </c>
      <c r="I1628" s="36" t="s">
        <v>7581</v>
      </c>
      <c r="J1628" s="36" t="str">
        <f>VLOOKUP(Table2[[#This Row], [Author]],People!A:B,2,0)</f>
        <v>HC</v>
      </c>
      <c r="K1628" s="36"/>
      <c r="L1628" s="36"/>
      <c r="M1628" s="36" t="s">
        <v>1613</v>
      </c>
    </row>
    <row r="1629" spans="1:13" x14ac:dyDescent="0.25">
      <c r="A1629" s="49">
        <f t="shared" si="27"/>
        <v>1627</v>
      </c>
      <c r="B1629" s="36" t="s">
        <v>4</v>
      </c>
      <c r="C1629" s="36" t="s">
        <v>7158</v>
      </c>
      <c r="D1629" s="9" t="s">
        <v>7424</v>
      </c>
      <c r="E1629" s="9" t="s">
        <v>7001</v>
      </c>
      <c r="F1629" s="9" t="s">
        <v>7421</v>
      </c>
      <c r="G1629" s="36" t="s">
        <v>14</v>
      </c>
      <c r="H1629" s="36" t="str">
        <f>IFERROR(VLOOKUP(Table2[[#This Row], [Ticket]],Okey!A:B,2,0),"")</f>
        <v/>
      </c>
      <c r="I1629" s="36" t="s">
        <v>7581</v>
      </c>
      <c r="J1629" s="36" t="str">
        <f>VLOOKUP(Table2[[#This Row], [Author]],People!A:B,2,0)</f>
        <v>HC</v>
      </c>
      <c r="K1629" s="36"/>
      <c r="L1629" s="36"/>
      <c r="M1629" s="36" t="s">
        <v>1613</v>
      </c>
    </row>
    <row r="1630" spans="1:13" x14ac:dyDescent="0.25">
      <c r="A1630" s="49">
        <f t="shared" si="27"/>
        <v>1628</v>
      </c>
      <c r="B1630" s="36" t="s">
        <v>4</v>
      </c>
      <c r="C1630" s="36" t="s">
        <v>7158</v>
      </c>
      <c r="D1630" s="9" t="s">
        <v>7425</v>
      </c>
      <c r="E1630" s="9" t="s">
        <v>7002</v>
      </c>
      <c r="F1630" s="9" t="s">
        <v>7424</v>
      </c>
      <c r="G1630" s="36" t="s">
        <v>14</v>
      </c>
      <c r="H1630" s="36" t="str">
        <f>IFERROR(VLOOKUP(Table2[[#This Row], [Ticket]],Okey!A:B,2,0),"")</f>
        <v/>
      </c>
      <c r="I1630" s="36" t="s">
        <v>7581</v>
      </c>
      <c r="J1630" s="36" t="str">
        <f>VLOOKUP(Table2[[#This Row], [Author]],People!A:B,2,0)</f>
        <v>HC</v>
      </c>
      <c r="K1630" s="36"/>
      <c r="L1630" s="36"/>
      <c r="M1630" s="36" t="s">
        <v>1613</v>
      </c>
    </row>
    <row r="1631" spans="1:13" x14ac:dyDescent="0.25">
      <c r="A1631" s="49">
        <f t="shared" si="27"/>
        <v>1629</v>
      </c>
      <c r="B1631" s="36" t="s">
        <v>4</v>
      </c>
      <c r="C1631" s="36" t="s">
        <v>7158</v>
      </c>
      <c r="D1631" s="9" t="s">
        <v>7426</v>
      </c>
      <c r="E1631" s="9" t="s">
        <v>7003</v>
      </c>
      <c r="F1631" s="9" t="s">
        <v>7424</v>
      </c>
      <c r="G1631" s="36" t="s">
        <v>14</v>
      </c>
      <c r="H1631" s="36" t="str">
        <f>IFERROR(VLOOKUP(Table2[[#This Row], [Ticket]],Okey!A:B,2,0),"")</f>
        <v/>
      </c>
      <c r="I1631" s="36" t="s">
        <v>7581</v>
      </c>
      <c r="J1631" s="36" t="str">
        <f>VLOOKUP(Table2[[#This Row], [Author]],People!A:B,2,0)</f>
        <v>HC</v>
      </c>
      <c r="K1631" s="36"/>
      <c r="L1631" s="36"/>
      <c r="M1631" s="36" t="s">
        <v>1613</v>
      </c>
    </row>
    <row r="1632" spans="1:13" x14ac:dyDescent="0.25">
      <c r="A1632" s="49">
        <f t="shared" si="27"/>
        <v>1630</v>
      </c>
      <c r="B1632" s="36" t="s">
        <v>4</v>
      </c>
      <c r="C1632" s="36" t="s">
        <v>7158</v>
      </c>
      <c r="D1632" s="9" t="s">
        <v>7427</v>
      </c>
      <c r="E1632" s="9" t="s">
        <v>7004</v>
      </c>
      <c r="F1632" s="9" t="s">
        <v>7421</v>
      </c>
      <c r="G1632" s="36" t="s">
        <v>14</v>
      </c>
      <c r="H1632" s="36" t="str">
        <f>IFERROR(VLOOKUP(Table2[[#This Row], [Ticket]],Okey!A:B,2,0),"")</f>
        <v/>
      </c>
      <c r="I1632" s="36" t="s">
        <v>7581</v>
      </c>
      <c r="J1632" s="36" t="str">
        <f>VLOOKUP(Table2[[#This Row], [Author]],People!A:B,2,0)</f>
        <v>HC</v>
      </c>
      <c r="K1632" s="36"/>
      <c r="L1632" s="36"/>
      <c r="M1632" s="36" t="s">
        <v>1613</v>
      </c>
    </row>
    <row r="1633" spans="1:13" x14ac:dyDescent="0.25">
      <c r="A1633" s="49">
        <f t="shared" si="27"/>
        <v>1631</v>
      </c>
      <c r="B1633" s="36" t="s">
        <v>4</v>
      </c>
      <c r="C1633" s="36" t="s">
        <v>7158</v>
      </c>
      <c r="D1633" s="9" t="s">
        <v>7428</v>
      </c>
      <c r="E1633" s="9" t="s">
        <v>7005</v>
      </c>
      <c r="F1633" s="9" t="s">
        <v>7427</v>
      </c>
      <c r="G1633" s="36" t="s">
        <v>14</v>
      </c>
      <c r="H1633" s="36" t="str">
        <f>IFERROR(VLOOKUP(Table2[[#This Row], [Ticket]],Okey!A:B,2,0),"")</f>
        <v/>
      </c>
      <c r="I1633" s="36" t="s">
        <v>7581</v>
      </c>
      <c r="J1633" s="36" t="str">
        <f>VLOOKUP(Table2[[#This Row], [Author]],People!A:B,2,0)</f>
        <v>HC</v>
      </c>
      <c r="K1633" s="36"/>
      <c r="L1633" s="36"/>
      <c r="M1633" s="36" t="s">
        <v>1613</v>
      </c>
    </row>
    <row r="1634" spans="1:13" x14ac:dyDescent="0.25">
      <c r="A1634" s="49">
        <f t="shared" si="27"/>
        <v>1632</v>
      </c>
      <c r="B1634" s="36" t="s">
        <v>4</v>
      </c>
      <c r="C1634" s="36" t="s">
        <v>7158</v>
      </c>
      <c r="D1634" s="9" t="s">
        <v>7429</v>
      </c>
      <c r="E1634" s="9" t="s">
        <v>7006</v>
      </c>
      <c r="F1634" s="9" t="s">
        <v>7427</v>
      </c>
      <c r="G1634" s="36" t="s">
        <v>14</v>
      </c>
      <c r="H1634" s="36" t="str">
        <f>IFERROR(VLOOKUP(Table2[[#This Row], [Ticket]],Okey!A:B,2,0),"")</f>
        <v/>
      </c>
      <c r="I1634" s="36" t="s">
        <v>7581</v>
      </c>
      <c r="J1634" s="36" t="str">
        <f>VLOOKUP(Table2[[#This Row], [Author]],People!A:B,2,0)</f>
        <v>HC</v>
      </c>
      <c r="K1634" s="36"/>
      <c r="L1634" s="36"/>
      <c r="M1634" s="36" t="s">
        <v>1613</v>
      </c>
    </row>
    <row r="1635" spans="1:13" x14ac:dyDescent="0.25">
      <c r="A1635" s="49">
        <f t="shared" si="27"/>
        <v>1633</v>
      </c>
      <c r="B1635" s="36" t="s">
        <v>4</v>
      </c>
      <c r="C1635" s="36" t="s">
        <v>7158</v>
      </c>
      <c r="D1635" s="9" t="s">
        <v>7430</v>
      </c>
      <c r="E1635" s="9" t="s">
        <v>7007</v>
      </c>
      <c r="F1635" s="9" t="s">
        <v>7427</v>
      </c>
      <c r="G1635" s="36" t="s">
        <v>14</v>
      </c>
      <c r="H1635" s="36" t="str">
        <f>IFERROR(VLOOKUP(Table2[[#This Row], [Ticket]],Okey!A:B,2,0),"")</f>
        <v/>
      </c>
      <c r="I1635" s="36" t="s">
        <v>7581</v>
      </c>
      <c r="J1635" s="36" t="str">
        <f>VLOOKUP(Table2[[#This Row], [Author]],People!A:B,2,0)</f>
        <v>HC</v>
      </c>
      <c r="K1635" s="36"/>
      <c r="L1635" s="36"/>
      <c r="M1635" s="36" t="s">
        <v>1613</v>
      </c>
    </row>
    <row r="1636" spans="1:13" x14ac:dyDescent="0.25">
      <c r="A1636" s="49">
        <f t="shared" si="27"/>
        <v>1634</v>
      </c>
      <c r="B1636" s="36" t="s">
        <v>4</v>
      </c>
      <c r="C1636" s="36" t="s">
        <v>7158</v>
      </c>
      <c r="D1636" s="9" t="s">
        <v>7431</v>
      </c>
      <c r="E1636" s="9" t="s">
        <v>7008</v>
      </c>
      <c r="F1636" s="9" t="s">
        <v>7427</v>
      </c>
      <c r="G1636" s="36" t="s">
        <v>14</v>
      </c>
      <c r="H1636" s="36" t="str">
        <f>IFERROR(VLOOKUP(Table2[[#This Row], [Ticket]],Okey!A:B,2,0),"")</f>
        <v/>
      </c>
      <c r="I1636" s="36" t="s">
        <v>7581</v>
      </c>
      <c r="J1636" s="36" t="str">
        <f>VLOOKUP(Table2[[#This Row], [Author]],People!A:B,2,0)</f>
        <v>HC</v>
      </c>
      <c r="K1636" s="36"/>
      <c r="L1636" s="36"/>
      <c r="M1636" s="36" t="s">
        <v>1613</v>
      </c>
    </row>
    <row r="1637" spans="1:13" x14ac:dyDescent="0.25">
      <c r="A1637" s="49">
        <f t="shared" si="27"/>
        <v>1635</v>
      </c>
      <c r="B1637" s="36" t="s">
        <v>4</v>
      </c>
      <c r="C1637" s="36" t="s">
        <v>7158</v>
      </c>
      <c r="D1637" s="9" t="s">
        <v>7432</v>
      </c>
      <c r="E1637" s="9" t="s">
        <v>7009</v>
      </c>
      <c r="F1637" s="9" t="s">
        <v>7427</v>
      </c>
      <c r="G1637" s="36" t="s">
        <v>14</v>
      </c>
      <c r="H1637" s="36" t="str">
        <f>IFERROR(VLOOKUP(Table2[[#This Row], [Ticket]],Okey!A:B,2,0),"")</f>
        <v/>
      </c>
      <c r="I1637" s="36" t="s">
        <v>7581</v>
      </c>
      <c r="J1637" s="36" t="str">
        <f>VLOOKUP(Table2[[#This Row], [Author]],People!A:B,2,0)</f>
        <v>HC</v>
      </c>
      <c r="K1637" s="36"/>
      <c r="L1637" s="36"/>
      <c r="M1637" s="36" t="s">
        <v>1613</v>
      </c>
    </row>
    <row r="1638" spans="1:13" x14ac:dyDescent="0.25">
      <c r="A1638" s="49">
        <f t="shared" si="27"/>
        <v>1636</v>
      </c>
      <c r="B1638" s="36" t="s">
        <v>4</v>
      </c>
      <c r="C1638" s="36" t="s">
        <v>7158</v>
      </c>
      <c r="D1638" s="9" t="s">
        <v>7433</v>
      </c>
      <c r="E1638" s="9" t="s">
        <v>7010</v>
      </c>
      <c r="F1638" s="9" t="s">
        <v>6684</v>
      </c>
      <c r="G1638" s="36" t="s">
        <v>14</v>
      </c>
      <c r="H1638" s="36" t="str">
        <f>IFERROR(VLOOKUP(Table2[[#This Row], [Ticket]],Okey!A:B,2,0),"")</f>
        <v/>
      </c>
      <c r="I1638" s="36" t="s">
        <v>7581</v>
      </c>
      <c r="J1638" s="36" t="str">
        <f>VLOOKUP(Table2[[#This Row], [Author]],People!A:B,2,0)</f>
        <v>HC</v>
      </c>
      <c r="K1638" s="36"/>
      <c r="L1638" s="36"/>
      <c r="M1638" s="36" t="s">
        <v>1613</v>
      </c>
    </row>
    <row r="1639" spans="1:13" x14ac:dyDescent="0.25">
      <c r="A1639" s="49">
        <f t="shared" si="27"/>
        <v>1637</v>
      </c>
      <c r="B1639" s="36" t="s">
        <v>4</v>
      </c>
      <c r="C1639" s="36" t="s">
        <v>7158</v>
      </c>
      <c r="D1639" s="9" t="s">
        <v>7434</v>
      </c>
      <c r="E1639" s="9" t="s">
        <v>7011</v>
      </c>
      <c r="F1639" s="9" t="s">
        <v>7433</v>
      </c>
      <c r="G1639" s="36" t="s">
        <v>14</v>
      </c>
      <c r="H1639" s="36" t="str">
        <f>IFERROR(VLOOKUP(Table2[[#This Row], [Ticket]],Okey!A:B,2,0),"")</f>
        <v/>
      </c>
      <c r="I1639" s="36" t="s">
        <v>7581</v>
      </c>
      <c r="J1639" s="36" t="str">
        <f>VLOOKUP(Table2[[#This Row], [Author]],People!A:B,2,0)</f>
        <v>HC</v>
      </c>
      <c r="K1639" s="36"/>
      <c r="L1639" s="36"/>
      <c r="M1639" s="36" t="s">
        <v>1613</v>
      </c>
    </row>
    <row r="1640" spans="1:13" x14ac:dyDescent="0.25">
      <c r="A1640" s="49">
        <f t="shared" si="27"/>
        <v>1638</v>
      </c>
      <c r="B1640" s="36" t="s">
        <v>4</v>
      </c>
      <c r="C1640" s="36" t="s">
        <v>7158</v>
      </c>
      <c r="D1640" s="9" t="s">
        <v>7435</v>
      </c>
      <c r="E1640" s="9" t="s">
        <v>7012</v>
      </c>
      <c r="F1640" s="9" t="s">
        <v>7433</v>
      </c>
      <c r="G1640" s="36" t="s">
        <v>14</v>
      </c>
      <c r="H1640" s="36" t="str">
        <f>IFERROR(VLOOKUP(Table2[[#This Row], [Ticket]],Okey!A:B,2,0),"")</f>
        <v/>
      </c>
      <c r="I1640" s="36" t="s">
        <v>7581</v>
      </c>
      <c r="J1640" s="36" t="str">
        <f>VLOOKUP(Table2[[#This Row], [Author]],People!A:B,2,0)</f>
        <v>HC</v>
      </c>
      <c r="K1640" s="36"/>
      <c r="L1640" s="36"/>
      <c r="M1640" s="36" t="s">
        <v>1613</v>
      </c>
    </row>
    <row r="1641" spans="1:13" x14ac:dyDescent="0.25">
      <c r="A1641" s="49">
        <f t="shared" si="27"/>
        <v>1639</v>
      </c>
      <c r="B1641" s="36" t="s">
        <v>4</v>
      </c>
      <c r="C1641" s="36" t="s">
        <v>7158</v>
      </c>
      <c r="D1641" s="9" t="s">
        <v>7436</v>
      </c>
      <c r="E1641" s="9" t="s">
        <v>7013</v>
      </c>
      <c r="F1641" s="9" t="s">
        <v>7435</v>
      </c>
      <c r="G1641" s="36" t="s">
        <v>14</v>
      </c>
      <c r="H1641" s="36" t="str">
        <f>IFERROR(VLOOKUP(Table2[[#This Row], [Ticket]],Okey!A:B,2,0),"")</f>
        <v/>
      </c>
      <c r="I1641" s="36" t="s">
        <v>7581</v>
      </c>
      <c r="J1641" s="36" t="str">
        <f>VLOOKUP(Table2[[#This Row], [Author]],People!A:B,2,0)</f>
        <v>HC</v>
      </c>
      <c r="K1641" s="36"/>
      <c r="L1641" s="36"/>
      <c r="M1641" s="36" t="s">
        <v>1613</v>
      </c>
    </row>
    <row r="1642" spans="1:13" x14ac:dyDescent="0.25">
      <c r="A1642" s="49">
        <f t="shared" si="27"/>
        <v>1640</v>
      </c>
      <c r="B1642" s="36" t="s">
        <v>4</v>
      </c>
      <c r="C1642" s="36" t="s">
        <v>7158</v>
      </c>
      <c r="D1642" s="9" t="s">
        <v>7437</v>
      </c>
      <c r="E1642" s="9" t="s">
        <v>7014</v>
      </c>
      <c r="F1642" s="9" t="s">
        <v>7435</v>
      </c>
      <c r="G1642" s="36" t="s">
        <v>14</v>
      </c>
      <c r="H1642" s="36" t="str">
        <f>IFERROR(VLOOKUP(Table2[[#This Row], [Ticket]],Okey!A:B,2,0),"")</f>
        <v/>
      </c>
      <c r="I1642" s="36" t="s">
        <v>7581</v>
      </c>
      <c r="J1642" s="36" t="str">
        <f>VLOOKUP(Table2[[#This Row], [Author]],People!A:B,2,0)</f>
        <v>HC</v>
      </c>
      <c r="K1642" s="36"/>
      <c r="L1642" s="36"/>
      <c r="M1642" s="36" t="s">
        <v>1613</v>
      </c>
    </row>
    <row r="1643" spans="1:13" x14ac:dyDescent="0.25">
      <c r="A1643" s="49">
        <f t="shared" si="27"/>
        <v>1641</v>
      </c>
      <c r="B1643" s="36" t="s">
        <v>4</v>
      </c>
      <c r="C1643" s="36" t="s">
        <v>7158</v>
      </c>
      <c r="D1643" s="9" t="s">
        <v>7438</v>
      </c>
      <c r="E1643" s="9" t="s">
        <v>7015</v>
      </c>
      <c r="F1643" s="9" t="s">
        <v>7433</v>
      </c>
      <c r="G1643" s="36" t="s">
        <v>14</v>
      </c>
      <c r="H1643" s="36" t="str">
        <f>IFERROR(VLOOKUP(Table2[[#This Row], [Ticket]],Okey!A:B,2,0),"")</f>
        <v/>
      </c>
      <c r="I1643" s="36" t="s">
        <v>7581</v>
      </c>
      <c r="J1643" s="36" t="str">
        <f>VLOOKUP(Table2[[#This Row], [Author]],People!A:B,2,0)</f>
        <v>HC</v>
      </c>
      <c r="K1643" s="36"/>
      <c r="L1643" s="36"/>
      <c r="M1643" s="36" t="s">
        <v>1613</v>
      </c>
    </row>
    <row r="1644" spans="1:13" x14ac:dyDescent="0.25">
      <c r="A1644" s="49">
        <f t="shared" si="27"/>
        <v>1642</v>
      </c>
      <c r="B1644" s="36" t="s">
        <v>4</v>
      </c>
      <c r="C1644" s="36" t="s">
        <v>7158</v>
      </c>
      <c r="D1644" s="9" t="s">
        <v>7439</v>
      </c>
      <c r="E1644" s="9" t="s">
        <v>7016</v>
      </c>
      <c r="F1644" s="9" t="s">
        <v>7438</v>
      </c>
      <c r="G1644" s="36" t="s">
        <v>14</v>
      </c>
      <c r="H1644" s="36" t="str">
        <f>IFERROR(VLOOKUP(Table2[[#This Row], [Ticket]],Okey!A:B,2,0),"")</f>
        <v/>
      </c>
      <c r="I1644" s="36" t="s">
        <v>7581</v>
      </c>
      <c r="J1644" s="36" t="str">
        <f>VLOOKUP(Table2[[#This Row], [Author]],People!A:B,2,0)</f>
        <v>HC</v>
      </c>
      <c r="K1644" s="36"/>
      <c r="L1644" s="36"/>
      <c r="M1644" s="36" t="s">
        <v>1613</v>
      </c>
    </row>
    <row r="1645" spans="1:13" x14ac:dyDescent="0.25">
      <c r="A1645" s="49">
        <f t="shared" si="27"/>
        <v>1643</v>
      </c>
      <c r="B1645" s="36" t="s">
        <v>4</v>
      </c>
      <c r="C1645" s="36" t="s">
        <v>7158</v>
      </c>
      <c r="D1645" s="9" t="s">
        <v>7440</v>
      </c>
      <c r="E1645" s="9" t="s">
        <v>7017</v>
      </c>
      <c r="F1645" s="9" t="s">
        <v>7438</v>
      </c>
      <c r="G1645" s="36" t="s">
        <v>14</v>
      </c>
      <c r="H1645" s="36" t="str">
        <f>IFERROR(VLOOKUP(Table2[[#This Row], [Ticket]],Okey!A:B,2,0),"")</f>
        <v/>
      </c>
      <c r="I1645" s="36" t="s">
        <v>7581</v>
      </c>
      <c r="J1645" s="36" t="str">
        <f>VLOOKUP(Table2[[#This Row], [Author]],People!A:B,2,0)</f>
        <v>HC</v>
      </c>
      <c r="K1645" s="36"/>
      <c r="L1645" s="36"/>
      <c r="M1645" s="36" t="s">
        <v>1613</v>
      </c>
    </row>
    <row r="1646" spans="1:13" x14ac:dyDescent="0.25">
      <c r="A1646" s="49">
        <f t="shared" si="27"/>
        <v>1644</v>
      </c>
      <c r="B1646" s="36" t="s">
        <v>4</v>
      </c>
      <c r="C1646" s="36" t="s">
        <v>7158</v>
      </c>
      <c r="D1646" s="9" t="s">
        <v>7441</v>
      </c>
      <c r="E1646" s="9" t="s">
        <v>7018</v>
      </c>
      <c r="F1646" s="9" t="s">
        <v>6683</v>
      </c>
      <c r="G1646" s="36" t="s">
        <v>14</v>
      </c>
      <c r="H1646" s="36" t="str">
        <f>IFERROR(VLOOKUP(Table2[[#This Row], [Ticket]],Okey!A:B,2,0),"")</f>
        <v/>
      </c>
      <c r="I1646" s="36" t="s">
        <v>7581</v>
      </c>
      <c r="J1646" s="36" t="str">
        <f>VLOOKUP(Table2[[#This Row], [Author]],People!A:B,2,0)</f>
        <v>HC</v>
      </c>
      <c r="K1646" s="36"/>
      <c r="L1646" s="36"/>
      <c r="M1646" s="36" t="s">
        <v>1613</v>
      </c>
    </row>
    <row r="1647" spans="1:13" x14ac:dyDescent="0.25">
      <c r="A1647" s="49">
        <f t="shared" si="27"/>
        <v>1645</v>
      </c>
      <c r="B1647" s="36" t="s">
        <v>4</v>
      </c>
      <c r="C1647" s="36" t="s">
        <v>7158</v>
      </c>
      <c r="D1647" s="9" t="s">
        <v>7442</v>
      </c>
      <c r="E1647" s="9" t="s">
        <v>7019</v>
      </c>
      <c r="F1647" s="9" t="s">
        <v>7441</v>
      </c>
      <c r="G1647" s="36" t="s">
        <v>14</v>
      </c>
      <c r="H1647" s="36" t="str">
        <f>IFERROR(VLOOKUP(Table2[[#This Row], [Ticket]],Okey!A:B,2,0),"")</f>
        <v/>
      </c>
      <c r="I1647" s="36" t="s">
        <v>7581</v>
      </c>
      <c r="J1647" s="36" t="str">
        <f>VLOOKUP(Table2[[#This Row], [Author]],People!A:B,2,0)</f>
        <v>HC</v>
      </c>
      <c r="K1647" s="36"/>
      <c r="L1647" s="36"/>
      <c r="M1647" s="36" t="s">
        <v>1613</v>
      </c>
    </row>
    <row r="1648" spans="1:13" x14ac:dyDescent="0.25">
      <c r="A1648" s="49">
        <f t="shared" si="27"/>
        <v>1646</v>
      </c>
      <c r="B1648" s="36" t="s">
        <v>4</v>
      </c>
      <c r="C1648" s="36" t="s">
        <v>7158</v>
      </c>
      <c r="D1648" s="9" t="s">
        <v>7443</v>
      </c>
      <c r="E1648" s="9" t="s">
        <v>7020</v>
      </c>
      <c r="F1648" s="9" t="s">
        <v>7441</v>
      </c>
      <c r="G1648" s="36" t="s">
        <v>14</v>
      </c>
      <c r="H1648" s="36" t="str">
        <f>IFERROR(VLOOKUP(Table2[[#This Row], [Ticket]],Okey!A:B,2,0),"")</f>
        <v/>
      </c>
      <c r="I1648" s="36" t="s">
        <v>7581</v>
      </c>
      <c r="J1648" s="36" t="str">
        <f>VLOOKUP(Table2[[#This Row], [Author]],People!A:B,2,0)</f>
        <v>HC</v>
      </c>
      <c r="K1648" s="36"/>
      <c r="L1648" s="36"/>
      <c r="M1648" s="36" t="s">
        <v>1613</v>
      </c>
    </row>
    <row r="1649" spans="1:13" x14ac:dyDescent="0.25">
      <c r="A1649" s="49">
        <f t="shared" si="27"/>
        <v>1647</v>
      </c>
      <c r="B1649" s="36" t="s">
        <v>4</v>
      </c>
      <c r="C1649" s="36" t="s">
        <v>7158</v>
      </c>
      <c r="D1649" s="9" t="s">
        <v>7444</v>
      </c>
      <c r="E1649" s="9" t="s">
        <v>7021</v>
      </c>
      <c r="F1649" s="9" t="s">
        <v>7441</v>
      </c>
      <c r="G1649" s="36" t="s">
        <v>14</v>
      </c>
      <c r="H1649" s="36" t="str">
        <f>IFERROR(VLOOKUP(Table2[[#This Row], [Ticket]],Okey!A:B,2,0),"")</f>
        <v/>
      </c>
      <c r="I1649" s="36" t="s">
        <v>7581</v>
      </c>
      <c r="J1649" s="36" t="str">
        <f>VLOOKUP(Table2[[#This Row], [Author]],People!A:B,2,0)</f>
        <v>HC</v>
      </c>
      <c r="K1649" s="36"/>
      <c r="L1649" s="36"/>
      <c r="M1649" s="36" t="s">
        <v>1613</v>
      </c>
    </row>
    <row r="1650" spans="1:13" x14ac:dyDescent="0.25">
      <c r="A1650" s="49">
        <f t="shared" si="27"/>
        <v>1648</v>
      </c>
      <c r="B1650" s="36" t="s">
        <v>4</v>
      </c>
      <c r="C1650" s="36" t="s">
        <v>7158</v>
      </c>
      <c r="D1650" s="9" t="s">
        <v>7445</v>
      </c>
      <c r="E1650" s="9" t="s">
        <v>7022</v>
      </c>
      <c r="F1650" s="9" t="s">
        <v>7444</v>
      </c>
      <c r="G1650" s="36" t="s">
        <v>14</v>
      </c>
      <c r="H1650" s="36" t="str">
        <f>IFERROR(VLOOKUP(Table2[[#This Row], [Ticket]],Okey!A:B,2,0),"")</f>
        <v/>
      </c>
      <c r="I1650" s="36" t="s">
        <v>7581</v>
      </c>
      <c r="J1650" s="36" t="str">
        <f>VLOOKUP(Table2[[#This Row], [Author]],People!A:B,2,0)</f>
        <v>HC</v>
      </c>
      <c r="K1650" s="36"/>
      <c r="L1650" s="36"/>
      <c r="M1650" s="36" t="s">
        <v>1613</v>
      </c>
    </row>
    <row r="1651" spans="1:13" x14ac:dyDescent="0.25">
      <c r="A1651" s="49">
        <f t="shared" si="27"/>
        <v>1649</v>
      </c>
      <c r="B1651" s="36" t="s">
        <v>4</v>
      </c>
      <c r="C1651" s="36" t="s">
        <v>7158</v>
      </c>
      <c r="D1651" s="9" t="s">
        <v>7446</v>
      </c>
      <c r="E1651" s="9" t="s">
        <v>7023</v>
      </c>
      <c r="F1651" s="9" t="s">
        <v>7444</v>
      </c>
      <c r="G1651" s="36" t="s">
        <v>14</v>
      </c>
      <c r="H1651" s="36" t="str">
        <f>IFERROR(VLOOKUP(Table2[[#This Row], [Ticket]],Okey!A:B,2,0),"")</f>
        <v/>
      </c>
      <c r="I1651" s="36" t="s">
        <v>7581</v>
      </c>
      <c r="J1651" s="36" t="str">
        <f>VLOOKUP(Table2[[#This Row], [Author]],People!A:B,2,0)</f>
        <v>HC</v>
      </c>
      <c r="K1651" s="36"/>
      <c r="L1651" s="36"/>
      <c r="M1651" s="36" t="s">
        <v>1613</v>
      </c>
    </row>
    <row r="1652" spans="1:13" x14ac:dyDescent="0.25">
      <c r="A1652" s="49">
        <f t="shared" si="27"/>
        <v>1650</v>
      </c>
      <c r="B1652" s="36" t="s">
        <v>4</v>
      </c>
      <c r="C1652" s="36" t="s">
        <v>7158</v>
      </c>
      <c r="D1652" s="9" t="s">
        <v>7447</v>
      </c>
      <c r="E1652" s="9" t="s">
        <v>7024</v>
      </c>
      <c r="F1652" s="9" t="s">
        <v>7441</v>
      </c>
      <c r="G1652" s="36" t="s">
        <v>14</v>
      </c>
      <c r="H1652" s="36" t="str">
        <f>IFERROR(VLOOKUP(Table2[[#This Row], [Ticket]],Okey!A:B,2,0),"")</f>
        <v/>
      </c>
      <c r="I1652" s="36" t="s">
        <v>7581</v>
      </c>
      <c r="J1652" s="36" t="str">
        <f>VLOOKUP(Table2[[#This Row], [Author]],People!A:B,2,0)</f>
        <v>HC</v>
      </c>
      <c r="K1652" s="36"/>
      <c r="L1652" s="36"/>
      <c r="M1652" s="36" t="s">
        <v>1613</v>
      </c>
    </row>
    <row r="1653" spans="1:13" x14ac:dyDescent="0.25">
      <c r="A1653" s="49">
        <f t="shared" si="27"/>
        <v>1651</v>
      </c>
      <c r="B1653" s="36" t="s">
        <v>4</v>
      </c>
      <c r="C1653" s="36" t="s">
        <v>7158</v>
      </c>
      <c r="D1653" s="9" t="s">
        <v>7448</v>
      </c>
      <c r="E1653" s="9" t="s">
        <v>7025</v>
      </c>
      <c r="F1653" s="9" t="s">
        <v>7447</v>
      </c>
      <c r="G1653" s="36" t="s">
        <v>14</v>
      </c>
      <c r="H1653" s="36" t="str">
        <f>IFERROR(VLOOKUP(Table2[[#This Row], [Ticket]],Okey!A:B,2,0),"")</f>
        <v/>
      </c>
      <c r="I1653" s="36" t="s">
        <v>7581</v>
      </c>
      <c r="J1653" s="36" t="str">
        <f>VLOOKUP(Table2[[#This Row], [Author]],People!A:B,2,0)</f>
        <v>HC</v>
      </c>
      <c r="K1653" s="36"/>
      <c r="L1653" s="36"/>
      <c r="M1653" s="36" t="s">
        <v>1613</v>
      </c>
    </row>
    <row r="1654" spans="1:13" x14ac:dyDescent="0.25">
      <c r="A1654" s="49">
        <f t="shared" si="27"/>
        <v>1652</v>
      </c>
      <c r="B1654" s="36" t="s">
        <v>4</v>
      </c>
      <c r="C1654" s="36" t="s">
        <v>7158</v>
      </c>
      <c r="D1654" s="9" t="s">
        <v>7449</v>
      </c>
      <c r="E1654" s="9" t="s">
        <v>7026</v>
      </c>
      <c r="F1654" s="9" t="s">
        <v>7447</v>
      </c>
      <c r="G1654" s="36" t="s">
        <v>14</v>
      </c>
      <c r="H1654" s="36" t="str">
        <f>IFERROR(VLOOKUP(Table2[[#This Row], [Ticket]],Okey!A:B,2,0),"")</f>
        <v/>
      </c>
      <c r="I1654" s="36" t="s">
        <v>7581</v>
      </c>
      <c r="J1654" s="36" t="str">
        <f>VLOOKUP(Table2[[#This Row], [Author]],People!A:B,2,0)</f>
        <v>HC</v>
      </c>
      <c r="K1654" s="36"/>
      <c r="L1654" s="36"/>
      <c r="M1654" s="36" t="s">
        <v>1613</v>
      </c>
    </row>
    <row r="1655" spans="1:13" x14ac:dyDescent="0.25">
      <c r="A1655" s="49">
        <f t="shared" si="27"/>
        <v>1653</v>
      </c>
      <c r="B1655" s="36" t="s">
        <v>4</v>
      </c>
      <c r="C1655" s="36" t="s">
        <v>7158</v>
      </c>
      <c r="D1655" s="9" t="s">
        <v>7450</v>
      </c>
      <c r="E1655" s="9" t="s">
        <v>7027</v>
      </c>
      <c r="F1655" s="9" t="s">
        <v>7447</v>
      </c>
      <c r="G1655" s="36" t="s">
        <v>14</v>
      </c>
      <c r="H1655" s="36" t="str">
        <f>IFERROR(VLOOKUP(Table2[[#This Row], [Ticket]],Okey!A:B,2,0),"")</f>
        <v/>
      </c>
      <c r="I1655" s="36" t="s">
        <v>7581</v>
      </c>
      <c r="J1655" s="36" t="str">
        <f>VLOOKUP(Table2[[#This Row], [Author]],People!A:B,2,0)</f>
        <v>HC</v>
      </c>
      <c r="K1655" s="36"/>
      <c r="L1655" s="36"/>
      <c r="M1655" s="36" t="s">
        <v>1613</v>
      </c>
    </row>
    <row r="1656" spans="1:13" x14ac:dyDescent="0.25">
      <c r="A1656" s="49">
        <f t="shared" si="27"/>
        <v>1654</v>
      </c>
      <c r="B1656" s="36" t="s">
        <v>4</v>
      </c>
      <c r="C1656" s="36" t="s">
        <v>7158</v>
      </c>
      <c r="D1656" s="9" t="s">
        <v>7451</v>
      </c>
      <c r="E1656" s="9" t="s">
        <v>7028</v>
      </c>
      <c r="F1656" s="9" t="s">
        <v>7447</v>
      </c>
      <c r="G1656" s="36" t="s">
        <v>14</v>
      </c>
      <c r="H1656" s="36" t="str">
        <f>IFERROR(VLOOKUP(Table2[[#This Row], [Ticket]],Okey!A:B,2,0),"")</f>
        <v/>
      </c>
      <c r="I1656" s="36" t="s">
        <v>7581</v>
      </c>
      <c r="J1656" s="36" t="str">
        <f>VLOOKUP(Table2[[#This Row], [Author]],People!A:B,2,0)</f>
        <v>HC</v>
      </c>
      <c r="K1656" s="36"/>
      <c r="L1656" s="36"/>
      <c r="M1656" s="36" t="s">
        <v>1613</v>
      </c>
    </row>
    <row r="1657" spans="1:13" x14ac:dyDescent="0.25">
      <c r="A1657" s="49">
        <f t="shared" si="27"/>
        <v>1655</v>
      </c>
      <c r="B1657" s="36" t="s">
        <v>4</v>
      </c>
      <c r="C1657" s="36" t="s">
        <v>7158</v>
      </c>
      <c r="D1657" s="9" t="s">
        <v>7452</v>
      </c>
      <c r="E1657" s="9" t="s">
        <v>7029</v>
      </c>
      <c r="F1657" s="9" t="s">
        <v>7447</v>
      </c>
      <c r="G1657" s="36" t="s">
        <v>14</v>
      </c>
      <c r="H1657" s="36" t="str">
        <f>IFERROR(VLOOKUP(Table2[[#This Row], [Ticket]],Okey!A:B,2,0),"")</f>
        <v/>
      </c>
      <c r="I1657" s="36" t="s">
        <v>7581</v>
      </c>
      <c r="J1657" s="36" t="str">
        <f>VLOOKUP(Table2[[#This Row], [Author]],People!A:B,2,0)</f>
        <v>HC</v>
      </c>
      <c r="K1657" s="36"/>
      <c r="L1657" s="36"/>
      <c r="M1657" s="36" t="s">
        <v>1613</v>
      </c>
    </row>
    <row r="1658" spans="1:13" x14ac:dyDescent="0.25">
      <c r="A1658" s="49">
        <f t="shared" si="27"/>
        <v>1656</v>
      </c>
      <c r="B1658" s="36" t="s">
        <v>4</v>
      </c>
      <c r="C1658" s="36" t="s">
        <v>7158</v>
      </c>
      <c r="D1658" s="9" t="s">
        <v>7453</v>
      </c>
      <c r="E1658" s="9" t="s">
        <v>7030</v>
      </c>
      <c r="F1658" s="9" t="s">
        <v>6684</v>
      </c>
      <c r="G1658" s="36" t="s">
        <v>14</v>
      </c>
      <c r="H1658" s="36" t="str">
        <f>IFERROR(VLOOKUP(Table2[[#This Row], [Ticket]],Okey!A:B,2,0),"")</f>
        <v/>
      </c>
      <c r="I1658" s="36" t="s">
        <v>7581</v>
      </c>
      <c r="J1658" s="36" t="str">
        <f>VLOOKUP(Table2[[#This Row], [Author]],People!A:B,2,0)</f>
        <v>HC</v>
      </c>
      <c r="K1658" s="36"/>
      <c r="L1658" s="36"/>
      <c r="M1658" s="36" t="s">
        <v>1613</v>
      </c>
    </row>
    <row r="1659" spans="1:13" x14ac:dyDescent="0.25">
      <c r="A1659" s="49">
        <f t="shared" si="27"/>
        <v>1657</v>
      </c>
      <c r="B1659" s="36" t="s">
        <v>4</v>
      </c>
      <c r="C1659" s="36" t="s">
        <v>7158</v>
      </c>
      <c r="D1659" s="9" t="s">
        <v>7454</v>
      </c>
      <c r="E1659" s="9" t="s">
        <v>7031</v>
      </c>
      <c r="F1659" s="9" t="s">
        <v>7453</v>
      </c>
      <c r="G1659" s="36" t="s">
        <v>14</v>
      </c>
      <c r="H1659" s="36" t="str">
        <f>IFERROR(VLOOKUP(Table2[[#This Row], [Ticket]],Okey!A:B,2,0),"")</f>
        <v/>
      </c>
      <c r="I1659" s="36" t="s">
        <v>7581</v>
      </c>
      <c r="J1659" s="36" t="str">
        <f>VLOOKUP(Table2[[#This Row], [Author]],People!A:B,2,0)</f>
        <v>HC</v>
      </c>
      <c r="K1659" s="36"/>
      <c r="L1659" s="36"/>
      <c r="M1659" s="36" t="s">
        <v>1613</v>
      </c>
    </row>
    <row r="1660" spans="1:13" x14ac:dyDescent="0.25">
      <c r="A1660" s="49">
        <f t="shared" si="27"/>
        <v>1658</v>
      </c>
      <c r="B1660" s="36" t="s">
        <v>4</v>
      </c>
      <c r="C1660" s="36" t="s">
        <v>7158</v>
      </c>
      <c r="D1660" s="9" t="s">
        <v>7455</v>
      </c>
      <c r="E1660" s="9" t="s">
        <v>7032</v>
      </c>
      <c r="F1660" s="9" t="s">
        <v>7453</v>
      </c>
      <c r="G1660" s="36" t="s">
        <v>14</v>
      </c>
      <c r="H1660" s="36" t="str">
        <f>IFERROR(VLOOKUP(Table2[[#This Row], [Ticket]],Okey!A:B,2,0),"")</f>
        <v/>
      </c>
      <c r="I1660" s="36" t="s">
        <v>7581</v>
      </c>
      <c r="J1660" s="36" t="str">
        <f>VLOOKUP(Table2[[#This Row], [Author]],People!A:B,2,0)</f>
        <v>HC</v>
      </c>
      <c r="K1660" s="36"/>
      <c r="L1660" s="36"/>
      <c r="M1660" s="36" t="s">
        <v>1613</v>
      </c>
    </row>
    <row r="1661" spans="1:13" x14ac:dyDescent="0.25">
      <c r="A1661" s="49">
        <f t="shared" si="27"/>
        <v>1659</v>
      </c>
      <c r="B1661" s="36" t="s">
        <v>4</v>
      </c>
      <c r="C1661" s="36" t="s">
        <v>7158</v>
      </c>
      <c r="D1661" s="9" t="s">
        <v>7456</v>
      </c>
      <c r="E1661" s="9" t="s">
        <v>7033</v>
      </c>
      <c r="F1661" s="9" t="s">
        <v>7455</v>
      </c>
      <c r="G1661" s="36" t="s">
        <v>14</v>
      </c>
      <c r="H1661" s="36" t="str">
        <f>IFERROR(VLOOKUP(Table2[[#This Row], [Ticket]],Okey!A:B,2,0),"")</f>
        <v/>
      </c>
      <c r="I1661" s="36" t="s">
        <v>7581</v>
      </c>
      <c r="J1661" s="36" t="str">
        <f>VLOOKUP(Table2[[#This Row], [Author]],People!A:B,2,0)</f>
        <v>HC</v>
      </c>
      <c r="K1661" s="36"/>
      <c r="L1661" s="36"/>
      <c r="M1661" s="36" t="s">
        <v>1613</v>
      </c>
    </row>
    <row r="1662" spans="1:13" x14ac:dyDescent="0.25">
      <c r="A1662" s="49">
        <f t="shared" si="27"/>
        <v>1660</v>
      </c>
      <c r="B1662" s="36" t="s">
        <v>4</v>
      </c>
      <c r="C1662" s="36" t="s">
        <v>7158</v>
      </c>
      <c r="D1662" s="9" t="s">
        <v>7457</v>
      </c>
      <c r="E1662" s="9" t="s">
        <v>7034</v>
      </c>
      <c r="F1662" s="9" t="s">
        <v>7455</v>
      </c>
      <c r="G1662" s="36" t="s">
        <v>14</v>
      </c>
      <c r="H1662" s="36" t="str">
        <f>IFERROR(VLOOKUP(Table2[[#This Row], [Ticket]],Okey!A:B,2,0),"")</f>
        <v/>
      </c>
      <c r="I1662" s="36" t="s">
        <v>7581</v>
      </c>
      <c r="J1662" s="36" t="str">
        <f>VLOOKUP(Table2[[#This Row], [Author]],People!A:B,2,0)</f>
        <v>HC</v>
      </c>
      <c r="K1662" s="36"/>
      <c r="L1662" s="36"/>
      <c r="M1662" s="36" t="s">
        <v>1613</v>
      </c>
    </row>
    <row r="1663" spans="1:13" x14ac:dyDescent="0.25">
      <c r="A1663" s="49">
        <f t="shared" si="27"/>
        <v>1661</v>
      </c>
      <c r="B1663" s="36" t="s">
        <v>4</v>
      </c>
      <c r="C1663" s="36" t="s">
        <v>7158</v>
      </c>
      <c r="D1663" s="9" t="s">
        <v>7458</v>
      </c>
      <c r="E1663" s="9" t="s">
        <v>7035</v>
      </c>
      <c r="F1663" s="9" t="s">
        <v>7453</v>
      </c>
      <c r="G1663" s="36" t="s">
        <v>14</v>
      </c>
      <c r="H1663" s="36" t="str">
        <f>IFERROR(VLOOKUP(Table2[[#This Row], [Ticket]],Okey!A:B,2,0),"")</f>
        <v/>
      </c>
      <c r="I1663" s="36" t="s">
        <v>7581</v>
      </c>
      <c r="J1663" s="36" t="str">
        <f>VLOOKUP(Table2[[#This Row], [Author]],People!A:B,2,0)</f>
        <v>HC</v>
      </c>
      <c r="K1663" s="36"/>
      <c r="L1663" s="36"/>
      <c r="M1663" s="36" t="s">
        <v>1613</v>
      </c>
    </row>
    <row r="1664" spans="1:13" x14ac:dyDescent="0.25">
      <c r="A1664" s="49">
        <f t="shared" si="27"/>
        <v>1662</v>
      </c>
      <c r="B1664" s="36" t="s">
        <v>4</v>
      </c>
      <c r="C1664" s="36" t="s">
        <v>7158</v>
      </c>
      <c r="D1664" s="9" t="s">
        <v>7459</v>
      </c>
      <c r="E1664" s="9" t="s">
        <v>7036</v>
      </c>
      <c r="F1664" s="9" t="s">
        <v>7458</v>
      </c>
      <c r="G1664" s="36" t="s">
        <v>14</v>
      </c>
      <c r="H1664" s="36" t="str">
        <f>IFERROR(VLOOKUP(Table2[[#This Row], [Ticket]],Okey!A:B,2,0),"")</f>
        <v/>
      </c>
      <c r="I1664" s="36" t="s">
        <v>7581</v>
      </c>
      <c r="J1664" s="36" t="str">
        <f>VLOOKUP(Table2[[#This Row], [Author]],People!A:B,2,0)</f>
        <v>HC</v>
      </c>
      <c r="K1664" s="36"/>
      <c r="L1664" s="36"/>
      <c r="M1664" s="36" t="s">
        <v>1613</v>
      </c>
    </row>
    <row r="1665" spans="1:13" x14ac:dyDescent="0.25">
      <c r="A1665" s="49">
        <f t="shared" si="27"/>
        <v>1663</v>
      </c>
      <c r="B1665" s="36" t="s">
        <v>4</v>
      </c>
      <c r="C1665" s="36" t="s">
        <v>7158</v>
      </c>
      <c r="D1665" s="9" t="s">
        <v>7460</v>
      </c>
      <c r="E1665" s="9" t="s">
        <v>7037</v>
      </c>
      <c r="F1665" s="9" t="s">
        <v>7458</v>
      </c>
      <c r="G1665" s="36" t="s">
        <v>14</v>
      </c>
      <c r="H1665" s="36" t="str">
        <f>IFERROR(VLOOKUP(Table2[[#This Row], [Ticket]],Okey!A:B,2,0),"")</f>
        <v/>
      </c>
      <c r="I1665" s="36" t="s">
        <v>7581</v>
      </c>
      <c r="J1665" s="36" t="str">
        <f>VLOOKUP(Table2[[#This Row], [Author]],People!A:B,2,0)</f>
        <v>HC</v>
      </c>
      <c r="K1665" s="36"/>
      <c r="L1665" s="36"/>
      <c r="M1665" s="36" t="s">
        <v>1613</v>
      </c>
    </row>
    <row r="1666" spans="1:13" x14ac:dyDescent="0.25">
      <c r="A1666" s="49">
        <f t="shared" si="27"/>
        <v>1664</v>
      </c>
      <c r="B1666" s="36" t="s">
        <v>4</v>
      </c>
      <c r="C1666" s="36" t="s">
        <v>7158</v>
      </c>
      <c r="D1666" s="9" t="s">
        <v>7461</v>
      </c>
      <c r="E1666" s="9" t="s">
        <v>7038</v>
      </c>
      <c r="F1666" s="9" t="s">
        <v>6683</v>
      </c>
      <c r="G1666" s="36" t="s">
        <v>14</v>
      </c>
      <c r="H1666" s="36" t="str">
        <f>IFERROR(VLOOKUP(Table2[[#This Row], [Ticket]],Okey!A:B,2,0),"")</f>
        <v/>
      </c>
      <c r="I1666" s="36" t="s">
        <v>7581</v>
      </c>
      <c r="J1666" s="36" t="str">
        <f>VLOOKUP(Table2[[#This Row], [Author]],People!A:B,2,0)</f>
        <v>HC</v>
      </c>
      <c r="K1666" s="36"/>
      <c r="L1666" s="36"/>
      <c r="M1666" s="36" t="s">
        <v>1613</v>
      </c>
    </row>
    <row r="1667" spans="1:13" x14ac:dyDescent="0.25">
      <c r="A1667" s="49">
        <f t="shared" si="27"/>
        <v>1665</v>
      </c>
      <c r="B1667" s="36" t="s">
        <v>4</v>
      </c>
      <c r="C1667" s="36" t="s">
        <v>7158</v>
      </c>
      <c r="D1667" s="9" t="s">
        <v>7462</v>
      </c>
      <c r="E1667" s="9" t="s">
        <v>7039</v>
      </c>
      <c r="F1667" s="9" t="s">
        <v>7461</v>
      </c>
      <c r="G1667" s="36" t="s">
        <v>14</v>
      </c>
      <c r="H1667" s="36" t="str">
        <f>IFERROR(VLOOKUP(Table2[[#This Row], [Ticket]],Okey!A:B,2,0),"")</f>
        <v/>
      </c>
      <c r="I1667" s="36" t="s">
        <v>7581</v>
      </c>
      <c r="J1667" s="36" t="str">
        <f>VLOOKUP(Table2[[#This Row], [Author]],People!A:B,2,0)</f>
        <v>HC</v>
      </c>
      <c r="K1667" s="36"/>
      <c r="L1667" s="36"/>
      <c r="M1667" s="36" t="s">
        <v>1613</v>
      </c>
    </row>
    <row r="1668" spans="1:13" x14ac:dyDescent="0.25">
      <c r="A1668" s="49">
        <f t="shared" si="27"/>
        <v>1666</v>
      </c>
      <c r="B1668" s="36" t="s">
        <v>4</v>
      </c>
      <c r="C1668" s="36" t="s">
        <v>7158</v>
      </c>
      <c r="D1668" s="9" t="s">
        <v>7463</v>
      </c>
      <c r="E1668" s="9" t="s">
        <v>7040</v>
      </c>
      <c r="F1668" s="9" t="s">
        <v>7461</v>
      </c>
      <c r="G1668" s="36" t="s">
        <v>14</v>
      </c>
      <c r="H1668" s="36" t="str">
        <f>IFERROR(VLOOKUP(Table2[[#This Row], [Ticket]],Okey!A:B,2,0),"")</f>
        <v/>
      </c>
      <c r="I1668" s="36" t="s">
        <v>7581</v>
      </c>
      <c r="J1668" s="36" t="str">
        <f>VLOOKUP(Table2[[#This Row], [Author]],People!A:B,2,0)</f>
        <v>HC</v>
      </c>
      <c r="K1668" s="36"/>
      <c r="L1668" s="36"/>
      <c r="M1668" s="36" t="s">
        <v>1613</v>
      </c>
    </row>
    <row r="1669" spans="1:13" x14ac:dyDescent="0.25">
      <c r="A1669" s="49">
        <f t="shared" si="27"/>
        <v>1667</v>
      </c>
      <c r="B1669" s="36" t="s">
        <v>4</v>
      </c>
      <c r="C1669" s="36" t="s">
        <v>7158</v>
      </c>
      <c r="D1669" s="9" t="s">
        <v>7464</v>
      </c>
      <c r="E1669" s="9" t="s">
        <v>7041</v>
      </c>
      <c r="F1669" s="9" t="s">
        <v>7461</v>
      </c>
      <c r="G1669" s="36" t="s">
        <v>14</v>
      </c>
      <c r="H1669" s="36" t="str">
        <f>IFERROR(VLOOKUP(Table2[[#This Row], [Ticket]],Okey!A:B,2,0),"")</f>
        <v/>
      </c>
      <c r="I1669" s="36" t="s">
        <v>7581</v>
      </c>
      <c r="J1669" s="36" t="str">
        <f>VLOOKUP(Table2[[#This Row], [Author]],People!A:B,2,0)</f>
        <v>HC</v>
      </c>
      <c r="K1669" s="36"/>
      <c r="L1669" s="36"/>
      <c r="M1669" s="36" t="s">
        <v>1613</v>
      </c>
    </row>
    <row r="1670" spans="1:13" x14ac:dyDescent="0.25">
      <c r="A1670" s="49">
        <f t="shared" si="27"/>
        <v>1668</v>
      </c>
      <c r="B1670" s="36" t="s">
        <v>4</v>
      </c>
      <c r="C1670" s="36" t="s">
        <v>7158</v>
      </c>
      <c r="D1670" s="9" t="s">
        <v>7465</v>
      </c>
      <c r="E1670" s="9" t="s">
        <v>7042</v>
      </c>
      <c r="F1670" s="9" t="s">
        <v>7464</v>
      </c>
      <c r="G1670" s="36" t="s">
        <v>14</v>
      </c>
      <c r="H1670" s="36" t="str">
        <f>IFERROR(VLOOKUP(Table2[[#This Row], [Ticket]],Okey!A:B,2,0),"")</f>
        <v/>
      </c>
      <c r="I1670" s="36" t="s">
        <v>7581</v>
      </c>
      <c r="J1670" s="36" t="str">
        <f>VLOOKUP(Table2[[#This Row], [Author]],People!A:B,2,0)</f>
        <v>HC</v>
      </c>
      <c r="K1670" s="36"/>
      <c r="L1670" s="36"/>
      <c r="M1670" s="36" t="s">
        <v>1613</v>
      </c>
    </row>
    <row r="1671" spans="1:13" x14ac:dyDescent="0.25">
      <c r="A1671" s="49">
        <f t="shared" si="27"/>
        <v>1669</v>
      </c>
      <c r="B1671" s="36" t="s">
        <v>4</v>
      </c>
      <c r="C1671" s="36" t="s">
        <v>7158</v>
      </c>
      <c r="D1671" s="9" t="s">
        <v>7466</v>
      </c>
      <c r="E1671" s="9" t="s">
        <v>7043</v>
      </c>
      <c r="F1671" s="9" t="s">
        <v>7464</v>
      </c>
      <c r="G1671" s="36" t="s">
        <v>14</v>
      </c>
      <c r="H1671" s="36" t="str">
        <f>IFERROR(VLOOKUP(Table2[[#This Row], [Ticket]],Okey!A:B,2,0),"")</f>
        <v/>
      </c>
      <c r="I1671" s="36" t="s">
        <v>7581</v>
      </c>
      <c r="J1671" s="36" t="str">
        <f>VLOOKUP(Table2[[#This Row], [Author]],People!A:B,2,0)</f>
        <v>HC</v>
      </c>
      <c r="K1671" s="36"/>
      <c r="L1671" s="36"/>
      <c r="M1671" s="36" t="s">
        <v>1613</v>
      </c>
    </row>
    <row r="1672" spans="1:13" x14ac:dyDescent="0.25">
      <c r="A1672" s="49">
        <f t="shared" si="27"/>
        <v>1670</v>
      </c>
      <c r="B1672" s="36" t="s">
        <v>4</v>
      </c>
      <c r="C1672" s="36" t="s">
        <v>7158</v>
      </c>
      <c r="D1672" s="9" t="s">
        <v>7467</v>
      </c>
      <c r="E1672" s="9" t="s">
        <v>7044</v>
      </c>
      <c r="F1672" s="9" t="s">
        <v>7461</v>
      </c>
      <c r="G1672" s="36" t="s">
        <v>14</v>
      </c>
      <c r="H1672" s="36" t="str">
        <f>IFERROR(VLOOKUP(Table2[[#This Row], [Ticket]],Okey!A:B,2,0),"")</f>
        <v/>
      </c>
      <c r="I1672" s="36" t="s">
        <v>7581</v>
      </c>
      <c r="J1672" s="36" t="str">
        <f>VLOOKUP(Table2[[#This Row], [Author]],People!A:B,2,0)</f>
        <v>HC</v>
      </c>
      <c r="K1672" s="36"/>
      <c r="L1672" s="36"/>
      <c r="M1672" s="36" t="s">
        <v>1613</v>
      </c>
    </row>
    <row r="1673" spans="1:13" x14ac:dyDescent="0.25">
      <c r="A1673" s="49">
        <f t="shared" si="27"/>
        <v>1671</v>
      </c>
      <c r="B1673" s="36" t="s">
        <v>4</v>
      </c>
      <c r="C1673" s="36" t="s">
        <v>7158</v>
      </c>
      <c r="D1673" s="9" t="s">
        <v>7468</v>
      </c>
      <c r="E1673" s="9" t="s">
        <v>7045</v>
      </c>
      <c r="F1673" s="9" t="s">
        <v>7467</v>
      </c>
      <c r="G1673" s="36" t="s">
        <v>14</v>
      </c>
      <c r="H1673" s="36" t="str">
        <f>IFERROR(VLOOKUP(Table2[[#This Row], [Ticket]],Okey!A:B,2,0),"")</f>
        <v/>
      </c>
      <c r="I1673" s="36" t="s">
        <v>7581</v>
      </c>
      <c r="J1673" s="36" t="str">
        <f>VLOOKUP(Table2[[#This Row], [Author]],People!A:B,2,0)</f>
        <v>HC</v>
      </c>
      <c r="K1673" s="36"/>
      <c r="L1673" s="36"/>
      <c r="M1673" s="36" t="s">
        <v>1613</v>
      </c>
    </row>
    <row r="1674" spans="1:13" x14ac:dyDescent="0.25">
      <c r="A1674" s="49">
        <f t="shared" si="27"/>
        <v>1672</v>
      </c>
      <c r="B1674" s="36" t="s">
        <v>4</v>
      </c>
      <c r="C1674" s="36" t="s">
        <v>7158</v>
      </c>
      <c r="D1674" s="9" t="s">
        <v>7469</v>
      </c>
      <c r="E1674" s="9" t="s">
        <v>7046</v>
      </c>
      <c r="F1674" s="9" t="s">
        <v>7467</v>
      </c>
      <c r="G1674" s="36" t="s">
        <v>14</v>
      </c>
      <c r="H1674" s="36" t="str">
        <f>IFERROR(VLOOKUP(Table2[[#This Row], [Ticket]],Okey!A:B,2,0),"")</f>
        <v/>
      </c>
      <c r="I1674" s="36" t="s">
        <v>7581</v>
      </c>
      <c r="J1674" s="36" t="str">
        <f>VLOOKUP(Table2[[#This Row], [Author]],People!A:B,2,0)</f>
        <v>HC</v>
      </c>
      <c r="K1674" s="36"/>
      <c r="L1674" s="36"/>
      <c r="M1674" s="36" t="s">
        <v>1613</v>
      </c>
    </row>
    <row r="1675" spans="1:13" x14ac:dyDescent="0.25">
      <c r="A1675" s="49">
        <f t="shared" si="27"/>
        <v>1673</v>
      </c>
      <c r="B1675" s="36" t="s">
        <v>4</v>
      </c>
      <c r="C1675" s="36" t="s">
        <v>7158</v>
      </c>
      <c r="D1675" s="9" t="s">
        <v>7470</v>
      </c>
      <c r="E1675" s="9" t="s">
        <v>7047</v>
      </c>
      <c r="F1675" s="9" t="s">
        <v>7467</v>
      </c>
      <c r="G1675" s="36" t="s">
        <v>14</v>
      </c>
      <c r="H1675" s="36" t="str">
        <f>IFERROR(VLOOKUP(Table2[[#This Row], [Ticket]],Okey!A:B,2,0),"")</f>
        <v/>
      </c>
      <c r="I1675" s="36" t="s">
        <v>7581</v>
      </c>
      <c r="J1675" s="36" t="str">
        <f>VLOOKUP(Table2[[#This Row], [Author]],People!A:B,2,0)</f>
        <v>HC</v>
      </c>
      <c r="K1675" s="36"/>
      <c r="L1675" s="36"/>
      <c r="M1675" s="36" t="s">
        <v>1613</v>
      </c>
    </row>
    <row r="1676" spans="1:13" x14ac:dyDescent="0.25">
      <c r="A1676" s="49">
        <f t="shared" si="27"/>
        <v>1674</v>
      </c>
      <c r="B1676" s="36" t="s">
        <v>4</v>
      </c>
      <c r="C1676" s="36" t="s">
        <v>7158</v>
      </c>
      <c r="D1676" s="9" t="s">
        <v>7471</v>
      </c>
      <c r="E1676" s="9" t="s">
        <v>7048</v>
      </c>
      <c r="F1676" s="9" t="s">
        <v>7467</v>
      </c>
      <c r="G1676" s="36" t="s">
        <v>14</v>
      </c>
      <c r="H1676" s="36" t="str">
        <f>IFERROR(VLOOKUP(Table2[[#This Row], [Ticket]],Okey!A:B,2,0),"")</f>
        <v/>
      </c>
      <c r="I1676" s="36" t="s">
        <v>7581</v>
      </c>
      <c r="J1676" s="36" t="str">
        <f>VLOOKUP(Table2[[#This Row], [Author]],People!A:B,2,0)</f>
        <v>HC</v>
      </c>
      <c r="K1676" s="36"/>
      <c r="L1676" s="36"/>
      <c r="M1676" s="36" t="s">
        <v>1613</v>
      </c>
    </row>
    <row r="1677" spans="1:13" x14ac:dyDescent="0.25">
      <c r="A1677" s="49">
        <f t="shared" si="27"/>
        <v>1675</v>
      </c>
      <c r="B1677" s="36" t="s">
        <v>4</v>
      </c>
      <c r="C1677" s="36" t="s">
        <v>7158</v>
      </c>
      <c r="D1677" s="9" t="s">
        <v>7472</v>
      </c>
      <c r="E1677" s="9" t="s">
        <v>7049</v>
      </c>
      <c r="F1677" s="9" t="s">
        <v>7467</v>
      </c>
      <c r="G1677" s="36" t="s">
        <v>14</v>
      </c>
      <c r="H1677" s="36" t="str">
        <f>IFERROR(VLOOKUP(Table2[[#This Row], [Ticket]],Okey!A:B,2,0),"")</f>
        <v/>
      </c>
      <c r="I1677" s="36" t="s">
        <v>7581</v>
      </c>
      <c r="J1677" s="36" t="str">
        <f>VLOOKUP(Table2[[#This Row], [Author]],People!A:B,2,0)</f>
        <v>HC</v>
      </c>
      <c r="K1677" s="36"/>
      <c r="L1677" s="36"/>
      <c r="M1677" s="36" t="s">
        <v>1613</v>
      </c>
    </row>
    <row r="1678" spans="1:13" x14ac:dyDescent="0.25">
      <c r="A1678" s="49">
        <f t="shared" si="27"/>
        <v>1676</v>
      </c>
      <c r="B1678" s="36" t="s">
        <v>4</v>
      </c>
      <c r="C1678" s="36" t="s">
        <v>7158</v>
      </c>
      <c r="D1678" s="9" t="s">
        <v>7473</v>
      </c>
      <c r="E1678" s="9" t="s">
        <v>7050</v>
      </c>
      <c r="F1678" s="9" t="s">
        <v>6684</v>
      </c>
      <c r="G1678" s="36" t="s">
        <v>14</v>
      </c>
      <c r="H1678" s="36" t="str">
        <f>IFERROR(VLOOKUP(Table2[[#This Row], [Ticket]],Okey!A:B,2,0),"")</f>
        <v/>
      </c>
      <c r="I1678" s="36" t="s">
        <v>7581</v>
      </c>
      <c r="J1678" s="36" t="str">
        <f>VLOOKUP(Table2[[#This Row], [Author]],People!A:B,2,0)</f>
        <v>HC</v>
      </c>
      <c r="K1678" s="36"/>
      <c r="L1678" s="36"/>
      <c r="M1678" s="36" t="s">
        <v>1613</v>
      </c>
    </row>
    <row r="1679" spans="1:13" x14ac:dyDescent="0.25">
      <c r="A1679" s="49">
        <f t="shared" si="27"/>
        <v>1677</v>
      </c>
      <c r="B1679" s="36" t="s">
        <v>4</v>
      </c>
      <c r="C1679" s="36" t="s">
        <v>7158</v>
      </c>
      <c r="D1679" s="9" t="s">
        <v>7474</v>
      </c>
      <c r="E1679" s="9" t="s">
        <v>7051</v>
      </c>
      <c r="F1679" s="9" t="s">
        <v>7473</v>
      </c>
      <c r="G1679" s="36" t="s">
        <v>14</v>
      </c>
      <c r="H1679" s="36" t="str">
        <f>IFERROR(VLOOKUP(Table2[[#This Row], [Ticket]],Okey!A:B,2,0),"")</f>
        <v/>
      </c>
      <c r="I1679" s="36" t="s">
        <v>7581</v>
      </c>
      <c r="J1679" s="36" t="str">
        <f>VLOOKUP(Table2[[#This Row], [Author]],People!A:B,2,0)</f>
        <v>HC</v>
      </c>
      <c r="K1679" s="36"/>
      <c r="L1679" s="36"/>
      <c r="M1679" s="36" t="s">
        <v>1613</v>
      </c>
    </row>
    <row r="1680" spans="1:13" x14ac:dyDescent="0.25">
      <c r="A1680" s="49">
        <f t="shared" si="27"/>
        <v>1678</v>
      </c>
      <c r="B1680" s="36" t="s">
        <v>4</v>
      </c>
      <c r="C1680" s="36" t="s">
        <v>7158</v>
      </c>
      <c r="D1680" s="9" t="s">
        <v>7475</v>
      </c>
      <c r="E1680" s="9" t="s">
        <v>7052</v>
      </c>
      <c r="F1680" s="9" t="s">
        <v>7473</v>
      </c>
      <c r="G1680" s="36" t="s">
        <v>14</v>
      </c>
      <c r="H1680" s="36" t="str">
        <f>IFERROR(VLOOKUP(Table2[[#This Row], [Ticket]],Okey!A:B,2,0),"")</f>
        <v/>
      </c>
      <c r="I1680" s="36" t="s">
        <v>7581</v>
      </c>
      <c r="J1680" s="36" t="str">
        <f>VLOOKUP(Table2[[#This Row], [Author]],People!A:B,2,0)</f>
        <v>HC</v>
      </c>
      <c r="K1680" s="36"/>
      <c r="L1680" s="36"/>
      <c r="M1680" s="36" t="s">
        <v>1613</v>
      </c>
    </row>
    <row r="1681" spans="1:13" x14ac:dyDescent="0.25">
      <c r="A1681" s="49">
        <f t="shared" si="27"/>
        <v>1679</v>
      </c>
      <c r="B1681" s="36" t="s">
        <v>4</v>
      </c>
      <c r="C1681" s="36" t="s">
        <v>7158</v>
      </c>
      <c r="D1681" s="9" t="s">
        <v>7476</v>
      </c>
      <c r="E1681" s="9" t="s">
        <v>7053</v>
      </c>
      <c r="F1681" s="9" t="s">
        <v>7475</v>
      </c>
      <c r="G1681" s="36" t="s">
        <v>14</v>
      </c>
      <c r="H1681" s="36" t="str">
        <f>IFERROR(VLOOKUP(Table2[[#This Row], [Ticket]],Okey!A:B,2,0),"")</f>
        <v/>
      </c>
      <c r="I1681" s="36" t="s">
        <v>7581</v>
      </c>
      <c r="J1681" s="36" t="str">
        <f>VLOOKUP(Table2[[#This Row], [Author]],People!A:B,2,0)</f>
        <v>HC</v>
      </c>
      <c r="K1681" s="36"/>
      <c r="L1681" s="36"/>
      <c r="M1681" s="36" t="s">
        <v>1613</v>
      </c>
    </row>
    <row r="1682" spans="1:13" x14ac:dyDescent="0.25">
      <c r="A1682" s="49">
        <f t="shared" si="27"/>
        <v>1680</v>
      </c>
      <c r="B1682" s="36" t="s">
        <v>4</v>
      </c>
      <c r="C1682" s="36" t="s">
        <v>7158</v>
      </c>
      <c r="D1682" s="9" t="s">
        <v>7477</v>
      </c>
      <c r="E1682" s="9" t="s">
        <v>7054</v>
      </c>
      <c r="F1682" s="9" t="s">
        <v>7475</v>
      </c>
      <c r="G1682" s="36" t="s">
        <v>14</v>
      </c>
      <c r="H1682" s="36" t="str">
        <f>IFERROR(VLOOKUP(Table2[[#This Row], [Ticket]],Okey!A:B,2,0),"")</f>
        <v/>
      </c>
      <c r="I1682" s="36" t="s">
        <v>7581</v>
      </c>
      <c r="J1682" s="36" t="str">
        <f>VLOOKUP(Table2[[#This Row], [Author]],People!A:B,2,0)</f>
        <v>HC</v>
      </c>
      <c r="K1682" s="36"/>
      <c r="L1682" s="36"/>
      <c r="M1682" s="36" t="s">
        <v>1613</v>
      </c>
    </row>
    <row r="1683" spans="1:13" x14ac:dyDescent="0.25">
      <c r="A1683" s="49">
        <f t="shared" si="27"/>
        <v>1681</v>
      </c>
      <c r="B1683" s="36" t="s">
        <v>4</v>
      </c>
      <c r="C1683" s="36" t="s">
        <v>7158</v>
      </c>
      <c r="D1683" s="9" t="s">
        <v>7478</v>
      </c>
      <c r="E1683" s="9" t="s">
        <v>7055</v>
      </c>
      <c r="F1683" s="9" t="s">
        <v>7473</v>
      </c>
      <c r="G1683" s="36" t="s">
        <v>14</v>
      </c>
      <c r="H1683" s="36" t="str">
        <f>IFERROR(VLOOKUP(Table2[[#This Row], [Ticket]],Okey!A:B,2,0),"")</f>
        <v/>
      </c>
      <c r="I1683" s="36" t="s">
        <v>7581</v>
      </c>
      <c r="J1683" s="36" t="str">
        <f>VLOOKUP(Table2[[#This Row], [Author]],People!A:B,2,0)</f>
        <v>HC</v>
      </c>
      <c r="K1683" s="36"/>
      <c r="L1683" s="36"/>
      <c r="M1683" s="36" t="s">
        <v>1613</v>
      </c>
    </row>
    <row r="1684" spans="1:13" x14ac:dyDescent="0.25">
      <c r="A1684" s="49">
        <f t="shared" si="27"/>
        <v>1682</v>
      </c>
      <c r="B1684" s="36" t="s">
        <v>4</v>
      </c>
      <c r="C1684" s="36" t="s">
        <v>7158</v>
      </c>
      <c r="D1684" s="9" t="s">
        <v>7479</v>
      </c>
      <c r="E1684" s="9" t="s">
        <v>7056</v>
      </c>
      <c r="F1684" s="9" t="s">
        <v>7478</v>
      </c>
      <c r="G1684" s="36" t="s">
        <v>14</v>
      </c>
      <c r="H1684" s="36" t="str">
        <f>IFERROR(VLOOKUP(Table2[[#This Row], [Ticket]],Okey!A:B,2,0),"")</f>
        <v/>
      </c>
      <c r="I1684" s="36" t="s">
        <v>7581</v>
      </c>
      <c r="J1684" s="36" t="str">
        <f>VLOOKUP(Table2[[#This Row], [Author]],People!A:B,2,0)</f>
        <v>HC</v>
      </c>
      <c r="K1684" s="36"/>
      <c r="L1684" s="36"/>
      <c r="M1684" s="36" t="s">
        <v>1613</v>
      </c>
    </row>
    <row r="1685" spans="1:13" x14ac:dyDescent="0.25">
      <c r="A1685" s="49">
        <f t="shared" ref="A1685:A1748" si="28">1+A1684</f>
        <v>1683</v>
      </c>
      <c r="B1685" s="36" t="s">
        <v>4</v>
      </c>
      <c r="C1685" s="36" t="s">
        <v>7158</v>
      </c>
      <c r="D1685" s="9" t="s">
        <v>7480</v>
      </c>
      <c r="E1685" s="9" t="s">
        <v>7057</v>
      </c>
      <c r="F1685" s="9" t="s">
        <v>7478</v>
      </c>
      <c r="G1685" s="36" t="s">
        <v>14</v>
      </c>
      <c r="H1685" s="36" t="str">
        <f>IFERROR(VLOOKUP(Table2[[#This Row], [Ticket]],Okey!A:B,2,0),"")</f>
        <v/>
      </c>
      <c r="I1685" s="36" t="s">
        <v>7581</v>
      </c>
      <c r="J1685" s="36" t="str">
        <f>VLOOKUP(Table2[[#This Row], [Author]],People!A:B,2,0)</f>
        <v>HC</v>
      </c>
      <c r="K1685" s="36"/>
      <c r="L1685" s="36"/>
      <c r="M1685" s="36" t="s">
        <v>1613</v>
      </c>
    </row>
    <row r="1686" spans="1:13" x14ac:dyDescent="0.25">
      <c r="A1686" s="49">
        <f t="shared" si="28"/>
        <v>1684</v>
      </c>
      <c r="B1686" s="36" t="s">
        <v>4</v>
      </c>
      <c r="C1686" s="36" t="s">
        <v>7158</v>
      </c>
      <c r="D1686" s="9" t="s">
        <v>7481</v>
      </c>
      <c r="E1686" s="9" t="s">
        <v>7058</v>
      </c>
      <c r="F1686" s="9" t="s">
        <v>6683</v>
      </c>
      <c r="G1686" s="36" t="s">
        <v>14</v>
      </c>
      <c r="H1686" s="36" t="str">
        <f>IFERROR(VLOOKUP(Table2[[#This Row], [Ticket]],Okey!A:B,2,0),"")</f>
        <v/>
      </c>
      <c r="I1686" s="36" t="s">
        <v>7581</v>
      </c>
      <c r="J1686" s="36" t="str">
        <f>VLOOKUP(Table2[[#This Row], [Author]],People!A:B,2,0)</f>
        <v>HC</v>
      </c>
      <c r="K1686" s="36"/>
      <c r="L1686" s="36"/>
      <c r="M1686" s="36" t="s">
        <v>1613</v>
      </c>
    </row>
    <row r="1687" spans="1:13" x14ac:dyDescent="0.25">
      <c r="A1687" s="49">
        <f t="shared" si="28"/>
        <v>1685</v>
      </c>
      <c r="B1687" s="36" t="s">
        <v>4</v>
      </c>
      <c r="C1687" s="36" t="s">
        <v>7158</v>
      </c>
      <c r="D1687" s="9" t="s">
        <v>7482</v>
      </c>
      <c r="E1687" s="9" t="s">
        <v>7059</v>
      </c>
      <c r="F1687" s="9" t="s">
        <v>7481</v>
      </c>
      <c r="G1687" s="36" t="s">
        <v>14</v>
      </c>
      <c r="H1687" s="36" t="str">
        <f>IFERROR(VLOOKUP(Table2[[#This Row], [Ticket]],Okey!A:B,2,0),"")</f>
        <v/>
      </c>
      <c r="I1687" s="36" t="s">
        <v>7581</v>
      </c>
      <c r="J1687" s="36" t="str">
        <f>VLOOKUP(Table2[[#This Row], [Author]],People!A:B,2,0)</f>
        <v>HC</v>
      </c>
      <c r="K1687" s="36"/>
      <c r="L1687" s="36"/>
      <c r="M1687" s="36" t="s">
        <v>1613</v>
      </c>
    </row>
    <row r="1688" spans="1:13" x14ac:dyDescent="0.25">
      <c r="A1688" s="49">
        <f t="shared" si="28"/>
        <v>1686</v>
      </c>
      <c r="B1688" s="36" t="s">
        <v>4</v>
      </c>
      <c r="C1688" s="36" t="s">
        <v>7158</v>
      </c>
      <c r="D1688" s="9" t="s">
        <v>7483</v>
      </c>
      <c r="E1688" s="9" t="s">
        <v>7060</v>
      </c>
      <c r="F1688" s="9" t="s">
        <v>7481</v>
      </c>
      <c r="G1688" s="36" t="s">
        <v>14</v>
      </c>
      <c r="H1688" s="36" t="str">
        <f>IFERROR(VLOOKUP(Table2[[#This Row], [Ticket]],Okey!A:B,2,0),"")</f>
        <v/>
      </c>
      <c r="I1688" s="36" t="s">
        <v>7581</v>
      </c>
      <c r="J1688" s="36" t="str">
        <f>VLOOKUP(Table2[[#This Row], [Author]],People!A:B,2,0)</f>
        <v>HC</v>
      </c>
      <c r="K1688" s="36"/>
      <c r="L1688" s="36"/>
      <c r="M1688" s="36" t="s">
        <v>1613</v>
      </c>
    </row>
    <row r="1689" spans="1:13" x14ac:dyDescent="0.25">
      <c r="A1689" s="49">
        <f t="shared" si="28"/>
        <v>1687</v>
      </c>
      <c r="B1689" s="36" t="s">
        <v>4</v>
      </c>
      <c r="C1689" s="36" t="s">
        <v>7158</v>
      </c>
      <c r="D1689" s="9" t="s">
        <v>7484</v>
      </c>
      <c r="E1689" s="9" t="s">
        <v>7061</v>
      </c>
      <c r="F1689" s="9" t="s">
        <v>7481</v>
      </c>
      <c r="G1689" s="36" t="s">
        <v>14</v>
      </c>
      <c r="H1689" s="36" t="str">
        <f>IFERROR(VLOOKUP(Table2[[#This Row], [Ticket]],Okey!A:B,2,0),"")</f>
        <v/>
      </c>
      <c r="I1689" s="36" t="s">
        <v>7581</v>
      </c>
      <c r="J1689" s="36" t="str">
        <f>VLOOKUP(Table2[[#This Row], [Author]],People!A:B,2,0)</f>
        <v>HC</v>
      </c>
      <c r="K1689" s="36"/>
      <c r="L1689" s="36"/>
      <c r="M1689" s="36" t="s">
        <v>1613</v>
      </c>
    </row>
    <row r="1690" spans="1:13" x14ac:dyDescent="0.25">
      <c r="A1690" s="49">
        <f t="shared" si="28"/>
        <v>1688</v>
      </c>
      <c r="B1690" s="36" t="s">
        <v>4</v>
      </c>
      <c r="C1690" s="36" t="s">
        <v>7158</v>
      </c>
      <c r="D1690" s="9" t="s">
        <v>7485</v>
      </c>
      <c r="E1690" s="9" t="s">
        <v>7062</v>
      </c>
      <c r="F1690" s="9" t="s">
        <v>7484</v>
      </c>
      <c r="G1690" s="36" t="s">
        <v>14</v>
      </c>
      <c r="H1690" s="36" t="str">
        <f>IFERROR(VLOOKUP(Table2[[#This Row], [Ticket]],Okey!A:B,2,0),"")</f>
        <v/>
      </c>
      <c r="I1690" s="36" t="s">
        <v>7581</v>
      </c>
      <c r="J1690" s="36" t="str">
        <f>VLOOKUP(Table2[[#This Row], [Author]],People!A:B,2,0)</f>
        <v>HC</v>
      </c>
      <c r="K1690" s="36"/>
      <c r="L1690" s="36"/>
      <c r="M1690" s="36" t="s">
        <v>1613</v>
      </c>
    </row>
    <row r="1691" spans="1:13" x14ac:dyDescent="0.25">
      <c r="A1691" s="49">
        <f t="shared" si="28"/>
        <v>1689</v>
      </c>
      <c r="B1691" s="36" t="s">
        <v>4</v>
      </c>
      <c r="C1691" s="36" t="s">
        <v>7158</v>
      </c>
      <c r="D1691" s="9" t="s">
        <v>7486</v>
      </c>
      <c r="E1691" s="9" t="s">
        <v>7063</v>
      </c>
      <c r="F1691" s="9" t="s">
        <v>7484</v>
      </c>
      <c r="G1691" s="36" t="s">
        <v>14</v>
      </c>
      <c r="H1691" s="36" t="str">
        <f>IFERROR(VLOOKUP(Table2[[#This Row], [Ticket]],Okey!A:B,2,0),"")</f>
        <v/>
      </c>
      <c r="I1691" s="36" t="s">
        <v>7581</v>
      </c>
      <c r="J1691" s="36" t="str">
        <f>VLOOKUP(Table2[[#This Row], [Author]],People!A:B,2,0)</f>
        <v>HC</v>
      </c>
      <c r="K1691" s="36"/>
      <c r="L1691" s="36"/>
      <c r="M1691" s="36" t="s">
        <v>1613</v>
      </c>
    </row>
    <row r="1692" spans="1:13" x14ac:dyDescent="0.25">
      <c r="A1692" s="49">
        <f t="shared" si="28"/>
        <v>1690</v>
      </c>
      <c r="B1692" s="36" t="s">
        <v>4</v>
      </c>
      <c r="C1692" s="36" t="s">
        <v>7158</v>
      </c>
      <c r="D1692" s="9" t="s">
        <v>7487</v>
      </c>
      <c r="E1692" s="9" t="s">
        <v>7064</v>
      </c>
      <c r="F1692" s="9" t="s">
        <v>7481</v>
      </c>
      <c r="G1692" s="36" t="s">
        <v>14</v>
      </c>
      <c r="H1692" s="36" t="str">
        <f>IFERROR(VLOOKUP(Table2[[#This Row], [Ticket]],Okey!A:B,2,0),"")</f>
        <v/>
      </c>
      <c r="I1692" s="36" t="s">
        <v>7581</v>
      </c>
      <c r="J1692" s="36" t="str">
        <f>VLOOKUP(Table2[[#This Row], [Author]],People!A:B,2,0)</f>
        <v>HC</v>
      </c>
      <c r="K1692" s="36"/>
      <c r="L1692" s="36"/>
      <c r="M1692" s="36" t="s">
        <v>1613</v>
      </c>
    </row>
    <row r="1693" spans="1:13" x14ac:dyDescent="0.25">
      <c r="A1693" s="49">
        <f t="shared" si="28"/>
        <v>1691</v>
      </c>
      <c r="B1693" s="36" t="s">
        <v>4</v>
      </c>
      <c r="C1693" s="36" t="s">
        <v>7158</v>
      </c>
      <c r="D1693" s="9" t="s">
        <v>7488</v>
      </c>
      <c r="E1693" s="9" t="s">
        <v>7065</v>
      </c>
      <c r="F1693" s="9" t="s">
        <v>7487</v>
      </c>
      <c r="G1693" s="36" t="s">
        <v>14</v>
      </c>
      <c r="H1693" s="36" t="str">
        <f>IFERROR(VLOOKUP(Table2[[#This Row], [Ticket]],Okey!A:B,2,0),"")</f>
        <v/>
      </c>
      <c r="I1693" s="36" t="s">
        <v>7581</v>
      </c>
      <c r="J1693" s="36" t="str">
        <f>VLOOKUP(Table2[[#This Row], [Author]],People!A:B,2,0)</f>
        <v>HC</v>
      </c>
      <c r="K1693" s="36"/>
      <c r="L1693" s="36"/>
      <c r="M1693" s="36" t="s">
        <v>1613</v>
      </c>
    </row>
    <row r="1694" spans="1:13" x14ac:dyDescent="0.25">
      <c r="A1694" s="49">
        <f t="shared" si="28"/>
        <v>1692</v>
      </c>
      <c r="B1694" s="36" t="s">
        <v>4</v>
      </c>
      <c r="C1694" s="36" t="s">
        <v>7158</v>
      </c>
      <c r="D1694" s="9" t="s">
        <v>7489</v>
      </c>
      <c r="E1694" s="9" t="s">
        <v>7066</v>
      </c>
      <c r="F1694" s="9" t="s">
        <v>7487</v>
      </c>
      <c r="G1694" s="36" t="s">
        <v>14</v>
      </c>
      <c r="H1694" s="36" t="str">
        <f>IFERROR(VLOOKUP(Table2[[#This Row], [Ticket]],Okey!A:B,2,0),"")</f>
        <v/>
      </c>
      <c r="I1694" s="36" t="s">
        <v>7581</v>
      </c>
      <c r="J1694" s="36" t="str">
        <f>VLOOKUP(Table2[[#This Row], [Author]],People!A:B,2,0)</f>
        <v>HC</v>
      </c>
      <c r="K1694" s="36"/>
      <c r="L1694" s="36"/>
      <c r="M1694" s="36" t="s">
        <v>1613</v>
      </c>
    </row>
    <row r="1695" spans="1:13" x14ac:dyDescent="0.25">
      <c r="A1695" s="49">
        <f t="shared" si="28"/>
        <v>1693</v>
      </c>
      <c r="B1695" s="36" t="s">
        <v>4</v>
      </c>
      <c r="C1695" s="36" t="s">
        <v>7158</v>
      </c>
      <c r="D1695" s="9" t="s">
        <v>7490</v>
      </c>
      <c r="E1695" s="9" t="s">
        <v>7067</v>
      </c>
      <c r="F1695" s="9" t="s">
        <v>7487</v>
      </c>
      <c r="G1695" s="36" t="s">
        <v>14</v>
      </c>
      <c r="H1695" s="36" t="str">
        <f>IFERROR(VLOOKUP(Table2[[#This Row], [Ticket]],Okey!A:B,2,0),"")</f>
        <v/>
      </c>
      <c r="I1695" s="36" t="s">
        <v>7581</v>
      </c>
      <c r="J1695" s="36" t="str">
        <f>VLOOKUP(Table2[[#This Row], [Author]],People!A:B,2,0)</f>
        <v>HC</v>
      </c>
      <c r="K1695" s="36"/>
      <c r="L1695" s="36"/>
      <c r="M1695" s="36" t="s">
        <v>1613</v>
      </c>
    </row>
    <row r="1696" spans="1:13" x14ac:dyDescent="0.25">
      <c r="A1696" s="49">
        <f t="shared" si="28"/>
        <v>1694</v>
      </c>
      <c r="B1696" s="36" t="s">
        <v>4</v>
      </c>
      <c r="C1696" s="36" t="s">
        <v>7158</v>
      </c>
      <c r="D1696" s="9" t="s">
        <v>7491</v>
      </c>
      <c r="E1696" s="9" t="s">
        <v>7068</v>
      </c>
      <c r="F1696" s="9" t="s">
        <v>7487</v>
      </c>
      <c r="G1696" s="36" t="s">
        <v>14</v>
      </c>
      <c r="H1696" s="36" t="str">
        <f>IFERROR(VLOOKUP(Table2[[#This Row], [Ticket]],Okey!A:B,2,0),"")</f>
        <v/>
      </c>
      <c r="I1696" s="36" t="s">
        <v>7581</v>
      </c>
      <c r="J1696" s="36" t="str">
        <f>VLOOKUP(Table2[[#This Row], [Author]],People!A:B,2,0)</f>
        <v>HC</v>
      </c>
      <c r="K1696" s="36"/>
      <c r="L1696" s="36"/>
      <c r="M1696" s="36" t="s">
        <v>1613</v>
      </c>
    </row>
    <row r="1697" spans="1:13" x14ac:dyDescent="0.25">
      <c r="A1697" s="49">
        <f t="shared" si="28"/>
        <v>1695</v>
      </c>
      <c r="B1697" s="36" t="s">
        <v>4</v>
      </c>
      <c r="C1697" s="36" t="s">
        <v>7158</v>
      </c>
      <c r="D1697" s="9" t="s">
        <v>7492</v>
      </c>
      <c r="E1697" s="9" t="s">
        <v>7069</v>
      </c>
      <c r="F1697" s="9" t="s">
        <v>7487</v>
      </c>
      <c r="G1697" s="36" t="s">
        <v>14</v>
      </c>
      <c r="H1697" s="36" t="str">
        <f>IFERROR(VLOOKUP(Table2[[#This Row], [Ticket]],Okey!A:B,2,0),"")</f>
        <v/>
      </c>
      <c r="I1697" s="36" t="s">
        <v>7581</v>
      </c>
      <c r="J1697" s="36" t="str">
        <f>VLOOKUP(Table2[[#This Row], [Author]],People!A:B,2,0)</f>
        <v>HC</v>
      </c>
      <c r="K1697" s="36"/>
      <c r="L1697" s="36"/>
      <c r="M1697" s="36" t="s">
        <v>1613</v>
      </c>
    </row>
    <row r="1698" spans="1:13" x14ac:dyDescent="0.25">
      <c r="A1698" s="49">
        <f t="shared" si="28"/>
        <v>1696</v>
      </c>
      <c r="B1698" s="36" t="s">
        <v>4</v>
      </c>
      <c r="C1698" s="36" t="s">
        <v>7158</v>
      </c>
      <c r="D1698" s="9" t="s">
        <v>7493</v>
      </c>
      <c r="E1698" s="9" t="s">
        <v>7070</v>
      </c>
      <c r="F1698" s="9" t="s">
        <v>6684</v>
      </c>
      <c r="G1698" s="36" t="s">
        <v>14</v>
      </c>
      <c r="H1698" s="36" t="str">
        <f>IFERROR(VLOOKUP(Table2[[#This Row], [Ticket]],Okey!A:B,2,0),"")</f>
        <v/>
      </c>
      <c r="I1698" s="36" t="s">
        <v>7581</v>
      </c>
      <c r="J1698" s="36" t="str">
        <f>VLOOKUP(Table2[[#This Row], [Author]],People!A:B,2,0)</f>
        <v>HC</v>
      </c>
      <c r="K1698" s="36"/>
      <c r="L1698" s="36"/>
      <c r="M1698" s="36" t="s">
        <v>1613</v>
      </c>
    </row>
    <row r="1699" spans="1:13" x14ac:dyDescent="0.25">
      <c r="A1699" s="49">
        <f t="shared" si="28"/>
        <v>1697</v>
      </c>
      <c r="B1699" s="36" t="s">
        <v>4</v>
      </c>
      <c r="C1699" s="36" t="s">
        <v>7158</v>
      </c>
      <c r="D1699" s="9" t="s">
        <v>7494</v>
      </c>
      <c r="E1699" s="9" t="s">
        <v>7071</v>
      </c>
      <c r="F1699" s="9" t="s">
        <v>7493</v>
      </c>
      <c r="G1699" s="36" t="s">
        <v>14</v>
      </c>
      <c r="H1699" s="36" t="str">
        <f>IFERROR(VLOOKUP(Table2[[#This Row], [Ticket]],Okey!A:B,2,0),"")</f>
        <v/>
      </c>
      <c r="I1699" s="36" t="s">
        <v>7581</v>
      </c>
      <c r="J1699" s="36" t="str">
        <f>VLOOKUP(Table2[[#This Row], [Author]],People!A:B,2,0)</f>
        <v>HC</v>
      </c>
      <c r="K1699" s="36"/>
      <c r="L1699" s="36"/>
      <c r="M1699" s="36" t="s">
        <v>1613</v>
      </c>
    </row>
    <row r="1700" spans="1:13" x14ac:dyDescent="0.25">
      <c r="A1700" s="49">
        <f t="shared" si="28"/>
        <v>1698</v>
      </c>
      <c r="B1700" s="36" t="s">
        <v>4</v>
      </c>
      <c r="C1700" s="36" t="s">
        <v>7158</v>
      </c>
      <c r="D1700" s="9" t="s">
        <v>7495</v>
      </c>
      <c r="E1700" s="9" t="s">
        <v>7072</v>
      </c>
      <c r="F1700" s="9" t="s">
        <v>7493</v>
      </c>
      <c r="G1700" s="36" t="s">
        <v>14</v>
      </c>
      <c r="H1700" s="36" t="str">
        <f>IFERROR(VLOOKUP(Table2[[#This Row], [Ticket]],Okey!A:B,2,0),"")</f>
        <v/>
      </c>
      <c r="I1700" s="36" t="s">
        <v>7581</v>
      </c>
      <c r="J1700" s="36" t="str">
        <f>VLOOKUP(Table2[[#This Row], [Author]],People!A:B,2,0)</f>
        <v>HC</v>
      </c>
      <c r="K1700" s="36"/>
      <c r="L1700" s="36"/>
      <c r="M1700" s="36" t="s">
        <v>1613</v>
      </c>
    </row>
    <row r="1701" spans="1:13" x14ac:dyDescent="0.25">
      <c r="A1701" s="49">
        <f t="shared" si="28"/>
        <v>1699</v>
      </c>
      <c r="B1701" s="36" t="s">
        <v>4</v>
      </c>
      <c r="C1701" s="36" t="s">
        <v>7158</v>
      </c>
      <c r="D1701" s="9" t="s">
        <v>7496</v>
      </c>
      <c r="E1701" s="9" t="s">
        <v>7073</v>
      </c>
      <c r="F1701" s="9" t="s">
        <v>7495</v>
      </c>
      <c r="G1701" s="36" t="s">
        <v>14</v>
      </c>
      <c r="H1701" s="36" t="str">
        <f>IFERROR(VLOOKUP(Table2[[#This Row], [Ticket]],Okey!A:B,2,0),"")</f>
        <v/>
      </c>
      <c r="I1701" s="36" t="s">
        <v>7581</v>
      </c>
      <c r="J1701" s="36" t="str">
        <f>VLOOKUP(Table2[[#This Row], [Author]],People!A:B,2,0)</f>
        <v>HC</v>
      </c>
      <c r="K1701" s="36"/>
      <c r="L1701" s="36"/>
      <c r="M1701" s="36" t="s">
        <v>1613</v>
      </c>
    </row>
    <row r="1702" spans="1:13" x14ac:dyDescent="0.25">
      <c r="A1702" s="49">
        <f t="shared" si="28"/>
        <v>1700</v>
      </c>
      <c r="B1702" s="36" t="s">
        <v>4</v>
      </c>
      <c r="C1702" s="36" t="s">
        <v>7158</v>
      </c>
      <c r="D1702" s="9" t="s">
        <v>7497</v>
      </c>
      <c r="E1702" s="9" t="s">
        <v>7074</v>
      </c>
      <c r="F1702" s="9" t="s">
        <v>7495</v>
      </c>
      <c r="G1702" s="36" t="s">
        <v>14</v>
      </c>
      <c r="H1702" s="36" t="str">
        <f>IFERROR(VLOOKUP(Table2[[#This Row], [Ticket]],Okey!A:B,2,0),"")</f>
        <v/>
      </c>
      <c r="I1702" s="36" t="s">
        <v>7581</v>
      </c>
      <c r="J1702" s="36" t="str">
        <f>VLOOKUP(Table2[[#This Row], [Author]],People!A:B,2,0)</f>
        <v>HC</v>
      </c>
      <c r="K1702" s="36"/>
      <c r="L1702" s="36"/>
      <c r="M1702" s="36" t="s">
        <v>1613</v>
      </c>
    </row>
    <row r="1703" spans="1:13" x14ac:dyDescent="0.25">
      <c r="A1703" s="49">
        <f t="shared" si="28"/>
        <v>1701</v>
      </c>
      <c r="B1703" s="36" t="s">
        <v>4</v>
      </c>
      <c r="C1703" s="36" t="s">
        <v>7158</v>
      </c>
      <c r="D1703" s="9" t="s">
        <v>7498</v>
      </c>
      <c r="E1703" s="9" t="s">
        <v>7075</v>
      </c>
      <c r="F1703" s="9" t="s">
        <v>7493</v>
      </c>
      <c r="G1703" s="36" t="s">
        <v>14</v>
      </c>
      <c r="H1703" s="36" t="str">
        <f>IFERROR(VLOOKUP(Table2[[#This Row], [Ticket]],Okey!A:B,2,0),"")</f>
        <v/>
      </c>
      <c r="I1703" s="36" t="s">
        <v>7581</v>
      </c>
      <c r="J1703" s="36" t="str">
        <f>VLOOKUP(Table2[[#This Row], [Author]],People!A:B,2,0)</f>
        <v>HC</v>
      </c>
      <c r="K1703" s="36"/>
      <c r="L1703" s="36"/>
      <c r="M1703" s="36" t="s">
        <v>1613</v>
      </c>
    </row>
    <row r="1704" spans="1:13" x14ac:dyDescent="0.25">
      <c r="A1704" s="49">
        <f t="shared" si="28"/>
        <v>1702</v>
      </c>
      <c r="B1704" s="36" t="s">
        <v>4</v>
      </c>
      <c r="C1704" s="36" t="s">
        <v>7158</v>
      </c>
      <c r="D1704" s="9" t="s">
        <v>7499</v>
      </c>
      <c r="E1704" s="9" t="s">
        <v>7076</v>
      </c>
      <c r="F1704" s="9" t="s">
        <v>7498</v>
      </c>
      <c r="G1704" s="36" t="s">
        <v>14</v>
      </c>
      <c r="H1704" s="36" t="str">
        <f>IFERROR(VLOOKUP(Table2[[#This Row], [Ticket]],Okey!A:B,2,0),"")</f>
        <v/>
      </c>
      <c r="I1704" s="36" t="s">
        <v>7581</v>
      </c>
      <c r="J1704" s="36" t="str">
        <f>VLOOKUP(Table2[[#This Row], [Author]],People!A:B,2,0)</f>
        <v>HC</v>
      </c>
      <c r="K1704" s="36"/>
      <c r="L1704" s="36"/>
      <c r="M1704" s="36" t="s">
        <v>1613</v>
      </c>
    </row>
    <row r="1705" spans="1:13" x14ac:dyDescent="0.25">
      <c r="A1705" s="49">
        <f t="shared" si="28"/>
        <v>1703</v>
      </c>
      <c r="B1705" s="36" t="s">
        <v>4</v>
      </c>
      <c r="C1705" s="36" t="s">
        <v>7158</v>
      </c>
      <c r="D1705" s="9" t="s">
        <v>7500</v>
      </c>
      <c r="E1705" s="9" t="s">
        <v>7077</v>
      </c>
      <c r="F1705" s="9" t="s">
        <v>7498</v>
      </c>
      <c r="G1705" s="36" t="s">
        <v>14</v>
      </c>
      <c r="H1705" s="36" t="str">
        <f>IFERROR(VLOOKUP(Table2[[#This Row], [Ticket]],Okey!A:B,2,0),"")</f>
        <v/>
      </c>
      <c r="I1705" s="36" t="s">
        <v>7581</v>
      </c>
      <c r="J1705" s="36" t="str">
        <f>VLOOKUP(Table2[[#This Row], [Author]],People!A:B,2,0)</f>
        <v>HC</v>
      </c>
      <c r="K1705" s="36"/>
      <c r="L1705" s="36"/>
      <c r="M1705" s="36" t="s">
        <v>1613</v>
      </c>
    </row>
    <row r="1706" spans="1:13" x14ac:dyDescent="0.25">
      <c r="A1706" s="49">
        <f t="shared" si="28"/>
        <v>1704</v>
      </c>
      <c r="B1706" s="36" t="s">
        <v>4</v>
      </c>
      <c r="C1706" s="36" t="s">
        <v>7158</v>
      </c>
      <c r="D1706" s="9" t="s">
        <v>7501</v>
      </c>
      <c r="E1706" s="9" t="s">
        <v>7078</v>
      </c>
      <c r="F1706" s="9" t="s">
        <v>6683</v>
      </c>
      <c r="G1706" s="36" t="s">
        <v>14</v>
      </c>
      <c r="H1706" s="36" t="str">
        <f>IFERROR(VLOOKUP(Table2[[#This Row], [Ticket]],Okey!A:B,2,0),"")</f>
        <v/>
      </c>
      <c r="I1706" s="36" t="s">
        <v>7581</v>
      </c>
      <c r="J1706" s="36" t="str">
        <f>VLOOKUP(Table2[[#This Row], [Author]],People!A:B,2,0)</f>
        <v>HC</v>
      </c>
      <c r="K1706" s="36"/>
      <c r="L1706" s="36"/>
      <c r="M1706" s="36" t="s">
        <v>1613</v>
      </c>
    </row>
    <row r="1707" spans="1:13" x14ac:dyDescent="0.25">
      <c r="A1707" s="49">
        <f t="shared" si="28"/>
        <v>1705</v>
      </c>
      <c r="B1707" s="36" t="s">
        <v>4</v>
      </c>
      <c r="C1707" s="36" t="s">
        <v>7158</v>
      </c>
      <c r="D1707" s="9" t="s">
        <v>7502</v>
      </c>
      <c r="E1707" s="9" t="s">
        <v>7079</v>
      </c>
      <c r="F1707" s="9" t="s">
        <v>7501</v>
      </c>
      <c r="G1707" s="36" t="s">
        <v>14</v>
      </c>
      <c r="H1707" s="36" t="str">
        <f>IFERROR(VLOOKUP(Table2[[#This Row], [Ticket]],Okey!A:B,2,0),"")</f>
        <v/>
      </c>
      <c r="I1707" s="36" t="s">
        <v>7581</v>
      </c>
      <c r="J1707" s="36" t="str">
        <f>VLOOKUP(Table2[[#This Row], [Author]],People!A:B,2,0)</f>
        <v>HC</v>
      </c>
      <c r="K1707" s="36"/>
      <c r="L1707" s="36"/>
      <c r="M1707" s="36" t="s">
        <v>1613</v>
      </c>
    </row>
    <row r="1708" spans="1:13" x14ac:dyDescent="0.25">
      <c r="A1708" s="49">
        <f t="shared" si="28"/>
        <v>1706</v>
      </c>
      <c r="B1708" s="36" t="s">
        <v>4</v>
      </c>
      <c r="C1708" s="36" t="s">
        <v>7158</v>
      </c>
      <c r="D1708" s="9" t="s">
        <v>7503</v>
      </c>
      <c r="E1708" s="9" t="s">
        <v>7080</v>
      </c>
      <c r="F1708" s="9" t="s">
        <v>7501</v>
      </c>
      <c r="G1708" s="36" t="s">
        <v>14</v>
      </c>
      <c r="H1708" s="36" t="str">
        <f>IFERROR(VLOOKUP(Table2[[#This Row], [Ticket]],Okey!A:B,2,0),"")</f>
        <v/>
      </c>
      <c r="I1708" s="36" t="s">
        <v>7581</v>
      </c>
      <c r="J1708" s="36" t="str">
        <f>VLOOKUP(Table2[[#This Row], [Author]],People!A:B,2,0)</f>
        <v>HC</v>
      </c>
      <c r="K1708" s="36"/>
      <c r="L1708" s="36"/>
      <c r="M1708" s="36" t="s">
        <v>1613</v>
      </c>
    </row>
    <row r="1709" spans="1:13" x14ac:dyDescent="0.25">
      <c r="A1709" s="49">
        <f t="shared" si="28"/>
        <v>1707</v>
      </c>
      <c r="B1709" s="36" t="s">
        <v>4</v>
      </c>
      <c r="C1709" s="36" t="s">
        <v>7158</v>
      </c>
      <c r="D1709" s="9" t="s">
        <v>7504</v>
      </c>
      <c r="E1709" s="9" t="s">
        <v>7081</v>
      </c>
      <c r="F1709" s="9" t="s">
        <v>7501</v>
      </c>
      <c r="G1709" s="36" t="s">
        <v>14</v>
      </c>
      <c r="H1709" s="36" t="str">
        <f>IFERROR(VLOOKUP(Table2[[#This Row], [Ticket]],Okey!A:B,2,0),"")</f>
        <v/>
      </c>
      <c r="I1709" s="36" t="s">
        <v>7581</v>
      </c>
      <c r="J1709" s="36" t="str">
        <f>VLOOKUP(Table2[[#This Row], [Author]],People!A:B,2,0)</f>
        <v>HC</v>
      </c>
      <c r="K1709" s="36"/>
      <c r="L1709" s="36"/>
      <c r="M1709" s="36" t="s">
        <v>1613</v>
      </c>
    </row>
    <row r="1710" spans="1:13" x14ac:dyDescent="0.25">
      <c r="A1710" s="49">
        <f t="shared" si="28"/>
        <v>1708</v>
      </c>
      <c r="B1710" s="36" t="s">
        <v>4</v>
      </c>
      <c r="C1710" s="36" t="s">
        <v>7158</v>
      </c>
      <c r="D1710" s="9" t="s">
        <v>7505</v>
      </c>
      <c r="E1710" s="9" t="s">
        <v>7082</v>
      </c>
      <c r="F1710" s="9" t="s">
        <v>7504</v>
      </c>
      <c r="G1710" s="36" t="s">
        <v>14</v>
      </c>
      <c r="H1710" s="36" t="str">
        <f>IFERROR(VLOOKUP(Table2[[#This Row], [Ticket]],Okey!A:B,2,0),"")</f>
        <v/>
      </c>
      <c r="I1710" s="36" t="s">
        <v>7581</v>
      </c>
      <c r="J1710" s="36" t="str">
        <f>VLOOKUP(Table2[[#This Row], [Author]],People!A:B,2,0)</f>
        <v>HC</v>
      </c>
      <c r="K1710" s="36"/>
      <c r="L1710" s="36"/>
      <c r="M1710" s="36" t="s">
        <v>1613</v>
      </c>
    </row>
    <row r="1711" spans="1:13" x14ac:dyDescent="0.25">
      <c r="A1711" s="49">
        <f t="shared" si="28"/>
        <v>1709</v>
      </c>
      <c r="B1711" s="36" t="s">
        <v>4</v>
      </c>
      <c r="C1711" s="36" t="s">
        <v>7158</v>
      </c>
      <c r="D1711" s="9" t="s">
        <v>7506</v>
      </c>
      <c r="E1711" s="9" t="s">
        <v>7083</v>
      </c>
      <c r="F1711" s="9" t="s">
        <v>7504</v>
      </c>
      <c r="G1711" s="36" t="s">
        <v>14</v>
      </c>
      <c r="H1711" s="36" t="str">
        <f>IFERROR(VLOOKUP(Table2[[#This Row], [Ticket]],Okey!A:B,2,0),"")</f>
        <v/>
      </c>
      <c r="I1711" s="36" t="s">
        <v>7581</v>
      </c>
      <c r="J1711" s="36" t="str">
        <f>VLOOKUP(Table2[[#This Row], [Author]],People!A:B,2,0)</f>
        <v>HC</v>
      </c>
      <c r="K1711" s="36"/>
      <c r="L1711" s="36"/>
      <c r="M1711" s="36" t="s">
        <v>1613</v>
      </c>
    </row>
    <row r="1712" spans="1:13" x14ac:dyDescent="0.25">
      <c r="A1712" s="49">
        <f t="shared" si="28"/>
        <v>1710</v>
      </c>
      <c r="B1712" s="36" t="s">
        <v>4</v>
      </c>
      <c r="C1712" s="36" t="s">
        <v>7158</v>
      </c>
      <c r="D1712" s="9" t="s">
        <v>7507</v>
      </c>
      <c r="E1712" s="9" t="s">
        <v>7084</v>
      </c>
      <c r="F1712" s="9" t="s">
        <v>7501</v>
      </c>
      <c r="G1712" s="36" t="s">
        <v>14</v>
      </c>
      <c r="H1712" s="36" t="str">
        <f>IFERROR(VLOOKUP(Table2[[#This Row], [Ticket]],Okey!A:B,2,0),"")</f>
        <v/>
      </c>
      <c r="I1712" s="36" t="s">
        <v>7581</v>
      </c>
      <c r="J1712" s="36" t="str">
        <f>VLOOKUP(Table2[[#This Row], [Author]],People!A:B,2,0)</f>
        <v>HC</v>
      </c>
      <c r="K1712" s="36"/>
      <c r="L1712" s="36"/>
      <c r="M1712" s="36" t="s">
        <v>1613</v>
      </c>
    </row>
    <row r="1713" spans="1:13" x14ac:dyDescent="0.25">
      <c r="A1713" s="49">
        <f t="shared" si="28"/>
        <v>1711</v>
      </c>
      <c r="B1713" s="36" t="s">
        <v>4</v>
      </c>
      <c r="C1713" s="36" t="s">
        <v>7158</v>
      </c>
      <c r="D1713" s="9" t="s">
        <v>7508</v>
      </c>
      <c r="E1713" s="9" t="s">
        <v>7085</v>
      </c>
      <c r="F1713" s="9" t="s">
        <v>7507</v>
      </c>
      <c r="G1713" s="36" t="s">
        <v>14</v>
      </c>
      <c r="H1713" s="36" t="str">
        <f>IFERROR(VLOOKUP(Table2[[#This Row], [Ticket]],Okey!A:B,2,0),"")</f>
        <v/>
      </c>
      <c r="I1713" s="36" t="s">
        <v>7581</v>
      </c>
      <c r="J1713" s="36" t="str">
        <f>VLOOKUP(Table2[[#This Row], [Author]],People!A:B,2,0)</f>
        <v>HC</v>
      </c>
      <c r="K1713" s="36"/>
      <c r="L1713" s="36"/>
      <c r="M1713" s="36" t="s">
        <v>1613</v>
      </c>
    </row>
    <row r="1714" spans="1:13" x14ac:dyDescent="0.25">
      <c r="A1714" s="49">
        <f t="shared" si="28"/>
        <v>1712</v>
      </c>
      <c r="B1714" s="36" t="s">
        <v>4</v>
      </c>
      <c r="C1714" s="36" t="s">
        <v>7158</v>
      </c>
      <c r="D1714" s="9" t="s">
        <v>7509</v>
      </c>
      <c r="E1714" s="9" t="s">
        <v>7086</v>
      </c>
      <c r="F1714" s="9" t="s">
        <v>7507</v>
      </c>
      <c r="G1714" s="36" t="s">
        <v>14</v>
      </c>
      <c r="H1714" s="36" t="str">
        <f>IFERROR(VLOOKUP(Table2[[#This Row], [Ticket]],Okey!A:B,2,0),"")</f>
        <v/>
      </c>
      <c r="I1714" s="36" t="s">
        <v>7581</v>
      </c>
      <c r="J1714" s="36" t="str">
        <f>VLOOKUP(Table2[[#This Row], [Author]],People!A:B,2,0)</f>
        <v>HC</v>
      </c>
      <c r="K1714" s="36"/>
      <c r="L1714" s="36"/>
      <c r="M1714" s="36" t="s">
        <v>1613</v>
      </c>
    </row>
    <row r="1715" spans="1:13" x14ac:dyDescent="0.25">
      <c r="A1715" s="49">
        <f t="shared" si="28"/>
        <v>1713</v>
      </c>
      <c r="B1715" s="36" t="s">
        <v>4</v>
      </c>
      <c r="C1715" s="36" t="s">
        <v>7158</v>
      </c>
      <c r="D1715" s="9" t="s">
        <v>7510</v>
      </c>
      <c r="E1715" s="9" t="s">
        <v>7087</v>
      </c>
      <c r="F1715" s="9" t="s">
        <v>7507</v>
      </c>
      <c r="G1715" s="36" t="s">
        <v>14</v>
      </c>
      <c r="H1715" s="36" t="str">
        <f>IFERROR(VLOOKUP(Table2[[#This Row], [Ticket]],Okey!A:B,2,0),"")</f>
        <v/>
      </c>
      <c r="I1715" s="36" t="s">
        <v>7581</v>
      </c>
      <c r="J1715" s="36" t="str">
        <f>VLOOKUP(Table2[[#This Row], [Author]],People!A:B,2,0)</f>
        <v>HC</v>
      </c>
      <c r="K1715" s="36"/>
      <c r="L1715" s="36"/>
      <c r="M1715" s="36" t="s">
        <v>1613</v>
      </c>
    </row>
    <row r="1716" spans="1:13" x14ac:dyDescent="0.25">
      <c r="A1716" s="49">
        <f t="shared" si="28"/>
        <v>1714</v>
      </c>
      <c r="B1716" s="36" t="s">
        <v>4</v>
      </c>
      <c r="C1716" s="36" t="s">
        <v>7158</v>
      </c>
      <c r="D1716" s="9" t="s">
        <v>7511</v>
      </c>
      <c r="E1716" s="9" t="s">
        <v>7088</v>
      </c>
      <c r="F1716" s="9" t="s">
        <v>7507</v>
      </c>
      <c r="G1716" s="36" t="s">
        <v>14</v>
      </c>
      <c r="H1716" s="36" t="str">
        <f>IFERROR(VLOOKUP(Table2[[#This Row], [Ticket]],Okey!A:B,2,0),"")</f>
        <v/>
      </c>
      <c r="I1716" s="36" t="s">
        <v>7581</v>
      </c>
      <c r="J1716" s="36" t="str">
        <f>VLOOKUP(Table2[[#This Row], [Author]],People!A:B,2,0)</f>
        <v>HC</v>
      </c>
      <c r="K1716" s="36"/>
      <c r="L1716" s="36"/>
      <c r="M1716" s="36" t="s">
        <v>1613</v>
      </c>
    </row>
    <row r="1717" spans="1:13" x14ac:dyDescent="0.25">
      <c r="A1717" s="49">
        <f t="shared" si="28"/>
        <v>1715</v>
      </c>
      <c r="B1717" s="36" t="s">
        <v>4</v>
      </c>
      <c r="C1717" s="36" t="s">
        <v>7158</v>
      </c>
      <c r="D1717" s="9" t="s">
        <v>7512</v>
      </c>
      <c r="E1717" s="9" t="s">
        <v>7089</v>
      </c>
      <c r="F1717" s="9" t="s">
        <v>7507</v>
      </c>
      <c r="G1717" s="36" t="s">
        <v>14</v>
      </c>
      <c r="H1717" s="36" t="str">
        <f>IFERROR(VLOOKUP(Table2[[#This Row], [Ticket]],Okey!A:B,2,0),"")</f>
        <v/>
      </c>
      <c r="I1717" s="36" t="s">
        <v>7581</v>
      </c>
      <c r="J1717" s="36" t="str">
        <f>VLOOKUP(Table2[[#This Row], [Author]],People!A:B,2,0)</f>
        <v>HC</v>
      </c>
      <c r="K1717" s="36"/>
      <c r="L1717" s="36"/>
      <c r="M1717" s="36" t="s">
        <v>1613</v>
      </c>
    </row>
    <row r="1718" spans="1:13" x14ac:dyDescent="0.25">
      <c r="A1718" s="49">
        <f t="shared" si="28"/>
        <v>1716</v>
      </c>
      <c r="B1718" s="36" t="s">
        <v>4</v>
      </c>
      <c r="C1718" s="36" t="s">
        <v>7158</v>
      </c>
      <c r="D1718" s="9" t="s">
        <v>7513</v>
      </c>
      <c r="E1718" s="9" t="s">
        <v>7090</v>
      </c>
      <c r="F1718" s="9" t="s">
        <v>6684</v>
      </c>
      <c r="G1718" s="36" t="s">
        <v>14</v>
      </c>
      <c r="H1718" s="36" t="str">
        <f>IFERROR(VLOOKUP(Table2[[#This Row], [Ticket]],Okey!A:B,2,0),"")</f>
        <v/>
      </c>
      <c r="I1718" s="36" t="s">
        <v>7581</v>
      </c>
      <c r="J1718" s="36" t="str">
        <f>VLOOKUP(Table2[[#This Row], [Author]],People!A:B,2,0)</f>
        <v>HC</v>
      </c>
      <c r="K1718" s="36"/>
      <c r="L1718" s="36"/>
      <c r="M1718" s="36" t="s">
        <v>1613</v>
      </c>
    </row>
    <row r="1719" spans="1:13" x14ac:dyDescent="0.25">
      <c r="A1719" s="49">
        <f t="shared" si="28"/>
        <v>1717</v>
      </c>
      <c r="B1719" s="36" t="s">
        <v>4</v>
      </c>
      <c r="C1719" s="36" t="s">
        <v>7158</v>
      </c>
      <c r="D1719" s="9" t="s">
        <v>7514</v>
      </c>
      <c r="E1719" s="9" t="s">
        <v>7091</v>
      </c>
      <c r="F1719" s="9" t="s">
        <v>7513</v>
      </c>
      <c r="G1719" s="36" t="s">
        <v>14</v>
      </c>
      <c r="H1719" s="36" t="str">
        <f>IFERROR(VLOOKUP(Table2[[#This Row], [Ticket]],Okey!A:B,2,0),"")</f>
        <v/>
      </c>
      <c r="I1719" s="36" t="s">
        <v>7581</v>
      </c>
      <c r="J1719" s="36" t="str">
        <f>VLOOKUP(Table2[[#This Row], [Author]],People!A:B,2,0)</f>
        <v>HC</v>
      </c>
      <c r="K1719" s="36"/>
      <c r="L1719" s="36"/>
      <c r="M1719" s="36" t="s">
        <v>1613</v>
      </c>
    </row>
    <row r="1720" spans="1:13" x14ac:dyDescent="0.25">
      <c r="A1720" s="49">
        <f t="shared" si="28"/>
        <v>1718</v>
      </c>
      <c r="B1720" s="36" t="s">
        <v>4</v>
      </c>
      <c r="C1720" s="36" t="s">
        <v>7158</v>
      </c>
      <c r="D1720" s="9" t="s">
        <v>7515</v>
      </c>
      <c r="E1720" s="9" t="s">
        <v>7092</v>
      </c>
      <c r="F1720" s="9" t="s">
        <v>7513</v>
      </c>
      <c r="G1720" s="36" t="s">
        <v>14</v>
      </c>
      <c r="H1720" s="36" t="str">
        <f>IFERROR(VLOOKUP(Table2[[#This Row], [Ticket]],Okey!A:B,2,0),"")</f>
        <v/>
      </c>
      <c r="I1720" s="36" t="s">
        <v>7581</v>
      </c>
      <c r="J1720" s="36" t="str">
        <f>VLOOKUP(Table2[[#This Row], [Author]],People!A:B,2,0)</f>
        <v>HC</v>
      </c>
      <c r="K1720" s="36"/>
      <c r="L1720" s="36"/>
      <c r="M1720" s="36" t="s">
        <v>1613</v>
      </c>
    </row>
    <row r="1721" spans="1:13" x14ac:dyDescent="0.25">
      <c r="A1721" s="49">
        <f t="shared" si="28"/>
        <v>1719</v>
      </c>
      <c r="B1721" s="36" t="s">
        <v>4</v>
      </c>
      <c r="C1721" s="36" t="s">
        <v>7158</v>
      </c>
      <c r="D1721" s="9" t="s">
        <v>7516</v>
      </c>
      <c r="E1721" s="9" t="s">
        <v>7093</v>
      </c>
      <c r="F1721" s="9" t="s">
        <v>7515</v>
      </c>
      <c r="G1721" s="36" t="s">
        <v>14</v>
      </c>
      <c r="H1721" s="36" t="str">
        <f>IFERROR(VLOOKUP(Table2[[#This Row], [Ticket]],Okey!A:B,2,0),"")</f>
        <v/>
      </c>
      <c r="I1721" s="36" t="s">
        <v>7581</v>
      </c>
      <c r="J1721" s="36" t="str">
        <f>VLOOKUP(Table2[[#This Row], [Author]],People!A:B,2,0)</f>
        <v>HC</v>
      </c>
      <c r="K1721" s="36"/>
      <c r="L1721" s="36"/>
      <c r="M1721" s="36" t="s">
        <v>1613</v>
      </c>
    </row>
    <row r="1722" spans="1:13" x14ac:dyDescent="0.25">
      <c r="A1722" s="49">
        <f t="shared" si="28"/>
        <v>1720</v>
      </c>
      <c r="B1722" s="36" t="s">
        <v>4</v>
      </c>
      <c r="C1722" s="36" t="s">
        <v>7158</v>
      </c>
      <c r="D1722" s="9" t="s">
        <v>7517</v>
      </c>
      <c r="E1722" s="9" t="s">
        <v>7094</v>
      </c>
      <c r="F1722" s="9" t="s">
        <v>7515</v>
      </c>
      <c r="G1722" s="36" t="s">
        <v>14</v>
      </c>
      <c r="H1722" s="36" t="str">
        <f>IFERROR(VLOOKUP(Table2[[#This Row], [Ticket]],Okey!A:B,2,0),"")</f>
        <v/>
      </c>
      <c r="I1722" s="36" t="s">
        <v>7581</v>
      </c>
      <c r="J1722" s="36" t="str">
        <f>VLOOKUP(Table2[[#This Row], [Author]],People!A:B,2,0)</f>
        <v>HC</v>
      </c>
      <c r="K1722" s="36"/>
      <c r="L1722" s="36"/>
      <c r="M1722" s="36" t="s">
        <v>1613</v>
      </c>
    </row>
    <row r="1723" spans="1:13" x14ac:dyDescent="0.25">
      <c r="A1723" s="49">
        <f t="shared" si="28"/>
        <v>1721</v>
      </c>
      <c r="B1723" s="36" t="s">
        <v>4</v>
      </c>
      <c r="C1723" s="36" t="s">
        <v>7158</v>
      </c>
      <c r="D1723" s="9" t="s">
        <v>7518</v>
      </c>
      <c r="E1723" s="9" t="s">
        <v>7095</v>
      </c>
      <c r="F1723" s="9" t="s">
        <v>7513</v>
      </c>
      <c r="G1723" s="36" t="s">
        <v>14</v>
      </c>
      <c r="H1723" s="36" t="str">
        <f>IFERROR(VLOOKUP(Table2[[#This Row], [Ticket]],Okey!A:B,2,0),"")</f>
        <v/>
      </c>
      <c r="I1723" s="36" t="s">
        <v>7581</v>
      </c>
      <c r="J1723" s="36" t="str">
        <f>VLOOKUP(Table2[[#This Row], [Author]],People!A:B,2,0)</f>
        <v>HC</v>
      </c>
      <c r="K1723" s="36"/>
      <c r="L1723" s="36"/>
      <c r="M1723" s="36" t="s">
        <v>1613</v>
      </c>
    </row>
    <row r="1724" spans="1:13" x14ac:dyDescent="0.25">
      <c r="A1724" s="49">
        <f t="shared" si="28"/>
        <v>1722</v>
      </c>
      <c r="B1724" s="36" t="s">
        <v>4</v>
      </c>
      <c r="C1724" s="36" t="s">
        <v>7158</v>
      </c>
      <c r="D1724" s="9" t="s">
        <v>7519</v>
      </c>
      <c r="E1724" s="9" t="s">
        <v>7096</v>
      </c>
      <c r="F1724" s="9" t="s">
        <v>7518</v>
      </c>
      <c r="G1724" s="36" t="s">
        <v>14</v>
      </c>
      <c r="H1724" s="36" t="str">
        <f>IFERROR(VLOOKUP(Table2[[#This Row], [Ticket]],Okey!A:B,2,0),"")</f>
        <v/>
      </c>
      <c r="I1724" s="36" t="s">
        <v>7581</v>
      </c>
      <c r="J1724" s="36" t="str">
        <f>VLOOKUP(Table2[[#This Row], [Author]],People!A:B,2,0)</f>
        <v>HC</v>
      </c>
      <c r="K1724" s="36"/>
      <c r="L1724" s="36"/>
      <c r="M1724" s="36" t="s">
        <v>1613</v>
      </c>
    </row>
    <row r="1725" spans="1:13" x14ac:dyDescent="0.25">
      <c r="A1725" s="49">
        <f t="shared" si="28"/>
        <v>1723</v>
      </c>
      <c r="B1725" s="36" t="s">
        <v>4</v>
      </c>
      <c r="C1725" s="36" t="s">
        <v>7158</v>
      </c>
      <c r="D1725" s="9" t="s">
        <v>7520</v>
      </c>
      <c r="E1725" s="9" t="s">
        <v>7097</v>
      </c>
      <c r="F1725" s="9" t="s">
        <v>7518</v>
      </c>
      <c r="G1725" s="36" t="s">
        <v>14</v>
      </c>
      <c r="H1725" s="36" t="str">
        <f>IFERROR(VLOOKUP(Table2[[#This Row], [Ticket]],Okey!A:B,2,0),"")</f>
        <v/>
      </c>
      <c r="I1725" s="36" t="s">
        <v>7581</v>
      </c>
      <c r="J1725" s="36" t="str">
        <f>VLOOKUP(Table2[[#This Row], [Author]],People!A:B,2,0)</f>
        <v>HC</v>
      </c>
      <c r="K1725" s="36"/>
      <c r="L1725" s="36"/>
      <c r="M1725" s="36" t="s">
        <v>1613</v>
      </c>
    </row>
    <row r="1726" spans="1:13" x14ac:dyDescent="0.25">
      <c r="A1726" s="49">
        <f t="shared" si="28"/>
        <v>1724</v>
      </c>
      <c r="B1726" s="36" t="s">
        <v>4</v>
      </c>
      <c r="C1726" s="36" t="s">
        <v>7158</v>
      </c>
      <c r="D1726" s="9" t="s">
        <v>7521</v>
      </c>
      <c r="E1726" s="9" t="s">
        <v>7098</v>
      </c>
      <c r="F1726" s="9" t="s">
        <v>6683</v>
      </c>
      <c r="G1726" s="36" t="s">
        <v>14</v>
      </c>
      <c r="H1726" s="36" t="str">
        <f>IFERROR(VLOOKUP(Table2[[#This Row], [Ticket]],Okey!A:B,2,0),"")</f>
        <v/>
      </c>
      <c r="I1726" s="36" t="s">
        <v>7581</v>
      </c>
      <c r="J1726" s="36" t="str">
        <f>VLOOKUP(Table2[[#This Row], [Author]],People!A:B,2,0)</f>
        <v>HC</v>
      </c>
      <c r="K1726" s="36"/>
      <c r="L1726" s="36"/>
      <c r="M1726" s="36" t="s">
        <v>1613</v>
      </c>
    </row>
    <row r="1727" spans="1:13" x14ac:dyDescent="0.25">
      <c r="A1727" s="49">
        <f t="shared" si="28"/>
        <v>1725</v>
      </c>
      <c r="B1727" s="36" t="s">
        <v>4</v>
      </c>
      <c r="C1727" s="36" t="s">
        <v>7158</v>
      </c>
      <c r="D1727" s="9" t="s">
        <v>7522</v>
      </c>
      <c r="E1727" s="9" t="s">
        <v>7099</v>
      </c>
      <c r="F1727" s="9" t="s">
        <v>7521</v>
      </c>
      <c r="G1727" s="36" t="s">
        <v>14</v>
      </c>
      <c r="H1727" s="36" t="str">
        <f>IFERROR(VLOOKUP(Table2[[#This Row], [Ticket]],Okey!A:B,2,0),"")</f>
        <v/>
      </c>
      <c r="I1727" s="36" t="s">
        <v>7581</v>
      </c>
      <c r="J1727" s="36" t="str">
        <f>VLOOKUP(Table2[[#This Row], [Author]],People!A:B,2,0)</f>
        <v>HC</v>
      </c>
      <c r="K1727" s="36"/>
      <c r="L1727" s="36"/>
      <c r="M1727" s="36" t="s">
        <v>1613</v>
      </c>
    </row>
    <row r="1728" spans="1:13" x14ac:dyDescent="0.25">
      <c r="A1728" s="49">
        <f t="shared" si="28"/>
        <v>1726</v>
      </c>
      <c r="B1728" s="36" t="s">
        <v>4</v>
      </c>
      <c r="C1728" s="36" t="s">
        <v>7158</v>
      </c>
      <c r="D1728" s="9" t="s">
        <v>7523</v>
      </c>
      <c r="E1728" s="9" t="s">
        <v>7100</v>
      </c>
      <c r="F1728" s="9" t="s">
        <v>7521</v>
      </c>
      <c r="G1728" s="36" t="s">
        <v>14</v>
      </c>
      <c r="H1728" s="36" t="str">
        <f>IFERROR(VLOOKUP(Table2[[#This Row], [Ticket]],Okey!A:B,2,0),"")</f>
        <v/>
      </c>
      <c r="I1728" s="36" t="s">
        <v>7581</v>
      </c>
      <c r="J1728" s="36" t="str">
        <f>VLOOKUP(Table2[[#This Row], [Author]],People!A:B,2,0)</f>
        <v>HC</v>
      </c>
      <c r="K1728" s="36"/>
      <c r="L1728" s="36"/>
      <c r="M1728" s="36" t="s">
        <v>1613</v>
      </c>
    </row>
    <row r="1729" spans="1:13" x14ac:dyDescent="0.25">
      <c r="A1729" s="49">
        <f t="shared" si="28"/>
        <v>1727</v>
      </c>
      <c r="B1729" s="36" t="s">
        <v>4</v>
      </c>
      <c r="C1729" s="36" t="s">
        <v>7158</v>
      </c>
      <c r="D1729" s="9" t="s">
        <v>7524</v>
      </c>
      <c r="E1729" s="9" t="s">
        <v>7101</v>
      </c>
      <c r="F1729" s="9" t="s">
        <v>7521</v>
      </c>
      <c r="G1729" s="36" t="s">
        <v>14</v>
      </c>
      <c r="H1729" s="36" t="str">
        <f>IFERROR(VLOOKUP(Table2[[#This Row], [Ticket]],Okey!A:B,2,0),"")</f>
        <v/>
      </c>
      <c r="I1729" s="36" t="s">
        <v>7581</v>
      </c>
      <c r="J1729" s="36" t="str">
        <f>VLOOKUP(Table2[[#This Row], [Author]],People!A:B,2,0)</f>
        <v>HC</v>
      </c>
      <c r="K1729" s="36"/>
      <c r="L1729" s="36"/>
      <c r="M1729" s="36" t="s">
        <v>1613</v>
      </c>
    </row>
    <row r="1730" spans="1:13" x14ac:dyDescent="0.25">
      <c r="A1730" s="49">
        <f t="shared" si="28"/>
        <v>1728</v>
      </c>
      <c r="B1730" s="36" t="s">
        <v>4</v>
      </c>
      <c r="C1730" s="36" t="s">
        <v>7158</v>
      </c>
      <c r="D1730" s="9" t="s">
        <v>7525</v>
      </c>
      <c r="E1730" s="9" t="s">
        <v>7102</v>
      </c>
      <c r="F1730" s="9" t="s">
        <v>7524</v>
      </c>
      <c r="G1730" s="36" t="s">
        <v>14</v>
      </c>
      <c r="H1730" s="36" t="str">
        <f>IFERROR(VLOOKUP(Table2[[#This Row], [Ticket]],Okey!A:B,2,0),"")</f>
        <v/>
      </c>
      <c r="I1730" s="36" t="s">
        <v>7581</v>
      </c>
      <c r="J1730" s="36" t="str">
        <f>VLOOKUP(Table2[[#This Row], [Author]],People!A:B,2,0)</f>
        <v>HC</v>
      </c>
      <c r="K1730" s="36"/>
      <c r="L1730" s="36"/>
      <c r="M1730" s="36" t="s">
        <v>1613</v>
      </c>
    </row>
    <row r="1731" spans="1:13" x14ac:dyDescent="0.25">
      <c r="A1731" s="49">
        <f t="shared" si="28"/>
        <v>1729</v>
      </c>
      <c r="B1731" s="36" t="s">
        <v>4</v>
      </c>
      <c r="C1731" s="36" t="s">
        <v>7158</v>
      </c>
      <c r="D1731" s="9" t="s">
        <v>7526</v>
      </c>
      <c r="E1731" s="9" t="s">
        <v>7103</v>
      </c>
      <c r="F1731" s="9" t="s">
        <v>7524</v>
      </c>
      <c r="G1731" s="36" t="s">
        <v>14</v>
      </c>
      <c r="H1731" s="36" t="str">
        <f>IFERROR(VLOOKUP(Table2[[#This Row], [Ticket]],Okey!A:B,2,0),"")</f>
        <v/>
      </c>
      <c r="I1731" s="36" t="s">
        <v>7581</v>
      </c>
      <c r="J1731" s="36" t="str">
        <f>VLOOKUP(Table2[[#This Row], [Author]],People!A:B,2,0)</f>
        <v>HC</v>
      </c>
      <c r="K1731" s="36"/>
      <c r="L1731" s="36"/>
      <c r="M1731" s="36" t="s">
        <v>1613</v>
      </c>
    </row>
    <row r="1732" spans="1:13" x14ac:dyDescent="0.25">
      <c r="A1732" s="49">
        <f t="shared" si="28"/>
        <v>1730</v>
      </c>
      <c r="B1732" s="36" t="s">
        <v>4</v>
      </c>
      <c r="C1732" s="36" t="s">
        <v>7158</v>
      </c>
      <c r="D1732" s="9" t="s">
        <v>7527</v>
      </c>
      <c r="E1732" s="9" t="s">
        <v>7104</v>
      </c>
      <c r="F1732" s="9" t="s">
        <v>7521</v>
      </c>
      <c r="G1732" s="36" t="s">
        <v>14</v>
      </c>
      <c r="H1732" s="36" t="str">
        <f>IFERROR(VLOOKUP(Table2[[#This Row], [Ticket]],Okey!A:B,2,0),"")</f>
        <v/>
      </c>
      <c r="I1732" s="36" t="s">
        <v>7581</v>
      </c>
      <c r="J1732" s="36" t="str">
        <f>VLOOKUP(Table2[[#This Row], [Author]],People!A:B,2,0)</f>
        <v>HC</v>
      </c>
      <c r="K1732" s="36"/>
      <c r="L1732" s="36"/>
      <c r="M1732" s="36" t="s">
        <v>1613</v>
      </c>
    </row>
    <row r="1733" spans="1:13" x14ac:dyDescent="0.25">
      <c r="A1733" s="49">
        <f t="shared" si="28"/>
        <v>1731</v>
      </c>
      <c r="B1733" s="36" t="s">
        <v>4</v>
      </c>
      <c r="C1733" s="36" t="s">
        <v>7158</v>
      </c>
      <c r="D1733" s="9" t="s">
        <v>7528</v>
      </c>
      <c r="E1733" s="9" t="s">
        <v>7105</v>
      </c>
      <c r="F1733" s="9" t="s">
        <v>7527</v>
      </c>
      <c r="G1733" s="36" t="s">
        <v>14</v>
      </c>
      <c r="H1733" s="36" t="str">
        <f>IFERROR(VLOOKUP(Table2[[#This Row], [Ticket]],Okey!A:B,2,0),"")</f>
        <v/>
      </c>
      <c r="I1733" s="36" t="s">
        <v>7581</v>
      </c>
      <c r="J1733" s="36" t="str">
        <f>VLOOKUP(Table2[[#This Row], [Author]],People!A:B,2,0)</f>
        <v>HC</v>
      </c>
      <c r="K1733" s="36"/>
      <c r="L1733" s="36"/>
      <c r="M1733" s="36" t="s">
        <v>1613</v>
      </c>
    </row>
    <row r="1734" spans="1:13" x14ac:dyDescent="0.25">
      <c r="A1734" s="49">
        <f t="shared" si="28"/>
        <v>1732</v>
      </c>
      <c r="B1734" s="36" t="s">
        <v>4</v>
      </c>
      <c r="C1734" s="36" t="s">
        <v>7158</v>
      </c>
      <c r="D1734" s="9" t="s">
        <v>7529</v>
      </c>
      <c r="E1734" s="9" t="s">
        <v>7106</v>
      </c>
      <c r="F1734" s="9" t="s">
        <v>7527</v>
      </c>
      <c r="G1734" s="36" t="s">
        <v>14</v>
      </c>
      <c r="H1734" s="36" t="str">
        <f>IFERROR(VLOOKUP(Table2[[#This Row], [Ticket]],Okey!A:B,2,0),"")</f>
        <v/>
      </c>
      <c r="I1734" s="36" t="s">
        <v>7581</v>
      </c>
      <c r="J1734" s="36" t="str">
        <f>VLOOKUP(Table2[[#This Row], [Author]],People!A:B,2,0)</f>
        <v>HC</v>
      </c>
      <c r="K1734" s="36"/>
      <c r="L1734" s="36"/>
      <c r="M1734" s="36" t="s">
        <v>1613</v>
      </c>
    </row>
    <row r="1735" spans="1:13" x14ac:dyDescent="0.25">
      <c r="A1735" s="49">
        <f t="shared" si="28"/>
        <v>1733</v>
      </c>
      <c r="B1735" s="36" t="s">
        <v>4</v>
      </c>
      <c r="C1735" s="36" t="s">
        <v>7158</v>
      </c>
      <c r="D1735" s="9" t="s">
        <v>7530</v>
      </c>
      <c r="E1735" s="9" t="s">
        <v>7107</v>
      </c>
      <c r="F1735" s="9" t="s">
        <v>7527</v>
      </c>
      <c r="G1735" s="36" t="s">
        <v>14</v>
      </c>
      <c r="H1735" s="36" t="str">
        <f>IFERROR(VLOOKUP(Table2[[#This Row], [Ticket]],Okey!A:B,2,0),"")</f>
        <v/>
      </c>
      <c r="I1735" s="36" t="s">
        <v>7581</v>
      </c>
      <c r="J1735" s="36" t="str">
        <f>VLOOKUP(Table2[[#This Row], [Author]],People!A:B,2,0)</f>
        <v>HC</v>
      </c>
      <c r="K1735" s="36"/>
      <c r="L1735" s="36"/>
      <c r="M1735" s="36" t="s">
        <v>1613</v>
      </c>
    </row>
    <row r="1736" spans="1:13" x14ac:dyDescent="0.25">
      <c r="A1736" s="49">
        <f t="shared" si="28"/>
        <v>1734</v>
      </c>
      <c r="B1736" s="36" t="s">
        <v>4</v>
      </c>
      <c r="C1736" s="36" t="s">
        <v>7158</v>
      </c>
      <c r="D1736" s="9" t="s">
        <v>7531</v>
      </c>
      <c r="E1736" s="9" t="s">
        <v>7108</v>
      </c>
      <c r="F1736" s="9" t="s">
        <v>7527</v>
      </c>
      <c r="G1736" s="36" t="s">
        <v>14</v>
      </c>
      <c r="H1736" s="36" t="str">
        <f>IFERROR(VLOOKUP(Table2[[#This Row], [Ticket]],Okey!A:B,2,0),"")</f>
        <v/>
      </c>
      <c r="I1736" s="36" t="s">
        <v>7581</v>
      </c>
      <c r="J1736" s="36" t="str">
        <f>VLOOKUP(Table2[[#This Row], [Author]],People!A:B,2,0)</f>
        <v>HC</v>
      </c>
      <c r="K1736" s="36"/>
      <c r="L1736" s="36"/>
      <c r="M1736" s="36" t="s">
        <v>1613</v>
      </c>
    </row>
    <row r="1737" spans="1:13" x14ac:dyDescent="0.25">
      <c r="A1737" s="49">
        <f t="shared" si="28"/>
        <v>1735</v>
      </c>
      <c r="B1737" s="36" t="s">
        <v>4</v>
      </c>
      <c r="C1737" s="36" t="s">
        <v>7158</v>
      </c>
      <c r="D1737" s="9" t="s">
        <v>7532</v>
      </c>
      <c r="E1737" s="9" t="s">
        <v>7109</v>
      </c>
      <c r="F1737" s="9" t="s">
        <v>7527</v>
      </c>
      <c r="G1737" s="36" t="s">
        <v>14</v>
      </c>
      <c r="H1737" s="36" t="str">
        <f>IFERROR(VLOOKUP(Table2[[#This Row], [Ticket]],Okey!A:B,2,0),"")</f>
        <v/>
      </c>
      <c r="I1737" s="36" t="s">
        <v>7581</v>
      </c>
      <c r="J1737" s="36" t="str">
        <f>VLOOKUP(Table2[[#This Row], [Author]],People!A:B,2,0)</f>
        <v>HC</v>
      </c>
      <c r="K1737" s="36"/>
      <c r="L1737" s="36"/>
      <c r="M1737" s="36" t="s">
        <v>1613</v>
      </c>
    </row>
    <row r="1738" spans="1:13" x14ac:dyDescent="0.25">
      <c r="A1738" s="49">
        <f t="shared" si="28"/>
        <v>1736</v>
      </c>
      <c r="B1738" s="36" t="s">
        <v>4</v>
      </c>
      <c r="C1738" s="36" t="s">
        <v>7158</v>
      </c>
      <c r="D1738" s="9" t="s">
        <v>7533</v>
      </c>
      <c r="E1738" s="9" t="s">
        <v>7110</v>
      </c>
      <c r="F1738" s="9" t="s">
        <v>6684</v>
      </c>
      <c r="G1738" s="36" t="s">
        <v>14</v>
      </c>
      <c r="H1738" s="36" t="str">
        <f>IFERROR(VLOOKUP(Table2[[#This Row], [Ticket]],Okey!A:B,2,0),"")</f>
        <v/>
      </c>
      <c r="I1738" s="36" t="s">
        <v>7581</v>
      </c>
      <c r="J1738" s="36" t="str">
        <f>VLOOKUP(Table2[[#This Row], [Author]],People!A:B,2,0)</f>
        <v>HC</v>
      </c>
      <c r="K1738" s="36"/>
      <c r="L1738" s="36"/>
      <c r="M1738" s="36" t="s">
        <v>1613</v>
      </c>
    </row>
    <row r="1739" spans="1:13" x14ac:dyDescent="0.25">
      <c r="A1739" s="49">
        <f t="shared" si="28"/>
        <v>1737</v>
      </c>
      <c r="B1739" s="36" t="s">
        <v>4</v>
      </c>
      <c r="C1739" s="36" t="s">
        <v>7158</v>
      </c>
      <c r="D1739" s="9" t="s">
        <v>7534</v>
      </c>
      <c r="E1739" s="9" t="s">
        <v>7111</v>
      </c>
      <c r="F1739" s="9" t="s">
        <v>7533</v>
      </c>
      <c r="G1739" s="36" t="s">
        <v>14</v>
      </c>
      <c r="H1739" s="36" t="str">
        <f>IFERROR(VLOOKUP(Table2[[#This Row], [Ticket]],Okey!A:B,2,0),"")</f>
        <v/>
      </c>
      <c r="I1739" s="36" t="s">
        <v>7581</v>
      </c>
      <c r="J1739" s="36" t="str">
        <f>VLOOKUP(Table2[[#This Row], [Author]],People!A:B,2,0)</f>
        <v>HC</v>
      </c>
      <c r="K1739" s="36"/>
      <c r="L1739" s="36"/>
      <c r="M1739" s="36" t="s">
        <v>1613</v>
      </c>
    </row>
    <row r="1740" spans="1:13" x14ac:dyDescent="0.25">
      <c r="A1740" s="49">
        <f t="shared" si="28"/>
        <v>1738</v>
      </c>
      <c r="B1740" s="36" t="s">
        <v>4</v>
      </c>
      <c r="C1740" s="36" t="s">
        <v>7158</v>
      </c>
      <c r="D1740" s="9" t="s">
        <v>7535</v>
      </c>
      <c r="E1740" s="9" t="s">
        <v>7112</v>
      </c>
      <c r="F1740" s="9" t="s">
        <v>7533</v>
      </c>
      <c r="G1740" s="36" t="s">
        <v>14</v>
      </c>
      <c r="H1740" s="36" t="str">
        <f>IFERROR(VLOOKUP(Table2[[#This Row], [Ticket]],Okey!A:B,2,0),"")</f>
        <v/>
      </c>
      <c r="I1740" s="36" t="s">
        <v>7581</v>
      </c>
      <c r="J1740" s="36" t="str">
        <f>VLOOKUP(Table2[[#This Row], [Author]],People!A:B,2,0)</f>
        <v>HC</v>
      </c>
      <c r="K1740" s="36"/>
      <c r="L1740" s="36"/>
      <c r="M1740" s="36" t="s">
        <v>1613</v>
      </c>
    </row>
    <row r="1741" spans="1:13" x14ac:dyDescent="0.25">
      <c r="A1741" s="49">
        <f t="shared" si="28"/>
        <v>1739</v>
      </c>
      <c r="B1741" s="36" t="s">
        <v>4</v>
      </c>
      <c r="C1741" s="36" t="s">
        <v>7158</v>
      </c>
      <c r="D1741" s="9" t="s">
        <v>7536</v>
      </c>
      <c r="E1741" s="9" t="s">
        <v>7113</v>
      </c>
      <c r="F1741" s="9" t="s">
        <v>7535</v>
      </c>
      <c r="G1741" s="36" t="s">
        <v>14</v>
      </c>
      <c r="H1741" s="36" t="str">
        <f>IFERROR(VLOOKUP(Table2[[#This Row], [Ticket]],Okey!A:B,2,0),"")</f>
        <v/>
      </c>
      <c r="I1741" s="36" t="s">
        <v>7581</v>
      </c>
      <c r="J1741" s="36" t="str">
        <f>VLOOKUP(Table2[[#This Row], [Author]],People!A:B,2,0)</f>
        <v>HC</v>
      </c>
      <c r="K1741" s="36"/>
      <c r="L1741" s="36"/>
      <c r="M1741" s="36" t="s">
        <v>1613</v>
      </c>
    </row>
    <row r="1742" spans="1:13" x14ac:dyDescent="0.25">
      <c r="A1742" s="49">
        <f t="shared" si="28"/>
        <v>1740</v>
      </c>
      <c r="B1742" s="36" t="s">
        <v>4</v>
      </c>
      <c r="C1742" s="36" t="s">
        <v>7158</v>
      </c>
      <c r="D1742" s="9" t="s">
        <v>7537</v>
      </c>
      <c r="E1742" s="9" t="s">
        <v>7114</v>
      </c>
      <c r="F1742" s="9" t="s">
        <v>7535</v>
      </c>
      <c r="G1742" s="36" t="s">
        <v>14</v>
      </c>
      <c r="H1742" s="36" t="str">
        <f>IFERROR(VLOOKUP(Table2[[#This Row], [Ticket]],Okey!A:B,2,0),"")</f>
        <v/>
      </c>
      <c r="I1742" s="36" t="s">
        <v>7581</v>
      </c>
      <c r="J1742" s="36" t="str">
        <f>VLOOKUP(Table2[[#This Row], [Author]],People!A:B,2,0)</f>
        <v>HC</v>
      </c>
      <c r="K1742" s="36"/>
      <c r="L1742" s="36"/>
      <c r="M1742" s="36" t="s">
        <v>1613</v>
      </c>
    </row>
    <row r="1743" spans="1:13" x14ac:dyDescent="0.25">
      <c r="A1743" s="49">
        <f t="shared" si="28"/>
        <v>1741</v>
      </c>
      <c r="B1743" s="36" t="s">
        <v>4</v>
      </c>
      <c r="C1743" s="36" t="s">
        <v>7158</v>
      </c>
      <c r="D1743" s="9" t="s">
        <v>7538</v>
      </c>
      <c r="E1743" s="9" t="s">
        <v>7115</v>
      </c>
      <c r="F1743" s="9" t="s">
        <v>7533</v>
      </c>
      <c r="G1743" s="36" t="s">
        <v>14</v>
      </c>
      <c r="H1743" s="36" t="str">
        <f>IFERROR(VLOOKUP(Table2[[#This Row], [Ticket]],Okey!A:B,2,0),"")</f>
        <v/>
      </c>
      <c r="I1743" s="36" t="s">
        <v>7581</v>
      </c>
      <c r="J1743" s="36" t="str">
        <f>VLOOKUP(Table2[[#This Row], [Author]],People!A:B,2,0)</f>
        <v>HC</v>
      </c>
      <c r="K1743" s="36"/>
      <c r="L1743" s="36"/>
      <c r="M1743" s="36" t="s">
        <v>1613</v>
      </c>
    </row>
    <row r="1744" spans="1:13" x14ac:dyDescent="0.25">
      <c r="A1744" s="49">
        <f t="shared" si="28"/>
        <v>1742</v>
      </c>
      <c r="B1744" s="36" t="s">
        <v>4</v>
      </c>
      <c r="C1744" s="36" t="s">
        <v>7158</v>
      </c>
      <c r="D1744" s="9" t="s">
        <v>7539</v>
      </c>
      <c r="E1744" s="9" t="s">
        <v>7116</v>
      </c>
      <c r="F1744" s="9" t="s">
        <v>7538</v>
      </c>
      <c r="G1744" s="36" t="s">
        <v>14</v>
      </c>
      <c r="H1744" s="36" t="str">
        <f>IFERROR(VLOOKUP(Table2[[#This Row], [Ticket]],Okey!A:B,2,0),"")</f>
        <v/>
      </c>
      <c r="I1744" s="36" t="s">
        <v>7581</v>
      </c>
      <c r="J1744" s="36" t="str">
        <f>VLOOKUP(Table2[[#This Row], [Author]],People!A:B,2,0)</f>
        <v>HC</v>
      </c>
      <c r="K1744" s="36"/>
      <c r="L1744" s="36"/>
      <c r="M1744" s="36" t="s">
        <v>1613</v>
      </c>
    </row>
    <row r="1745" spans="1:13" x14ac:dyDescent="0.25">
      <c r="A1745" s="49">
        <f t="shared" si="28"/>
        <v>1743</v>
      </c>
      <c r="B1745" s="36" t="s">
        <v>4</v>
      </c>
      <c r="C1745" s="36" t="s">
        <v>7158</v>
      </c>
      <c r="D1745" s="9" t="s">
        <v>7540</v>
      </c>
      <c r="E1745" s="9" t="s">
        <v>7117</v>
      </c>
      <c r="F1745" s="9" t="s">
        <v>7538</v>
      </c>
      <c r="G1745" s="36" t="s">
        <v>14</v>
      </c>
      <c r="H1745" s="36" t="str">
        <f>IFERROR(VLOOKUP(Table2[[#This Row], [Ticket]],Okey!A:B,2,0),"")</f>
        <v/>
      </c>
      <c r="I1745" s="36" t="s">
        <v>7581</v>
      </c>
      <c r="J1745" s="36" t="str">
        <f>VLOOKUP(Table2[[#This Row], [Author]],People!A:B,2,0)</f>
        <v>HC</v>
      </c>
      <c r="K1745" s="36"/>
      <c r="L1745" s="36"/>
      <c r="M1745" s="36" t="s">
        <v>1613</v>
      </c>
    </row>
    <row r="1746" spans="1:13" x14ac:dyDescent="0.25">
      <c r="A1746" s="49">
        <f t="shared" si="28"/>
        <v>1744</v>
      </c>
      <c r="B1746" s="36" t="s">
        <v>4</v>
      </c>
      <c r="C1746" s="36" t="s">
        <v>7158</v>
      </c>
      <c r="D1746" s="9" t="s">
        <v>7541</v>
      </c>
      <c r="E1746" s="9" t="s">
        <v>7118</v>
      </c>
      <c r="F1746" s="9" t="s">
        <v>6683</v>
      </c>
      <c r="G1746" s="36" t="s">
        <v>14</v>
      </c>
      <c r="H1746" s="36" t="str">
        <f>IFERROR(VLOOKUP(Table2[[#This Row], [Ticket]],Okey!A:B,2,0),"")</f>
        <v/>
      </c>
      <c r="I1746" s="36" t="s">
        <v>7581</v>
      </c>
      <c r="J1746" s="36" t="str">
        <f>VLOOKUP(Table2[[#This Row], [Author]],People!A:B,2,0)</f>
        <v>HC</v>
      </c>
      <c r="K1746" s="36"/>
      <c r="L1746" s="36"/>
      <c r="M1746" s="36" t="s">
        <v>1613</v>
      </c>
    </row>
    <row r="1747" spans="1:13" x14ac:dyDescent="0.25">
      <c r="A1747" s="49">
        <f t="shared" si="28"/>
        <v>1745</v>
      </c>
      <c r="B1747" s="36" t="s">
        <v>4</v>
      </c>
      <c r="C1747" s="36" t="s">
        <v>7158</v>
      </c>
      <c r="D1747" s="9" t="s">
        <v>7542</v>
      </c>
      <c r="E1747" s="9" t="s">
        <v>7119</v>
      </c>
      <c r="F1747" s="9" t="s">
        <v>7541</v>
      </c>
      <c r="G1747" s="36" t="s">
        <v>14</v>
      </c>
      <c r="H1747" s="36" t="str">
        <f>IFERROR(VLOOKUP(Table2[[#This Row], [Ticket]],Okey!A:B,2,0),"")</f>
        <v/>
      </c>
      <c r="I1747" s="36" t="s">
        <v>7581</v>
      </c>
      <c r="J1747" s="36" t="str">
        <f>VLOOKUP(Table2[[#This Row], [Author]],People!A:B,2,0)</f>
        <v>HC</v>
      </c>
      <c r="K1747" s="36"/>
      <c r="L1747" s="36"/>
      <c r="M1747" s="36" t="s">
        <v>1613</v>
      </c>
    </row>
    <row r="1748" spans="1:13" x14ac:dyDescent="0.25">
      <c r="A1748" s="49">
        <f t="shared" si="28"/>
        <v>1746</v>
      </c>
      <c r="B1748" s="36" t="s">
        <v>4</v>
      </c>
      <c r="C1748" s="36" t="s">
        <v>7158</v>
      </c>
      <c r="D1748" s="9" t="s">
        <v>7543</v>
      </c>
      <c r="E1748" s="9" t="s">
        <v>7120</v>
      </c>
      <c r="F1748" s="9" t="s">
        <v>7541</v>
      </c>
      <c r="G1748" s="36" t="s">
        <v>14</v>
      </c>
      <c r="H1748" s="36" t="str">
        <f>IFERROR(VLOOKUP(Table2[[#This Row], [Ticket]],Okey!A:B,2,0),"")</f>
        <v/>
      </c>
      <c r="I1748" s="36" t="s">
        <v>7581</v>
      </c>
      <c r="J1748" s="36" t="str">
        <f>VLOOKUP(Table2[[#This Row], [Author]],People!A:B,2,0)</f>
        <v>HC</v>
      </c>
      <c r="K1748" s="36"/>
      <c r="L1748" s="36"/>
      <c r="M1748" s="36" t="s">
        <v>1613</v>
      </c>
    </row>
    <row r="1749" spans="1:13" x14ac:dyDescent="0.25">
      <c r="A1749" s="49">
        <f t="shared" ref="A1749:A1786" si="29">1+A1748</f>
        <v>1747</v>
      </c>
      <c r="B1749" s="36" t="s">
        <v>4</v>
      </c>
      <c r="C1749" s="36" t="s">
        <v>7158</v>
      </c>
      <c r="D1749" s="9" t="s">
        <v>7544</v>
      </c>
      <c r="E1749" s="9" t="s">
        <v>7121</v>
      </c>
      <c r="F1749" s="9" t="s">
        <v>7541</v>
      </c>
      <c r="G1749" s="36" t="s">
        <v>14</v>
      </c>
      <c r="H1749" s="36" t="str">
        <f>IFERROR(VLOOKUP(Table2[[#This Row], [Ticket]],Okey!A:B,2,0),"")</f>
        <v/>
      </c>
      <c r="I1749" s="36" t="s">
        <v>7581</v>
      </c>
      <c r="J1749" s="36" t="str">
        <f>VLOOKUP(Table2[[#This Row], [Author]],People!A:B,2,0)</f>
        <v>HC</v>
      </c>
      <c r="K1749" s="36"/>
      <c r="L1749" s="36"/>
      <c r="M1749" s="36" t="s">
        <v>1613</v>
      </c>
    </row>
    <row r="1750" spans="1:13" x14ac:dyDescent="0.25">
      <c r="A1750" s="49">
        <f t="shared" si="29"/>
        <v>1748</v>
      </c>
      <c r="B1750" s="36" t="s">
        <v>4</v>
      </c>
      <c r="C1750" s="36" t="s">
        <v>7158</v>
      </c>
      <c r="D1750" s="9" t="s">
        <v>7545</v>
      </c>
      <c r="E1750" s="9" t="s">
        <v>7122</v>
      </c>
      <c r="F1750" s="9" t="s">
        <v>7544</v>
      </c>
      <c r="G1750" s="36" t="s">
        <v>14</v>
      </c>
      <c r="H1750" s="36" t="str">
        <f>IFERROR(VLOOKUP(Table2[[#This Row], [Ticket]],Okey!A:B,2,0),"")</f>
        <v/>
      </c>
      <c r="I1750" s="36" t="s">
        <v>7581</v>
      </c>
      <c r="J1750" s="36" t="str">
        <f>VLOOKUP(Table2[[#This Row], [Author]],People!A:B,2,0)</f>
        <v>HC</v>
      </c>
      <c r="K1750" s="36"/>
      <c r="L1750" s="36"/>
      <c r="M1750" s="36" t="s">
        <v>1613</v>
      </c>
    </row>
    <row r="1751" spans="1:13" x14ac:dyDescent="0.25">
      <c r="A1751" s="49">
        <f t="shared" si="29"/>
        <v>1749</v>
      </c>
      <c r="B1751" s="36" t="s">
        <v>4</v>
      </c>
      <c r="C1751" s="36" t="s">
        <v>7158</v>
      </c>
      <c r="D1751" s="9" t="s">
        <v>7546</v>
      </c>
      <c r="E1751" s="9" t="s">
        <v>7123</v>
      </c>
      <c r="F1751" s="9" t="s">
        <v>7544</v>
      </c>
      <c r="G1751" s="36" t="s">
        <v>14</v>
      </c>
      <c r="H1751" s="36" t="str">
        <f>IFERROR(VLOOKUP(Table2[[#This Row], [Ticket]],Okey!A:B,2,0),"")</f>
        <v/>
      </c>
      <c r="I1751" s="36" t="s">
        <v>7581</v>
      </c>
      <c r="J1751" s="36" t="str">
        <f>VLOOKUP(Table2[[#This Row], [Author]],People!A:B,2,0)</f>
        <v>HC</v>
      </c>
      <c r="K1751" s="36"/>
      <c r="L1751" s="36"/>
      <c r="M1751" s="36" t="s">
        <v>1613</v>
      </c>
    </row>
    <row r="1752" spans="1:13" x14ac:dyDescent="0.25">
      <c r="A1752" s="49">
        <f t="shared" si="29"/>
        <v>1750</v>
      </c>
      <c r="B1752" s="36" t="s">
        <v>4</v>
      </c>
      <c r="C1752" s="36" t="s">
        <v>7158</v>
      </c>
      <c r="D1752" s="9" t="s">
        <v>7547</v>
      </c>
      <c r="E1752" s="9" t="s">
        <v>7124</v>
      </c>
      <c r="F1752" s="9" t="s">
        <v>7541</v>
      </c>
      <c r="G1752" s="36" t="s">
        <v>14</v>
      </c>
      <c r="H1752" s="36" t="str">
        <f>IFERROR(VLOOKUP(Table2[[#This Row], [Ticket]],Okey!A:B,2,0),"")</f>
        <v/>
      </c>
      <c r="I1752" s="36" t="s">
        <v>7581</v>
      </c>
      <c r="J1752" s="36" t="str">
        <f>VLOOKUP(Table2[[#This Row], [Author]],People!A:B,2,0)</f>
        <v>HC</v>
      </c>
      <c r="K1752" s="36"/>
      <c r="L1752" s="36"/>
      <c r="M1752" s="36" t="s">
        <v>1613</v>
      </c>
    </row>
    <row r="1753" spans="1:13" x14ac:dyDescent="0.25">
      <c r="A1753" s="49">
        <f t="shared" si="29"/>
        <v>1751</v>
      </c>
      <c r="B1753" s="36" t="s">
        <v>4</v>
      </c>
      <c r="C1753" s="36" t="s">
        <v>7158</v>
      </c>
      <c r="D1753" s="9" t="s">
        <v>7548</v>
      </c>
      <c r="E1753" s="9" t="s">
        <v>7125</v>
      </c>
      <c r="F1753" s="9" t="s">
        <v>7547</v>
      </c>
      <c r="G1753" s="36" t="s">
        <v>14</v>
      </c>
      <c r="H1753" s="36" t="str">
        <f>IFERROR(VLOOKUP(Table2[[#This Row], [Ticket]],Okey!A:B,2,0),"")</f>
        <v/>
      </c>
      <c r="I1753" s="36" t="s">
        <v>7581</v>
      </c>
      <c r="J1753" s="36" t="str">
        <f>VLOOKUP(Table2[[#This Row], [Author]],People!A:B,2,0)</f>
        <v>HC</v>
      </c>
      <c r="K1753" s="36"/>
      <c r="L1753" s="36"/>
      <c r="M1753" s="36" t="s">
        <v>1613</v>
      </c>
    </row>
    <row r="1754" spans="1:13" x14ac:dyDescent="0.25">
      <c r="A1754" s="49">
        <f t="shared" si="29"/>
        <v>1752</v>
      </c>
      <c r="B1754" s="36" t="s">
        <v>4</v>
      </c>
      <c r="C1754" s="36" t="s">
        <v>7158</v>
      </c>
      <c r="D1754" s="9" t="s">
        <v>7549</v>
      </c>
      <c r="E1754" s="9" t="s">
        <v>7126</v>
      </c>
      <c r="F1754" s="9" t="s">
        <v>7547</v>
      </c>
      <c r="G1754" s="36" t="s">
        <v>14</v>
      </c>
      <c r="H1754" s="36" t="str">
        <f>IFERROR(VLOOKUP(Table2[[#This Row], [Ticket]],Okey!A:B,2,0),"")</f>
        <v/>
      </c>
      <c r="I1754" s="36" t="s">
        <v>7581</v>
      </c>
      <c r="J1754" s="36" t="str">
        <f>VLOOKUP(Table2[[#This Row], [Author]],People!A:B,2,0)</f>
        <v>HC</v>
      </c>
      <c r="K1754" s="36"/>
      <c r="L1754" s="36"/>
      <c r="M1754" s="36" t="s">
        <v>1613</v>
      </c>
    </row>
    <row r="1755" spans="1:13" x14ac:dyDescent="0.25">
      <c r="A1755" s="49">
        <f t="shared" si="29"/>
        <v>1753</v>
      </c>
      <c r="B1755" s="36" t="s">
        <v>4</v>
      </c>
      <c r="C1755" s="36" t="s">
        <v>7158</v>
      </c>
      <c r="D1755" s="9" t="s">
        <v>7550</v>
      </c>
      <c r="E1755" s="9" t="s">
        <v>7127</v>
      </c>
      <c r="F1755" s="9" t="s">
        <v>7547</v>
      </c>
      <c r="G1755" s="36" t="s">
        <v>14</v>
      </c>
      <c r="H1755" s="36" t="str">
        <f>IFERROR(VLOOKUP(Table2[[#This Row], [Ticket]],Okey!A:B,2,0),"")</f>
        <v/>
      </c>
      <c r="I1755" s="36" t="s">
        <v>7581</v>
      </c>
      <c r="J1755" s="36" t="str">
        <f>VLOOKUP(Table2[[#This Row], [Author]],People!A:B,2,0)</f>
        <v>HC</v>
      </c>
      <c r="K1755" s="36"/>
      <c r="L1755" s="36"/>
      <c r="M1755" s="36" t="s">
        <v>1613</v>
      </c>
    </row>
    <row r="1756" spans="1:13" x14ac:dyDescent="0.25">
      <c r="A1756" s="49">
        <f t="shared" si="29"/>
        <v>1754</v>
      </c>
      <c r="B1756" s="36" t="s">
        <v>4</v>
      </c>
      <c r="C1756" s="36" t="s">
        <v>7158</v>
      </c>
      <c r="D1756" s="9" t="s">
        <v>7551</v>
      </c>
      <c r="E1756" s="9" t="s">
        <v>7128</v>
      </c>
      <c r="F1756" s="9" t="s">
        <v>7547</v>
      </c>
      <c r="G1756" s="36" t="s">
        <v>14</v>
      </c>
      <c r="H1756" s="36" t="str">
        <f>IFERROR(VLOOKUP(Table2[[#This Row], [Ticket]],Okey!A:B,2,0),"")</f>
        <v/>
      </c>
      <c r="I1756" s="36" t="s">
        <v>7581</v>
      </c>
      <c r="J1756" s="36" t="str">
        <f>VLOOKUP(Table2[[#This Row], [Author]],People!A:B,2,0)</f>
        <v>HC</v>
      </c>
      <c r="K1756" s="36"/>
      <c r="L1756" s="36"/>
      <c r="M1756" s="36" t="s">
        <v>1613</v>
      </c>
    </row>
    <row r="1757" spans="1:13" x14ac:dyDescent="0.25">
      <c r="A1757" s="49">
        <f t="shared" si="29"/>
        <v>1755</v>
      </c>
      <c r="B1757" s="36" t="s">
        <v>4</v>
      </c>
      <c r="C1757" s="36" t="s">
        <v>7158</v>
      </c>
      <c r="D1757" s="9" t="s">
        <v>7552</v>
      </c>
      <c r="E1757" s="9" t="s">
        <v>7129</v>
      </c>
      <c r="F1757" s="9" t="s">
        <v>7547</v>
      </c>
      <c r="G1757" s="36" t="s">
        <v>14</v>
      </c>
      <c r="H1757" s="36" t="str">
        <f>IFERROR(VLOOKUP(Table2[[#This Row], [Ticket]],Okey!A:B,2,0),"")</f>
        <v/>
      </c>
      <c r="I1757" s="36" t="s">
        <v>7581</v>
      </c>
      <c r="J1757" s="36" t="str">
        <f>VLOOKUP(Table2[[#This Row], [Author]],People!A:B,2,0)</f>
        <v>HC</v>
      </c>
      <c r="K1757" s="36"/>
      <c r="L1757" s="36"/>
      <c r="M1757" s="36" t="s">
        <v>1613</v>
      </c>
    </row>
    <row r="1758" spans="1:13" x14ac:dyDescent="0.25">
      <c r="A1758" s="49">
        <f t="shared" si="29"/>
        <v>1756</v>
      </c>
      <c r="B1758" s="36" t="s">
        <v>4</v>
      </c>
      <c r="C1758" s="36" t="s">
        <v>7158</v>
      </c>
      <c r="D1758" s="9" t="s">
        <v>7553</v>
      </c>
      <c r="E1758" s="9" t="s">
        <v>7130</v>
      </c>
      <c r="F1758" s="9" t="s">
        <v>6684</v>
      </c>
      <c r="G1758" s="36" t="s">
        <v>14</v>
      </c>
      <c r="H1758" s="36" t="str">
        <f>IFERROR(VLOOKUP(Table2[[#This Row], [Ticket]],Okey!A:B,2,0),"")</f>
        <v/>
      </c>
      <c r="I1758" s="36" t="s">
        <v>7581</v>
      </c>
      <c r="J1758" s="36" t="str">
        <f>VLOOKUP(Table2[[#This Row], [Author]],People!A:B,2,0)</f>
        <v>HC</v>
      </c>
      <c r="K1758" s="36"/>
      <c r="L1758" s="36"/>
      <c r="M1758" s="36" t="s">
        <v>1613</v>
      </c>
    </row>
    <row r="1759" spans="1:13" x14ac:dyDescent="0.25">
      <c r="A1759" s="49">
        <f t="shared" si="29"/>
        <v>1757</v>
      </c>
      <c r="B1759" s="36" t="s">
        <v>4</v>
      </c>
      <c r="C1759" s="36" t="s">
        <v>7158</v>
      </c>
      <c r="D1759" s="9" t="s">
        <v>7554</v>
      </c>
      <c r="E1759" s="9" t="s">
        <v>7131</v>
      </c>
      <c r="F1759" s="9" t="s">
        <v>7553</v>
      </c>
      <c r="G1759" s="36" t="s">
        <v>14</v>
      </c>
      <c r="H1759" s="36" t="str">
        <f>IFERROR(VLOOKUP(Table2[[#This Row], [Ticket]],Okey!A:B,2,0),"")</f>
        <v/>
      </c>
      <c r="I1759" s="36" t="s">
        <v>7581</v>
      </c>
      <c r="J1759" s="36" t="str">
        <f>VLOOKUP(Table2[[#This Row], [Author]],People!A:B,2,0)</f>
        <v>HC</v>
      </c>
      <c r="K1759" s="36"/>
      <c r="L1759" s="36"/>
      <c r="M1759" s="36" t="s">
        <v>1613</v>
      </c>
    </row>
    <row r="1760" spans="1:13" x14ac:dyDescent="0.25">
      <c r="A1760" s="49">
        <f t="shared" si="29"/>
        <v>1758</v>
      </c>
      <c r="B1760" s="36" t="s">
        <v>4</v>
      </c>
      <c r="C1760" s="36" t="s">
        <v>7158</v>
      </c>
      <c r="D1760" s="9" t="s">
        <v>7555</v>
      </c>
      <c r="E1760" s="9" t="s">
        <v>7132</v>
      </c>
      <c r="F1760" s="9" t="s">
        <v>7553</v>
      </c>
      <c r="G1760" s="36" t="s">
        <v>14</v>
      </c>
      <c r="H1760" s="36" t="str">
        <f>IFERROR(VLOOKUP(Table2[[#This Row], [Ticket]],Okey!A:B,2,0),"")</f>
        <v/>
      </c>
      <c r="I1760" s="36" t="s">
        <v>7581</v>
      </c>
      <c r="J1760" s="36" t="str">
        <f>VLOOKUP(Table2[[#This Row], [Author]],People!A:B,2,0)</f>
        <v>HC</v>
      </c>
      <c r="K1760" s="36"/>
      <c r="L1760" s="36"/>
      <c r="M1760" s="36" t="s">
        <v>1613</v>
      </c>
    </row>
    <row r="1761" spans="1:13" x14ac:dyDescent="0.25">
      <c r="A1761" s="49">
        <f t="shared" si="29"/>
        <v>1759</v>
      </c>
      <c r="B1761" s="36" t="s">
        <v>4</v>
      </c>
      <c r="C1761" s="36" t="s">
        <v>7158</v>
      </c>
      <c r="D1761" s="9" t="s">
        <v>7556</v>
      </c>
      <c r="E1761" s="9" t="s">
        <v>7133</v>
      </c>
      <c r="F1761" s="9" t="s">
        <v>7555</v>
      </c>
      <c r="G1761" s="36" t="s">
        <v>14</v>
      </c>
      <c r="H1761" s="36" t="str">
        <f>IFERROR(VLOOKUP(Table2[[#This Row], [Ticket]],Okey!A:B,2,0),"")</f>
        <v/>
      </c>
      <c r="I1761" s="36" t="s">
        <v>7581</v>
      </c>
      <c r="J1761" s="36" t="str">
        <f>VLOOKUP(Table2[[#This Row], [Author]],People!A:B,2,0)</f>
        <v>HC</v>
      </c>
      <c r="K1761" s="36"/>
      <c r="L1761" s="36"/>
      <c r="M1761" s="36" t="s">
        <v>1613</v>
      </c>
    </row>
    <row r="1762" spans="1:13" x14ac:dyDescent="0.25">
      <c r="A1762" s="49">
        <f t="shared" si="29"/>
        <v>1760</v>
      </c>
      <c r="B1762" s="36" t="s">
        <v>4</v>
      </c>
      <c r="C1762" s="36" t="s">
        <v>7158</v>
      </c>
      <c r="D1762" s="9" t="s">
        <v>7557</v>
      </c>
      <c r="E1762" s="9" t="s">
        <v>7134</v>
      </c>
      <c r="F1762" s="9" t="s">
        <v>7555</v>
      </c>
      <c r="G1762" s="36" t="s">
        <v>14</v>
      </c>
      <c r="H1762" s="36" t="str">
        <f>IFERROR(VLOOKUP(Table2[[#This Row], [Ticket]],Okey!A:B,2,0),"")</f>
        <v/>
      </c>
      <c r="I1762" s="36" t="s">
        <v>7581</v>
      </c>
      <c r="J1762" s="36" t="str">
        <f>VLOOKUP(Table2[[#This Row], [Author]],People!A:B,2,0)</f>
        <v>HC</v>
      </c>
      <c r="K1762" s="36"/>
      <c r="L1762" s="36"/>
      <c r="M1762" s="36" t="s">
        <v>1613</v>
      </c>
    </row>
    <row r="1763" spans="1:13" x14ac:dyDescent="0.25">
      <c r="A1763" s="49">
        <f t="shared" si="29"/>
        <v>1761</v>
      </c>
      <c r="B1763" s="36" t="s">
        <v>4</v>
      </c>
      <c r="C1763" s="36" t="s">
        <v>7158</v>
      </c>
      <c r="D1763" s="9" t="s">
        <v>7558</v>
      </c>
      <c r="E1763" s="9" t="s">
        <v>7135</v>
      </c>
      <c r="F1763" s="9" t="s">
        <v>7553</v>
      </c>
      <c r="G1763" s="36" t="s">
        <v>14</v>
      </c>
      <c r="H1763" s="36" t="str">
        <f>IFERROR(VLOOKUP(Table2[[#This Row], [Ticket]],Okey!A:B,2,0),"")</f>
        <v/>
      </c>
      <c r="I1763" s="36" t="s">
        <v>7581</v>
      </c>
      <c r="J1763" s="36" t="str">
        <f>VLOOKUP(Table2[[#This Row], [Author]],People!A:B,2,0)</f>
        <v>HC</v>
      </c>
      <c r="K1763" s="36"/>
      <c r="L1763" s="36"/>
      <c r="M1763" s="36" t="s">
        <v>1613</v>
      </c>
    </row>
    <row r="1764" spans="1:13" x14ac:dyDescent="0.25">
      <c r="A1764" s="49">
        <f t="shared" si="29"/>
        <v>1762</v>
      </c>
      <c r="B1764" s="36" t="s">
        <v>4</v>
      </c>
      <c r="C1764" s="36" t="s">
        <v>7158</v>
      </c>
      <c r="D1764" s="9" t="s">
        <v>7559</v>
      </c>
      <c r="E1764" s="9" t="s">
        <v>7136</v>
      </c>
      <c r="F1764" s="9" t="s">
        <v>7558</v>
      </c>
      <c r="G1764" s="36" t="s">
        <v>14</v>
      </c>
      <c r="H1764" s="36" t="str">
        <f>IFERROR(VLOOKUP(Table2[[#This Row], [Ticket]],Okey!A:B,2,0),"")</f>
        <v/>
      </c>
      <c r="I1764" s="36" t="s">
        <v>7581</v>
      </c>
      <c r="J1764" s="36" t="str">
        <f>VLOOKUP(Table2[[#This Row], [Author]],People!A:B,2,0)</f>
        <v>HC</v>
      </c>
      <c r="K1764" s="36"/>
      <c r="L1764" s="36"/>
      <c r="M1764" s="36" t="s">
        <v>1613</v>
      </c>
    </row>
    <row r="1765" spans="1:13" x14ac:dyDescent="0.25">
      <c r="A1765" s="49">
        <f t="shared" si="29"/>
        <v>1763</v>
      </c>
      <c r="B1765" s="36" t="s">
        <v>4</v>
      </c>
      <c r="C1765" s="36" t="s">
        <v>7158</v>
      </c>
      <c r="D1765" s="9" t="s">
        <v>7560</v>
      </c>
      <c r="E1765" s="9" t="s">
        <v>7137</v>
      </c>
      <c r="F1765" s="9" t="s">
        <v>7558</v>
      </c>
      <c r="G1765" s="36" t="s">
        <v>14</v>
      </c>
      <c r="H1765" s="36" t="str">
        <f>IFERROR(VLOOKUP(Table2[[#This Row], [Ticket]],Okey!A:B,2,0),"")</f>
        <v/>
      </c>
      <c r="I1765" s="36" t="s">
        <v>7581</v>
      </c>
      <c r="J1765" s="36" t="str">
        <f>VLOOKUP(Table2[[#This Row], [Author]],People!A:B,2,0)</f>
        <v>HC</v>
      </c>
      <c r="K1765" s="36"/>
      <c r="L1765" s="36"/>
      <c r="M1765" s="36" t="s">
        <v>1613</v>
      </c>
    </row>
    <row r="1766" spans="1:13" x14ac:dyDescent="0.25">
      <c r="A1766" s="49">
        <f t="shared" si="29"/>
        <v>1764</v>
      </c>
      <c r="B1766" s="36" t="s">
        <v>4</v>
      </c>
      <c r="C1766" s="36" t="s">
        <v>7158</v>
      </c>
      <c r="D1766" s="9" t="s">
        <v>7561</v>
      </c>
      <c r="E1766" s="9" t="s">
        <v>7138</v>
      </c>
      <c r="F1766" s="9" t="s">
        <v>6683</v>
      </c>
      <c r="G1766" s="36" t="s">
        <v>14</v>
      </c>
      <c r="H1766" s="36" t="str">
        <f>IFERROR(VLOOKUP(Table2[[#This Row], [Ticket]],Okey!A:B,2,0),"")</f>
        <v/>
      </c>
      <c r="I1766" s="36" t="s">
        <v>7581</v>
      </c>
      <c r="J1766" s="36" t="str">
        <f>VLOOKUP(Table2[[#This Row], [Author]],People!A:B,2,0)</f>
        <v>HC</v>
      </c>
      <c r="K1766" s="36"/>
      <c r="L1766" s="36"/>
      <c r="M1766" s="36" t="s">
        <v>1613</v>
      </c>
    </row>
    <row r="1767" spans="1:13" x14ac:dyDescent="0.25">
      <c r="A1767" s="49">
        <f t="shared" si="29"/>
        <v>1765</v>
      </c>
      <c r="B1767" s="36" t="s">
        <v>4</v>
      </c>
      <c r="C1767" s="36" t="s">
        <v>7158</v>
      </c>
      <c r="D1767" s="9" t="s">
        <v>7562</v>
      </c>
      <c r="E1767" s="9" t="s">
        <v>7139</v>
      </c>
      <c r="F1767" s="9" t="s">
        <v>7561</v>
      </c>
      <c r="G1767" s="36" t="s">
        <v>14</v>
      </c>
      <c r="H1767" s="36" t="str">
        <f>IFERROR(VLOOKUP(Table2[[#This Row], [Ticket]],Okey!A:B,2,0),"")</f>
        <v/>
      </c>
      <c r="I1767" s="36" t="s">
        <v>7581</v>
      </c>
      <c r="J1767" s="36" t="str">
        <f>VLOOKUP(Table2[[#This Row], [Author]],People!A:B,2,0)</f>
        <v>HC</v>
      </c>
      <c r="K1767" s="36"/>
      <c r="L1767" s="36"/>
      <c r="M1767" s="36" t="s">
        <v>1613</v>
      </c>
    </row>
    <row r="1768" spans="1:13" x14ac:dyDescent="0.25">
      <c r="A1768" s="49">
        <f t="shared" si="29"/>
        <v>1766</v>
      </c>
      <c r="B1768" s="36" t="s">
        <v>4</v>
      </c>
      <c r="C1768" s="36" t="s">
        <v>7158</v>
      </c>
      <c r="D1768" s="9" t="s">
        <v>7563</v>
      </c>
      <c r="E1768" s="9" t="s">
        <v>7140</v>
      </c>
      <c r="F1768" s="9" t="s">
        <v>7561</v>
      </c>
      <c r="G1768" s="36" t="s">
        <v>14</v>
      </c>
      <c r="H1768" s="36" t="str">
        <f>IFERROR(VLOOKUP(Table2[[#This Row], [Ticket]],Okey!A:B,2,0),"")</f>
        <v/>
      </c>
      <c r="I1768" s="36" t="s">
        <v>7581</v>
      </c>
      <c r="J1768" s="36" t="str">
        <f>VLOOKUP(Table2[[#This Row], [Author]],People!A:B,2,0)</f>
        <v>HC</v>
      </c>
      <c r="K1768" s="36"/>
      <c r="L1768" s="36"/>
      <c r="M1768" s="36" t="s">
        <v>1613</v>
      </c>
    </row>
    <row r="1769" spans="1:13" x14ac:dyDescent="0.25">
      <c r="A1769" s="49">
        <f t="shared" si="29"/>
        <v>1767</v>
      </c>
      <c r="B1769" s="36" t="s">
        <v>4</v>
      </c>
      <c r="C1769" s="36" t="s">
        <v>7158</v>
      </c>
      <c r="D1769" s="9" t="s">
        <v>7564</v>
      </c>
      <c r="E1769" s="9" t="s">
        <v>7141</v>
      </c>
      <c r="F1769" s="9" t="s">
        <v>7561</v>
      </c>
      <c r="G1769" s="36" t="s">
        <v>14</v>
      </c>
      <c r="H1769" s="36" t="str">
        <f>IFERROR(VLOOKUP(Table2[[#This Row], [Ticket]],Okey!A:B,2,0),"")</f>
        <v/>
      </c>
      <c r="I1769" s="36" t="s">
        <v>7581</v>
      </c>
      <c r="J1769" s="36" t="str">
        <f>VLOOKUP(Table2[[#This Row], [Author]],People!A:B,2,0)</f>
        <v>HC</v>
      </c>
      <c r="K1769" s="36"/>
      <c r="L1769" s="36"/>
      <c r="M1769" s="36" t="s">
        <v>1613</v>
      </c>
    </row>
    <row r="1770" spans="1:13" x14ac:dyDescent="0.25">
      <c r="A1770" s="49">
        <f t="shared" si="29"/>
        <v>1768</v>
      </c>
      <c r="B1770" s="36" t="s">
        <v>4</v>
      </c>
      <c r="C1770" s="36" t="s">
        <v>7158</v>
      </c>
      <c r="D1770" s="9" t="s">
        <v>7565</v>
      </c>
      <c r="E1770" s="9" t="s">
        <v>7142</v>
      </c>
      <c r="F1770" s="9" t="s">
        <v>7564</v>
      </c>
      <c r="G1770" s="36" t="s">
        <v>14</v>
      </c>
      <c r="H1770" s="36" t="str">
        <f>IFERROR(VLOOKUP(Table2[[#This Row], [Ticket]],Okey!A:B,2,0),"")</f>
        <v/>
      </c>
      <c r="I1770" s="36" t="s">
        <v>7581</v>
      </c>
      <c r="J1770" s="36" t="str">
        <f>VLOOKUP(Table2[[#This Row], [Author]],People!A:B,2,0)</f>
        <v>HC</v>
      </c>
      <c r="K1770" s="36"/>
      <c r="L1770" s="36"/>
      <c r="M1770" s="36" t="s">
        <v>1613</v>
      </c>
    </row>
    <row r="1771" spans="1:13" x14ac:dyDescent="0.25">
      <c r="A1771" s="49">
        <f t="shared" si="29"/>
        <v>1769</v>
      </c>
      <c r="B1771" s="36" t="s">
        <v>4</v>
      </c>
      <c r="C1771" s="36" t="s">
        <v>7158</v>
      </c>
      <c r="D1771" s="9" t="s">
        <v>7566</v>
      </c>
      <c r="E1771" s="9" t="s">
        <v>7143</v>
      </c>
      <c r="F1771" s="9" t="s">
        <v>7564</v>
      </c>
      <c r="G1771" s="36" t="s">
        <v>14</v>
      </c>
      <c r="H1771" s="36" t="str">
        <f>IFERROR(VLOOKUP(Table2[[#This Row], [Ticket]],Okey!A:B,2,0),"")</f>
        <v/>
      </c>
      <c r="I1771" s="36" t="s">
        <v>7581</v>
      </c>
      <c r="J1771" s="36" t="str">
        <f>VLOOKUP(Table2[[#This Row], [Author]],People!A:B,2,0)</f>
        <v>HC</v>
      </c>
      <c r="K1771" s="36"/>
      <c r="L1771" s="36"/>
      <c r="M1771" s="36" t="s">
        <v>1613</v>
      </c>
    </row>
    <row r="1772" spans="1:13" x14ac:dyDescent="0.25">
      <c r="A1772" s="49">
        <f t="shared" si="29"/>
        <v>1770</v>
      </c>
      <c r="B1772" s="36" t="s">
        <v>4</v>
      </c>
      <c r="C1772" s="36" t="s">
        <v>7158</v>
      </c>
      <c r="D1772" s="9" t="s">
        <v>7567</v>
      </c>
      <c r="E1772" s="9" t="s">
        <v>7144</v>
      </c>
      <c r="F1772" s="9" t="s">
        <v>7561</v>
      </c>
      <c r="G1772" s="36" t="s">
        <v>14</v>
      </c>
      <c r="H1772" s="36" t="str">
        <f>IFERROR(VLOOKUP(Table2[[#This Row], [Ticket]],Okey!A:B,2,0),"")</f>
        <v/>
      </c>
      <c r="I1772" s="36" t="s">
        <v>7581</v>
      </c>
      <c r="J1772" s="36" t="str">
        <f>VLOOKUP(Table2[[#This Row], [Author]],People!A:B,2,0)</f>
        <v>HC</v>
      </c>
      <c r="K1772" s="36"/>
      <c r="L1772" s="36"/>
      <c r="M1772" s="36" t="s">
        <v>1613</v>
      </c>
    </row>
    <row r="1773" spans="1:13" x14ac:dyDescent="0.25">
      <c r="A1773" s="49">
        <f t="shared" si="29"/>
        <v>1771</v>
      </c>
      <c r="B1773" s="36" t="s">
        <v>4</v>
      </c>
      <c r="C1773" s="36" t="s">
        <v>7158</v>
      </c>
      <c r="D1773" s="9" t="s">
        <v>7568</v>
      </c>
      <c r="E1773" s="9" t="s">
        <v>7145</v>
      </c>
      <c r="F1773" s="9" t="s">
        <v>7567</v>
      </c>
      <c r="G1773" s="36" t="s">
        <v>14</v>
      </c>
      <c r="H1773" s="36" t="str">
        <f>IFERROR(VLOOKUP(Table2[[#This Row], [Ticket]],Okey!A:B,2,0),"")</f>
        <v/>
      </c>
      <c r="I1773" s="36" t="s">
        <v>7581</v>
      </c>
      <c r="J1773" s="36" t="str">
        <f>VLOOKUP(Table2[[#This Row], [Author]],People!A:B,2,0)</f>
        <v>HC</v>
      </c>
      <c r="K1773" s="36"/>
      <c r="L1773" s="36"/>
      <c r="M1773" s="36" t="s">
        <v>1613</v>
      </c>
    </row>
    <row r="1774" spans="1:13" x14ac:dyDescent="0.25">
      <c r="A1774" s="49">
        <f t="shared" si="29"/>
        <v>1772</v>
      </c>
      <c r="B1774" s="36" t="s">
        <v>4</v>
      </c>
      <c r="C1774" s="36" t="s">
        <v>7158</v>
      </c>
      <c r="D1774" s="9" t="s">
        <v>7569</v>
      </c>
      <c r="E1774" s="9" t="s">
        <v>7146</v>
      </c>
      <c r="F1774" s="9" t="s">
        <v>7567</v>
      </c>
      <c r="G1774" s="36" t="s">
        <v>14</v>
      </c>
      <c r="H1774" s="36" t="str">
        <f>IFERROR(VLOOKUP(Table2[[#This Row], [Ticket]],Okey!A:B,2,0),"")</f>
        <v/>
      </c>
      <c r="I1774" s="36" t="s">
        <v>7581</v>
      </c>
      <c r="J1774" s="36" t="str">
        <f>VLOOKUP(Table2[[#This Row], [Author]],People!A:B,2,0)</f>
        <v>HC</v>
      </c>
      <c r="K1774" s="36"/>
      <c r="L1774" s="36"/>
      <c r="M1774" s="36" t="s">
        <v>1613</v>
      </c>
    </row>
    <row r="1775" spans="1:13" x14ac:dyDescent="0.25">
      <c r="A1775" s="49">
        <f t="shared" si="29"/>
        <v>1773</v>
      </c>
      <c r="B1775" s="36" t="s">
        <v>4</v>
      </c>
      <c r="C1775" s="36" t="s">
        <v>7158</v>
      </c>
      <c r="D1775" s="9" t="s">
        <v>7570</v>
      </c>
      <c r="E1775" s="9" t="s">
        <v>7147</v>
      </c>
      <c r="F1775" s="9" t="s">
        <v>7567</v>
      </c>
      <c r="G1775" s="36" t="s">
        <v>14</v>
      </c>
      <c r="H1775" s="36" t="str">
        <f>IFERROR(VLOOKUP(Table2[[#This Row], [Ticket]],Okey!A:B,2,0),"")</f>
        <v/>
      </c>
      <c r="I1775" s="36" t="s">
        <v>7581</v>
      </c>
      <c r="J1775" s="36" t="str">
        <f>VLOOKUP(Table2[[#This Row], [Author]],People!A:B,2,0)</f>
        <v>HC</v>
      </c>
      <c r="K1775" s="36"/>
      <c r="L1775" s="36"/>
      <c r="M1775" s="36" t="s">
        <v>1613</v>
      </c>
    </row>
    <row r="1776" spans="1:13" x14ac:dyDescent="0.25">
      <c r="A1776" s="49">
        <f t="shared" si="29"/>
        <v>1774</v>
      </c>
      <c r="B1776" s="36" t="s">
        <v>4</v>
      </c>
      <c r="C1776" s="36" t="s">
        <v>7158</v>
      </c>
      <c r="D1776" s="9" t="s">
        <v>7571</v>
      </c>
      <c r="E1776" s="9" t="s">
        <v>7148</v>
      </c>
      <c r="F1776" s="9" t="s">
        <v>7567</v>
      </c>
      <c r="G1776" s="36" t="s">
        <v>14</v>
      </c>
      <c r="H1776" s="36" t="str">
        <f>IFERROR(VLOOKUP(Table2[[#This Row], [Ticket]],Okey!A:B,2,0),"")</f>
        <v/>
      </c>
      <c r="I1776" s="36" t="s">
        <v>7581</v>
      </c>
      <c r="J1776" s="36" t="str">
        <f>VLOOKUP(Table2[[#This Row], [Author]],People!A:B,2,0)</f>
        <v>HC</v>
      </c>
      <c r="K1776" s="36"/>
      <c r="L1776" s="36"/>
      <c r="M1776" s="36" t="s">
        <v>1613</v>
      </c>
    </row>
    <row r="1777" spans="1:13" x14ac:dyDescent="0.25">
      <c r="A1777" s="49">
        <f t="shared" si="29"/>
        <v>1775</v>
      </c>
      <c r="B1777" s="36" t="s">
        <v>4</v>
      </c>
      <c r="C1777" s="36" t="s">
        <v>7158</v>
      </c>
      <c r="D1777" s="9" t="s">
        <v>7572</v>
      </c>
      <c r="E1777" s="9" t="s">
        <v>7149</v>
      </c>
      <c r="F1777" s="9" t="s">
        <v>7567</v>
      </c>
      <c r="G1777" s="36" t="s">
        <v>14</v>
      </c>
      <c r="H1777" s="36" t="str">
        <f>IFERROR(VLOOKUP(Table2[[#This Row], [Ticket]],Okey!A:B,2,0),"")</f>
        <v/>
      </c>
      <c r="I1777" s="36" t="s">
        <v>7581</v>
      </c>
      <c r="J1777" s="36" t="str">
        <f>VLOOKUP(Table2[[#This Row], [Author]],People!A:B,2,0)</f>
        <v>HC</v>
      </c>
      <c r="K1777" s="36"/>
      <c r="L1777" s="36"/>
      <c r="M1777" s="36" t="s">
        <v>1613</v>
      </c>
    </row>
    <row r="1778" spans="1:13" x14ac:dyDescent="0.25">
      <c r="A1778" s="49">
        <f t="shared" si="29"/>
        <v>1776</v>
      </c>
      <c r="B1778" s="36" t="s">
        <v>4</v>
      </c>
      <c r="C1778" s="36" t="s">
        <v>7158</v>
      </c>
      <c r="D1778" s="9" t="s">
        <v>7573</v>
      </c>
      <c r="E1778" s="9" t="s">
        <v>7150</v>
      </c>
      <c r="F1778" s="9" t="s">
        <v>6684</v>
      </c>
      <c r="G1778" s="36" t="s">
        <v>14</v>
      </c>
      <c r="H1778" s="36" t="str">
        <f>IFERROR(VLOOKUP(Table2[[#This Row], [Ticket]],Okey!A:B,2,0),"")</f>
        <v/>
      </c>
      <c r="I1778" s="36" t="s">
        <v>7581</v>
      </c>
      <c r="J1778" s="36" t="str">
        <f>VLOOKUP(Table2[[#This Row], [Author]],People!A:B,2,0)</f>
        <v>HC</v>
      </c>
      <c r="K1778" s="36"/>
      <c r="L1778" s="36"/>
      <c r="M1778" s="36" t="s">
        <v>1613</v>
      </c>
    </row>
    <row r="1779" spans="1:13" x14ac:dyDescent="0.25">
      <c r="A1779" s="49">
        <f t="shared" si="29"/>
        <v>1777</v>
      </c>
      <c r="B1779" s="36" t="s">
        <v>4</v>
      </c>
      <c r="C1779" s="36" t="s">
        <v>7158</v>
      </c>
      <c r="D1779" s="9" t="s">
        <v>7574</v>
      </c>
      <c r="E1779" s="9" t="s">
        <v>7151</v>
      </c>
      <c r="F1779" s="9" t="s">
        <v>7573</v>
      </c>
      <c r="G1779" s="36" t="s">
        <v>14</v>
      </c>
      <c r="H1779" s="36" t="str">
        <f>IFERROR(VLOOKUP(Table2[[#This Row], [Ticket]],Okey!A:B,2,0),"")</f>
        <v/>
      </c>
      <c r="I1779" s="36" t="s">
        <v>7581</v>
      </c>
      <c r="J1779" s="36" t="str">
        <f>VLOOKUP(Table2[[#This Row], [Author]],People!A:B,2,0)</f>
        <v>HC</v>
      </c>
      <c r="K1779" s="36"/>
      <c r="L1779" s="36"/>
      <c r="M1779" s="36" t="s">
        <v>1613</v>
      </c>
    </row>
    <row r="1780" spans="1:13" x14ac:dyDescent="0.25">
      <c r="A1780" s="49">
        <f t="shared" si="29"/>
        <v>1778</v>
      </c>
      <c r="B1780" s="36" t="s">
        <v>4</v>
      </c>
      <c r="C1780" s="36" t="s">
        <v>7158</v>
      </c>
      <c r="D1780" s="9" t="s">
        <v>7575</v>
      </c>
      <c r="E1780" s="9" t="s">
        <v>7152</v>
      </c>
      <c r="F1780" s="9" t="s">
        <v>7573</v>
      </c>
      <c r="G1780" s="36" t="s">
        <v>14</v>
      </c>
      <c r="H1780" s="36" t="str">
        <f>IFERROR(VLOOKUP(Table2[[#This Row], [Ticket]],Okey!A:B,2,0),"")</f>
        <v/>
      </c>
      <c r="I1780" s="36" t="s">
        <v>7581</v>
      </c>
      <c r="J1780" s="36" t="str">
        <f>VLOOKUP(Table2[[#This Row], [Author]],People!A:B,2,0)</f>
        <v>HC</v>
      </c>
      <c r="K1780" s="36"/>
      <c r="L1780" s="36"/>
      <c r="M1780" s="36" t="s">
        <v>1613</v>
      </c>
    </row>
    <row r="1781" spans="1:13" x14ac:dyDescent="0.25">
      <c r="A1781" s="49">
        <f t="shared" si="29"/>
        <v>1779</v>
      </c>
      <c r="B1781" s="36" t="s">
        <v>4</v>
      </c>
      <c r="C1781" s="36" t="s">
        <v>7158</v>
      </c>
      <c r="D1781" s="9" t="s">
        <v>7576</v>
      </c>
      <c r="E1781" s="9" t="s">
        <v>7153</v>
      </c>
      <c r="F1781" s="9" t="s">
        <v>7575</v>
      </c>
      <c r="G1781" s="36" t="s">
        <v>14</v>
      </c>
      <c r="H1781" s="36" t="str">
        <f>IFERROR(VLOOKUP(Table2[[#This Row], [Ticket]],Okey!A:B,2,0),"")</f>
        <v/>
      </c>
      <c r="I1781" s="36" t="s">
        <v>7581</v>
      </c>
      <c r="J1781" s="36" t="str">
        <f>VLOOKUP(Table2[[#This Row], [Author]],People!A:B,2,0)</f>
        <v>HC</v>
      </c>
      <c r="K1781" s="36"/>
      <c r="L1781" s="36"/>
      <c r="M1781" s="36" t="s">
        <v>1613</v>
      </c>
    </row>
    <row r="1782" spans="1:13" x14ac:dyDescent="0.25">
      <c r="A1782" s="49">
        <f t="shared" si="29"/>
        <v>1780</v>
      </c>
      <c r="B1782" s="36" t="s">
        <v>4</v>
      </c>
      <c r="C1782" s="36" t="s">
        <v>7158</v>
      </c>
      <c r="D1782" s="9" t="s">
        <v>7577</v>
      </c>
      <c r="E1782" s="9" t="s">
        <v>7154</v>
      </c>
      <c r="F1782" s="9" t="s">
        <v>7575</v>
      </c>
      <c r="G1782" s="36" t="s">
        <v>14</v>
      </c>
      <c r="H1782" s="36" t="str">
        <f>IFERROR(VLOOKUP(Table2[[#This Row], [Ticket]],Okey!A:B,2,0),"")</f>
        <v/>
      </c>
      <c r="I1782" s="36" t="s">
        <v>7581</v>
      </c>
      <c r="J1782" s="36" t="str">
        <f>VLOOKUP(Table2[[#This Row], [Author]],People!A:B,2,0)</f>
        <v>HC</v>
      </c>
      <c r="K1782" s="36"/>
      <c r="L1782" s="36"/>
      <c r="M1782" s="36" t="s">
        <v>1613</v>
      </c>
    </row>
    <row r="1783" spans="1:13" x14ac:dyDescent="0.25">
      <c r="A1783" s="49">
        <f t="shared" si="29"/>
        <v>1781</v>
      </c>
      <c r="B1783" s="36" t="s">
        <v>4</v>
      </c>
      <c r="C1783" s="36" t="s">
        <v>7158</v>
      </c>
      <c r="D1783" s="9" t="s">
        <v>7578</v>
      </c>
      <c r="E1783" s="9" t="s">
        <v>7155</v>
      </c>
      <c r="F1783" s="9" t="s">
        <v>7573</v>
      </c>
      <c r="G1783" s="36" t="s">
        <v>14</v>
      </c>
      <c r="H1783" s="36" t="str">
        <f>IFERROR(VLOOKUP(Table2[[#This Row], [Ticket]],Okey!A:B,2,0),"")</f>
        <v/>
      </c>
      <c r="I1783" s="36" t="s">
        <v>7581</v>
      </c>
      <c r="J1783" s="36" t="str">
        <f>VLOOKUP(Table2[[#This Row], [Author]],People!A:B,2,0)</f>
        <v>HC</v>
      </c>
      <c r="K1783" s="36"/>
      <c r="L1783" s="36"/>
      <c r="M1783" s="36" t="s">
        <v>1613</v>
      </c>
    </row>
    <row r="1784" spans="1:13" x14ac:dyDescent="0.25">
      <c r="A1784" s="49">
        <f t="shared" si="29"/>
        <v>1782</v>
      </c>
      <c r="B1784" s="36" t="s">
        <v>4</v>
      </c>
      <c r="C1784" s="36" t="s">
        <v>7158</v>
      </c>
      <c r="D1784" s="9" t="s">
        <v>7579</v>
      </c>
      <c r="E1784" s="9" t="s">
        <v>7156</v>
      </c>
      <c r="F1784" s="9" t="s">
        <v>7578</v>
      </c>
      <c r="G1784" s="36" t="s">
        <v>14</v>
      </c>
      <c r="H1784" s="36" t="str">
        <f>IFERROR(VLOOKUP(Table2[[#This Row], [Ticket]],Okey!A:B,2,0),"")</f>
        <v/>
      </c>
      <c r="I1784" s="36" t="s">
        <v>7581</v>
      </c>
      <c r="J1784" s="36" t="str">
        <f>VLOOKUP(Table2[[#This Row], [Author]],People!A:B,2,0)</f>
        <v>HC</v>
      </c>
      <c r="K1784" s="36"/>
      <c r="L1784" s="36"/>
      <c r="M1784" s="36" t="s">
        <v>1613</v>
      </c>
    </row>
    <row r="1785" spans="1:13" x14ac:dyDescent="0.25">
      <c r="A1785" s="49">
        <f t="shared" si="29"/>
        <v>1783</v>
      </c>
      <c r="B1785" s="36" t="s">
        <v>4</v>
      </c>
      <c r="C1785" s="36" t="s">
        <v>7158</v>
      </c>
      <c r="D1785" s="9" t="s">
        <v>7580</v>
      </c>
      <c r="E1785" s="9" t="s">
        <v>7157</v>
      </c>
      <c r="F1785" s="9" t="s">
        <v>7578</v>
      </c>
      <c r="G1785" s="36" t="s">
        <v>14</v>
      </c>
      <c r="H1785" s="36" t="str">
        <f>IFERROR(VLOOKUP(Table2[[#This Row], [Ticket]],Okey!A:B,2,0),"")</f>
        <v/>
      </c>
      <c r="I1785" s="36" t="s">
        <v>7581</v>
      </c>
      <c r="J1785" s="36" t="str">
        <f>VLOOKUP(Table2[[#This Row], [Author]],People!A:B,2,0)</f>
        <v>HC</v>
      </c>
      <c r="K1785" s="36"/>
      <c r="L1785" s="36"/>
      <c r="M1785" s="36" t="s">
        <v>1613</v>
      </c>
    </row>
    <row r="1786" spans="1:13" x14ac:dyDescent="0.25">
      <c r="A1786" s="49">
        <f t="shared" si="29"/>
        <v>1784</v>
      </c>
      <c r="B1786" s="36" t="s">
        <v>4</v>
      </c>
      <c r="C1786" s="9" t="s">
        <v>7160</v>
      </c>
      <c r="D1786" s="9" t="s">
        <v>7159</v>
      </c>
      <c r="F1786" s="9" t="s">
        <v>1656</v>
      </c>
      <c r="G1786" s="9" t="s">
        <v>13</v>
      </c>
      <c r="H1786" s="36" t="str">
        <f>IFERROR(VLOOKUP(Table2[[#This Row], [Ticket]],Okey!A:B,2,0),"")</f>
        <v/>
      </c>
      <c r="I1786" s="36" t="s">
        <v>7581</v>
      </c>
      <c r="J1786" s="36" t="str">
        <f>VLOOKUP(Table2[[#This Row], [Author]],People!A:B,2,0)</f>
        <v>MGF</v>
      </c>
      <c r="K1786" s="36"/>
      <c r="L1786" s="36"/>
      <c r="M1786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7" t="s">
        <v>6121</v>
      </c>
      <c r="B52" s="48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50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str">
        <f>VLOOKUP(Table2[[#This Row], [Author]],People!A:B,2,0)</f>
        <v>LS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str">
        <f>VLOOKUP(Table2[[#This Row], [Author]],People!A:B,2,0)</f>
        <v>LS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str">
        <f>VLOOKUP(Table2[[#This Row], [Author]],People!A:B,2,0)</f>
        <v>LS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HC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HC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HC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HC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HC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HC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HC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HC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HC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HC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HC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HC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HC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HC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HC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HC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HC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HC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HC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HC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HC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HC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HC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HC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HC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HC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HC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HC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HC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HC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HC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HC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HC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HC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HC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HC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HC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HC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HC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HC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HC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HC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HC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HC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HC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HC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HC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HC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HC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HC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HC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HC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HC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HC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HC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HC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HC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HC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HC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HC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HC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HC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HC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HC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HC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HC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HC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HC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HC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HC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HC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HC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HC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HC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HC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HC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HC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HC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HC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HC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HC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HC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HC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HC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HC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HC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HC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HC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HC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HC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HC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HC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HC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HC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HC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HC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HC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HC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HC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HC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HC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HC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HC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HC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HC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HC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HC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HC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HC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HC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HC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HC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HC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HC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HC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HC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HC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HC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HC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HC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HC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HC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HC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HC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HC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HC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HC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HC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HC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HC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HC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HC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HC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HC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HC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HC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HC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HC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HC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HC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HC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HC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HC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HC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HC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HC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HC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HC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HC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HC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HC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HC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HC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HC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HC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HC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HC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HC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HC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HC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HC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HC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HC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HC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HC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HC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HC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HC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HC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HC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str">
        <f>VLOOKUP(Table2[[#This Row], [Author]],People!A:B,2,0)</f>
        <v>HC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str">
        <f>VLOOKUP(Table2[[#This Row], [Author]],People!A:B,2,0)</f>
        <v>HC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str">
        <f>VLOOKUP(Table2[[#This Row], [Author]],People!A:B,2,0)</f>
        <v>HC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str">
        <f>VLOOKUP(Table2[[#This Row], [Author]],People!A:B,2,0)</f>
        <v>HC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str">
        <f>VLOOKUP(Table2[[#This Row], [Author]],People!A:B,2,0)</f>
        <v>HC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str">
        <f>VLOOKUP(Table2[[#This Row], [Author]],People!A:B,2,0)</f>
        <v>HC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str">
        <f>VLOOKUP(Table2[[#This Row], [Author]],People!A:B,2,0)</f>
        <v>HC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str">
        <f>VLOOKUP(Table2[[#This Row], [Author]],People!A:B,2,0)</f>
        <v>HC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str">
        <f>VLOOKUP(Table2[[#This Row], [Author]],People!A:B,2,0)</f>
        <v>HC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str">
        <f>VLOOKUP(Table2[[#This Row], [Author]],People!A:B,2,0)</f>
        <v>HC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str">
        <f>VLOOKUP(Table2[[#This Row], [Author]],People!A:B,2,0)</f>
        <v>HC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str">
        <f>VLOOKUP(Table2[[#This Row], [Author]],People!A:B,2,0)</f>
        <v>HC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str">
        <f>VLOOKUP(Table2[[#This Row], [Author]],People!A:B,2,0)</f>
        <v>HC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str">
        <f>VLOOKUP(Table2[[#This Row], [Author]],People!A:B,2,0)</f>
        <v>HC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str">
        <f>VLOOKUP(Table2[[#This Row], [Author]],People!A:B,2,0)</f>
        <v>HC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str">
        <f>VLOOKUP(Table2[[#This Row], [Author]],People!A:B,2,0)</f>
        <v>HC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str">
        <f>VLOOKUP(Table2[[#This Row], [Author]],People!A:B,2,0)</f>
        <v>HC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str">
        <f>VLOOKUP(Table2[[#This Row], [Author]],People!A:B,2,0)</f>
        <v>HC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str">
        <f>VLOOKUP(Table2[[#This Row], [Author]],People!A:B,2,0)</f>
        <v>HC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str">
        <f>VLOOKUP(Table2[[#This Row], [Author]],People!A:B,2,0)</f>
        <v>HC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str">
        <f>VLOOKUP(Table2[[#This Row], [Author]],People!A:B,2,0)</f>
        <v>HC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str">
        <f>VLOOKUP(Table2[[#This Row], [Author]],People!A:B,2,0)</f>
        <v>HC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str">
        <f>VLOOKUP(Table2[[#This Row], [Author]],People!A:B,2,0)</f>
        <v>HC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str">
        <f>VLOOKUP(Table2[[#This Row], [Author]],People!A:B,2,0)</f>
        <v>HC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str">
        <f>VLOOKUP(Table2[[#This Row], [Author]],People!A:B,2,0)</f>
        <v>HC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str">
        <f>VLOOKUP(Table2[[#This Row], [Author]],People!A:B,2,0)</f>
        <v>HC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str">
        <f>VLOOKUP(Table2[[#This Row], [Author]],People!A:B,2,0)</f>
        <v>HC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str">
        <f>VLOOKUP(Table2[[#This Row], [Author]],People!A:B,2,0)</f>
        <v>HC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str">
        <f>VLOOKUP(Table2[[#This Row], [Author]],People!A:B,2,0)</f>
        <v>HC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str">
        <f>VLOOKUP(Table2[[#This Row], [Author]],People!A:B,2,0)</f>
        <v>HC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str">
        <f>VLOOKUP(Table2[[#This Row], [Author]],People!A:B,2,0)</f>
        <v>HC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str">
        <f>VLOOKUP(Table2[[#This Row], [Author]],People!A:B,2,0)</f>
        <v>HC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str">
        <f>VLOOKUP(Table2[[#This Row], [Author]],People!A:B,2,0)</f>
        <v>HC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str">
        <f>VLOOKUP(Table2[[#This Row], [Author]],People!A:B,2,0)</f>
        <v>HC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str">
        <f>VLOOKUP(Table2[[#This Row], [Author]],People!A:B,2,0)</f>
        <v>HC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str">
        <f>VLOOKUP(Table2[[#This Row], [Author]],People!A:B,2,0)</f>
        <v>HC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str">
        <f>VLOOKUP(Table2[[#This Row], [Author]],People!A:B,2,0)</f>
        <v>HC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str">
        <f>VLOOKUP(Table2[[#This Row], [Author]],People!A:B,2,0)</f>
        <v>HC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str">
        <f>VLOOKUP(Table2[[#This Row], [Author]],People!A:B,2,0)</f>
        <v>HC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str">
        <f>VLOOKUP(Table2[[#This Row], [Author]],People!A:B,2,0)</f>
        <v>HC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str">
        <f>VLOOKUP(Table2[[#This Row], [Author]],People!A:B,2,0)</f>
        <v>HC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str">
        <f>VLOOKUP(Table2[[#This Row], [Author]],People!A:B,2,0)</f>
        <v>HC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str">
        <f>VLOOKUP(Table2[[#This Row], [Author]],People!A:B,2,0)</f>
        <v>HC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str">
        <f>VLOOKUP(Table2[[#This Row], [Author]],People!A:B,2,0)</f>
        <v>HC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str">
        <f>VLOOKUP(Table2[[#This Row], [Author]],People!A:B,2,0)</f>
        <v>HC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str">
        <f>VLOOKUP(Table2[[#This Row], [Author]],People!A:B,2,0)</f>
        <v>HC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str">
        <f>VLOOKUP(Table2[[#This Row], [Author]],People!A:B,2,0)</f>
        <v>HC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str">
        <f>VLOOKUP(Table2[[#This Row], [Author]],People!A:B,2,0)</f>
        <v>HC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str">
        <f>VLOOKUP(Table2[[#This Row], [Author]],People!A:B,2,0)</f>
        <v>HC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str">
        <f>VLOOKUP(Table2[[#This Row], [Author]],People!A:B,2,0)</f>
        <v>HC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str">
        <f>VLOOKUP(Table2[[#This Row], [Author]],People!A:B,2,0)</f>
        <v>HC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str">
        <f>VLOOKUP(Table2[[#This Row], [Author]],People!A:B,2,0)</f>
        <v>HC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str">
        <f>VLOOKUP(Table2[[#This Row], [Author]],People!A:B,2,0)</f>
        <v>HC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str">
        <f>VLOOKUP(Table2[[#This Row], [Author]],People!A:B,2,0)</f>
        <v>HC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str">
        <f>VLOOKUP(Table2[[#This Row], [Author]],People!A:B,2,0)</f>
        <v>HC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str">
        <f>VLOOKUP(Table2[[#This Row], [Author]],People!A:B,2,0)</f>
        <v>HC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str">
        <f>VLOOKUP(Table2[[#This Row], [Author]],People!A:B,2,0)</f>
        <v>HC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str">
        <f>VLOOKUP(Table2[[#This Row], [Author]],People!A:B,2,0)</f>
        <v>HC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str">
        <f>VLOOKUP(Table2[[#This Row], [Author]],People!A:B,2,0)</f>
        <v>HC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str">
        <f>VLOOKUP(Table2[[#This Row], [Author]],People!A:B,2,0)</f>
        <v>HC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str">
        <f>VLOOKUP(Table2[[#This Row], [Author]],People!A:B,2,0)</f>
        <v>HC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str">
        <f>VLOOKUP(Table2[[#This Row], [Author]],People!A:B,2,0)</f>
        <v>HC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str">
        <f>VLOOKUP(Table2[[#This Row], [Author]],People!A:B,2,0)</f>
        <v>HC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str">
        <f>VLOOKUP(Table2[[#This Row], [Author]],People!A:B,2,0)</f>
        <v>HC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str">
        <f>VLOOKUP(Table2[[#This Row], [Author]],People!A:B,2,0)</f>
        <v>HC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str">
        <f>VLOOKUP(Table2[[#This Row], [Author]],People!A:B,2,0)</f>
        <v>HC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str">
        <f>VLOOKUP(Table2[[#This Row], [Author]],People!A:B,2,0)</f>
        <v>HC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str">
        <f>VLOOKUP(Table2[[#This Row], [Author]],People!A:B,2,0)</f>
        <v>HC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str">
        <f>VLOOKUP(Table2[[#This Row], [Author]],People!A:B,2,0)</f>
        <v>HC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str">
        <f>VLOOKUP(Table2[[#This Row], [Author]],People!A:B,2,0)</f>
        <v>HC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str">
        <f>VLOOKUP(Table2[[#This Row], [Author]],People!A:B,2,0)</f>
        <v>HC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str">
        <f>VLOOKUP(Table2[[#This Row], [Author]],People!A:B,2,0)</f>
        <v>HC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str">
        <f>VLOOKUP(Table2[[#This Row], [Author]],People!A:B,2,0)</f>
        <v>HC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str">
        <f>VLOOKUP(Table2[[#This Row], [Author]],People!A:B,2,0)</f>
        <v>HC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str">
        <f>VLOOKUP(Table2[[#This Row], [Author]],People!A:B,2,0)</f>
        <v>HC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str">
        <f>VLOOKUP(Table2[[#This Row], [Author]],People!A:B,2,0)</f>
        <v>HC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str">
        <f>VLOOKUP(Table2[[#This Row], [Author]],People!A:B,2,0)</f>
        <v>MGF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6"/>
  <sheetViews>
    <sheetView topLeftCell="A244" workbookViewId="0">
      <selection activeCell="B276" sqref="B262:B27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4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3" t="s">
        <v>6111</v>
      </c>
      <c r="B247" s="36" t="s">
        <v>86</v>
      </c>
    </row>
    <row r="248" spans="1:2" x14ac:dyDescent="0.25">
      <c r="A248" s="53" t="s">
        <v>6120</v>
      </c>
      <c r="B248" s="36" t="s">
        <v>86</v>
      </c>
    </row>
    <row r="249" spans="1:2" x14ac:dyDescent="0.25">
      <c r="A249" s="53" t="s">
        <v>6123</v>
      </c>
      <c r="B249" s="36" t="s">
        <v>86</v>
      </c>
    </row>
    <row r="250" spans="1:2" x14ac:dyDescent="0.25">
      <c r="A250" s="53" t="s">
        <v>6132</v>
      </c>
      <c r="B250" s="36" t="s">
        <v>86</v>
      </c>
    </row>
    <row r="251" spans="1:2" x14ac:dyDescent="0.25">
      <c r="A251" s="53" t="s">
        <v>6216</v>
      </c>
      <c r="B251" s="36" t="s">
        <v>86</v>
      </c>
    </row>
    <row r="252" spans="1:2" x14ac:dyDescent="0.25">
      <c r="A252" s="53" t="s">
        <v>6352</v>
      </c>
      <c r="B252" s="36" t="s">
        <v>86</v>
      </c>
    </row>
    <row r="253" spans="1:2" x14ac:dyDescent="0.25">
      <c r="A253" s="53" t="s">
        <v>6406</v>
      </c>
      <c r="B253" s="36" t="s">
        <v>86</v>
      </c>
    </row>
    <row r="254" spans="1:2" x14ac:dyDescent="0.25">
      <c r="A254" s="53" t="s">
        <v>6444</v>
      </c>
      <c r="B254" s="36" t="s">
        <v>86</v>
      </c>
    </row>
    <row r="255" spans="1:2" x14ac:dyDescent="0.25">
      <c r="A255" s="53" t="s">
        <v>6457</v>
      </c>
      <c r="B255" s="36" t="s">
        <v>86</v>
      </c>
    </row>
    <row r="256" spans="1:2" x14ac:dyDescent="0.25">
      <c r="A256" s="53" t="s">
        <v>6459</v>
      </c>
      <c r="B256" s="36" t="s">
        <v>86</v>
      </c>
    </row>
    <row r="257" spans="1:2" x14ac:dyDescent="0.25">
      <c r="A257" s="53" t="s">
        <v>6610</v>
      </c>
      <c r="B257" s="36" t="s">
        <v>86</v>
      </c>
    </row>
    <row r="258" spans="1:2" x14ac:dyDescent="0.25">
      <c r="A258" s="53" t="s">
        <v>6615</v>
      </c>
      <c r="B258" s="36" t="s">
        <v>86</v>
      </c>
    </row>
    <row r="259" spans="1:2" x14ac:dyDescent="0.25">
      <c r="A259" s="53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pvt</vt:lpstr>
      <vt:lpstr>STUCT1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2025-10-16T19:24:12Z</dcterms:modified>
</cp:coreProperties>
</file>