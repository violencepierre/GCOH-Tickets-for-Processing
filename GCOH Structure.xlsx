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455730C-EC55-4B6A-8BC1-A41C7DBB15B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2">STUCT1!#REF!</definedName>
  </definedNames>
  <calcPr calcId="181029"/>
  <pivotCaches>
    <pivotCache cacheId="8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58" i="1" l="1"/>
  <c r="H858" i="1"/>
  <c r="A849" i="1"/>
  <c r="A850" i="1" s="1"/>
  <c r="A851" i="1" s="1"/>
  <c r="A852" i="1" s="1"/>
  <c r="A853" i="1" s="1"/>
  <c r="A854" i="1" s="1"/>
  <c r="A855" i="1" s="1"/>
  <c r="A856" i="1" s="1"/>
  <c r="A857" i="1" s="1"/>
  <c r="H857" i="1"/>
  <c r="H849" i="1"/>
  <c r="H850" i="1"/>
  <c r="H851" i="1"/>
  <c r="H852" i="1"/>
  <c r="H853" i="1"/>
  <c r="H854" i="1"/>
  <c r="H855" i="1"/>
  <c r="H856" i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</calcChain>
</file>

<file path=xl/sharedStrings.xml><?xml version="1.0" encoding="utf-8"?>
<sst xmlns="http://schemas.openxmlformats.org/spreadsheetml/2006/main" count="49515" uniqueCount="9013">
  <si>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</si>
  <si>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</si>
  <si>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</si>
  <si>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</si>
  <si>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</si>
  <si>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</si>
  <si>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</si>
  <si>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</si>
  <si>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</si>
  <si>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</si>
  <si>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</si>
  <si>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</si>
  <si>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</si>
  <si>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</si>
  <si>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</si>
  <si>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</si>
  <si>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</si>
  <si>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</si>
  <si>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</si>
  <si>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</si>
  <si>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</si>
  <si>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</si>
  <si>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</si>
  <si>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</si>
  <si>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</si>
  <si>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</si>
  <si>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</si>
  <si>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</si>
  <si>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</si>
  <si>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</si>
  <si>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</si>
  <si>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</si>
  <si>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</si>
  <si>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</si>
  <si>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</si>
  <si>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</si>
  <si>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</si>
  <si>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</si>
  <si>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</si>
  <si>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</si>
  <si>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</si>
  <si>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</si>
  <si>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</si>
  <si>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</si>
  <si>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</si>
  <si>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</si>
  <si>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</si>
  <si>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</si>
  <si>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</si>
  <si>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</si>
  <si>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</si>
  <si>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</si>
  <si>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</si>
  <si>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</si>
  <si>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</si>
  <si>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</si>
  <si>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</si>
  <si>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</si>
  <si>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</si>
  <si>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</si>
  <si>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</si>
  <si>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</si>
  <si>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</si>
  <si>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</si>
  <si>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</si>
  <si>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</si>
  <si>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</si>
  <si>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</si>
  <si>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</si>
  <si>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</si>
  <si>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</si>
  <si>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</si>
  <si>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</si>
  <si>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</si>
  <si>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</si>
  <si>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</si>
  <si>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</si>
  <si>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</si>
  <si>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</si>
  <si>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</si>
  <si>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</si>
  <si>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</si>
  <si>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</si>
  <si>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</si>
  <si>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</si>
  <si>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</si>
  <si>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</si>
  <si>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</si>
  <si>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</si>
  <si>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</si>
  <si>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</si>
  <si>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</si>
  <si>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</si>
  <si>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</si>
  <si>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</si>
  <si>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</si>
  <si>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</si>
  <si>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</si>
  <si>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</si>
  <si>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</si>
  <si>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</si>
  <si>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</si>
  <si>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</si>
  <si>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</si>
  <si>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</si>
  <si>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</si>
  <si>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</si>
  <si>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</si>
  <si>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</si>
  <si>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</si>
  <si>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</si>
  <si>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</si>
  <si>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</si>
  <si>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</si>
  <si>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</si>
  <si>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</si>
  <si>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</si>
  <si>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</si>
  <si>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</si>
  <si>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</si>
  <si>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</si>
  <si>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</si>
  <si>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</si>
  <si>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</si>
  <si>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</si>
  <si>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</si>
  <si>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</si>
  <si>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</si>
  <si>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</si>
  <si>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</si>
  <si>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</si>
  <si>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</si>
  <si>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</si>
  <si>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</si>
  <si>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</si>
  <si>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</si>
  <si>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</si>
  <si>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</si>
  <si>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</si>
  <si>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</si>
  <si>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</si>
  <si>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</si>
  <si>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</si>
  <si>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</si>
  <si>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</si>
  <si>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</si>
  <si>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</si>
  <si>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</si>
  <si>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</si>
  <si>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</si>
  <si>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</si>
  <si>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</si>
  <si>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</si>
  <si>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</si>
  <si>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</si>
  <si>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</si>
  <si>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</si>
  <si>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</si>
  <si>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</si>
  <si>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</si>
  <si>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</si>
  <si>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</si>
  <si>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</si>
  <si>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</si>
  <si>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</si>
  <si>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</si>
  <si>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</si>
  <si>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</si>
  <si>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</si>
  <si>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</si>
  <si>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</si>
  <si>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</si>
  <si>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</si>
  <si>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</si>
  <si>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</si>
  <si>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</si>
  <si>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</si>
  <si>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</si>
  <si>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</si>
  <si>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</si>
  <si>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</si>
  <si>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</si>
  <si>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</si>
  <si>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</si>
  <si>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</si>
  <si>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</si>
  <si>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</si>
  <si>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</si>
  <si>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</si>
  <si>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</si>
  <si>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</si>
  <si>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</si>
  <si>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</si>
  <si>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</si>
  <si>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</si>
  <si>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</si>
  <si>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</si>
  <si>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</si>
  <si>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</si>
  <si>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</si>
  <si>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</si>
  <si>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</si>
  <si>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</si>
  <si>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</si>
  <si>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</si>
  <si>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</si>
  <si>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</si>
  <si>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</si>
  <si>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</si>
  <si>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</si>
  <si>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</si>
  <si>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</si>
  <si>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</si>
  <si>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</si>
  <si>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</si>
  <si>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</si>
  <si>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</si>
  <si>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</si>
  <si>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</si>
  <si>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</si>
  <si>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</si>
  <si>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</si>
  <si>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</si>
  <si>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</si>
  <si>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</si>
  <si>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</si>
  <si>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</si>
  <si>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</si>
  <si>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</si>
  <si>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</si>
  <si>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</si>
  <si>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</si>
  <si>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</si>
  <si>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</si>
  <si>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</si>
  <si>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</si>
  <si>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</si>
  <si>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</si>
  <si>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</si>
  <si>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</si>
  <si>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</si>
  <si>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</si>
  <si>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</si>
  <si>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</si>
  <si>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</si>
  <si>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</si>
  <si>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</si>
  <si>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</si>
  <si>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</si>
  <si>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</si>
  <si>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</si>
  <si>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</si>
  <si>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</si>
  <si>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</si>
  <si>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</si>
  <si>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</si>
  <si>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</si>
  <si>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</si>
  <si>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</si>
  <si>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</si>
  <si>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</si>
  <si>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</si>
  <si>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</si>
  <si>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</si>
  <si>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</si>
  <si>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</si>
  <si>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</si>
  <si>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</si>
  <si>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</si>
  <si>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</si>
  <si>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</si>
  <si>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</si>
  <si>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</si>
  <si>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</si>
  <si>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</si>
  <si>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</si>
  <si>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</si>
  <si>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</si>
  <si>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</si>
  <si>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</si>
  <si>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</si>
  <si>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</si>
  <si>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</si>
  <si>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</si>
  <si>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</si>
  <si>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</si>
  <si>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</si>
  <si>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</si>
  <si>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</si>
  <si>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</si>
  <si>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</si>
  <si>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</si>
  <si>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</si>
  <si>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</si>
  <si>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</si>
  <si>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</si>
  <si>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</si>
  <si>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</si>
  <si>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</si>
  <si>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</si>
  <si>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</si>
  <si>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</si>
  <si>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</si>
  <si>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</si>
  <si>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</si>
  <si>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</si>
  <si>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</si>
  <si>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</si>
  <si>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</si>
  <si>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</si>
  <si>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</si>
  <si>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</si>
  <si>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</si>
  <si>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</si>
  <si>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</si>
  <si>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</si>
  <si>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</si>
  <si>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</si>
  <si>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</si>
  <si>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</si>
  <si>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</si>
  <si>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</si>
  <si>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</si>
  <si>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</si>
  <si>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</si>
  <si>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</si>
  <si>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</si>
  <si>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</si>
  <si>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</si>
  <si>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</si>
  <si>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</si>
  <si>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</si>
  <si>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</si>
  <si>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</si>
  <si>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</si>
  <si>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</si>
  <si>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</si>
  <si>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</si>
  <si>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</si>
  <si>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</si>
  <si>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</si>
  <si>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</si>
  <si>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</si>
  <si>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</si>
  <si>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</si>
  <si>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</si>
  <si>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</si>
  <si>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</si>
  <si>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</si>
  <si>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</si>
  <si>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</si>
  <si>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</si>
  <si>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</si>
  <si>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</si>
  <si>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</si>
  <si>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</si>
  <si>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</si>
  <si>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</si>
  <si>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</si>
  <si>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</si>
  <si>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</si>
  <si>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</si>
  <si>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</si>
  <si>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</si>
  <si>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</si>
  <si>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</si>
  <si>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</si>
  <si>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</si>
  <si>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</si>
  <si>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</si>
  <si>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</si>
  <si>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</si>
  <si>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</si>
  <si>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</si>
  <si>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</si>
  <si>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</si>
  <si>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</si>
  <si>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</si>
  <si>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</si>
  <si>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</si>
  <si>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</si>
  <si>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</si>
  <si>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</si>
  <si>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</si>
  <si>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</si>
  <si>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</si>
  <si>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</si>
  <si>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</si>
  <si>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</si>
  <si>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</si>
  <si>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</si>
  <si>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</si>
  <si>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</si>
  <si>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</si>
  <si>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</si>
  <si>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</si>
  <si>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</si>
  <si>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</si>
  <si>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</si>
  <si>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</si>
  <si>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</si>
  <si>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</si>
  <si>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</si>
  <si>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</si>
  <si>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</si>
  <si>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</si>
  <si>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</si>
  <si>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</si>
  <si>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</si>
  <si>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</si>
  <si>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</si>
  <si>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</si>
  <si>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</si>
  <si>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</si>
  <si>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</si>
  <si>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</si>
  <si>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</si>
  <si>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</si>
  <si>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</si>
  <si>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</si>
  <si>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</si>
  <si>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</si>
  <si>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</si>
  <si>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</si>
  <si>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</si>
  <si>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</si>
  <si>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</si>
  <si>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</si>
  <si>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</si>
  <si>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</si>
  <si>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</si>
  <si>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</si>
  <si>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</si>
  <si>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</si>
  <si>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</si>
  <si>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</si>
  <si>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</si>
  <si>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</si>
  <si>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</si>
  <si>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</si>
  <si>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</si>
  <si>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</si>
  <si>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</si>
  <si>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</si>
  <si>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</si>
  <si>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</si>
  <si>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</si>
  <si>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</si>
  <si>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</si>
  <si>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</si>
  <si>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</si>
  <si>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</si>
  <si>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</si>
  <si>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</si>
  <si>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</si>
  <si>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</si>
  <si>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</si>
  <si>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</si>
  <si>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</si>
  <si>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</si>
  <si>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</si>
  <si>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</si>
  <si>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</si>
  <si>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</si>
  <si>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</si>
  <si>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</si>
  <si>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</si>
  <si>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</si>
  <si>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</si>
  <si>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</si>
  <si>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</si>
  <si>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</si>
  <si>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</si>
  <si>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</si>
  <si>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</si>
  <si>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</si>
  <si>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</si>
  <si>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</si>
  <si>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</si>
  <si>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</si>
  <si>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</si>
  <si>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</si>
  <si>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</si>
  <si>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</si>
  <si>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</si>
  <si>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</si>
  <si>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</si>
  <si>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</si>
  <si>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</si>
  <si>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</si>
  <si>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</si>
  <si>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</si>
  <si>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</si>
  <si>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</si>
  <si>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</si>
  <si>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</si>
  <si>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</si>
  <si>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</si>
  <si>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</si>
  <si>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</si>
  <si>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</si>
  <si>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</si>
  <si>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</si>
  <si>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</si>
  <si>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</si>
  <si>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</si>
  <si>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</si>
  <si>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</si>
  <si>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</si>
  <si>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</si>
  <si>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</si>
  <si>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</si>
  <si>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</si>
  <si>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</si>
  <si>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</si>
  <si>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</si>
  <si>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</si>
  <si>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</si>
  <si>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</si>
  <si>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</si>
  <si>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</si>
  <si>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</si>
  <si>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</si>
  <si>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</si>
  <si>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</si>
  <si>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</si>
  <si>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</si>
  <si>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</si>
  <si>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</si>
  <si>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</si>
  <si>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</si>
  <si>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</si>
  <si>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</si>
  <si>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</si>
  <si>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</si>
  <si>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</si>
  <si>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</si>
  <si>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</si>
  <si>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</si>
  <si>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</si>
  <si>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</si>
  <si>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</si>
  <si>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</si>
  <si>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</si>
  <si>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</si>
  <si>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</si>
  <si>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</si>
  <si>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</si>
  <si>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</si>
  <si>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</si>
  <si>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</si>
  <si>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</si>
  <si>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</si>
  <si>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</si>
  <si>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</si>
  <si>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</si>
  <si>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</si>
  <si>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</si>
  <si>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</si>
  <si>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</si>
  <si>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</si>
  <si>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</si>
  <si>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</si>
  <si>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</si>
  <si>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</si>
  <si>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</si>
  <si>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</si>
  <si>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</si>
  <si>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</si>
  <si>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</si>
  <si>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</si>
  <si>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</si>
  <si>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</si>
  <si>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</si>
  <si>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</si>
  <si>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</si>
  <si>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</si>
  <si>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</si>
  <si>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</si>
  <si>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</si>
  <si>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</si>
  <si>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</si>
  <si>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</si>
  <si>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</si>
  <si>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</si>
  <si>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</si>
  <si>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</si>
  <si>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</si>
  <si>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</si>
  <si>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</si>
  <si>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</si>
  <si>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</si>
  <si>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</si>
  <si>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</si>
  <si>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</si>
  <si>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</si>
  <si>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</si>
  <si>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</si>
  <si>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</si>
  <si>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</si>
  <si>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</si>
  <si>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</si>
  <si>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</si>
  <si>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</si>
  <si>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</si>
  <si>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</si>
  <si>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</si>
  <si>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</si>
  <si>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</si>
  <si>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</si>
  <si>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</si>
  <si>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</si>
  <si>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</si>
  <si>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</si>
  <si>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</si>
  <si>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</si>
  <si>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</si>
  <si>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</si>
  <si>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</si>
  <si>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</si>
  <si>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</si>
  <si>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</si>
  <si>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</si>
  <si>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</si>
  <si>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</si>
  <si>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</si>
  <si>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</si>
  <si>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</si>
  <si>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</si>
  <si>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</si>
  <si>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</si>
  <si>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</si>
  <si>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</si>
  <si>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</si>
  <si>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</si>
  <si>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</si>
  <si>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</si>
  <si>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</si>
  <si>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</si>
  <si>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</si>
  <si>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</si>
  <si>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</si>
  <si>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</si>
  <si>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</si>
  <si>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</si>
  <si>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</si>
  <si>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</si>
  <si>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</si>
  <si>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</si>
  <si>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</si>
  <si>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</si>
  <si>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</si>
  <si>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</si>
  <si>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</si>
  <si>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</si>
  <si>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</si>
  <si>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</si>
  <si>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</si>
  <si>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</si>
  <si>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</si>
  <si>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</si>
  <si>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</si>
  <si>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</si>
  <si>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</si>
  <si>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</si>
  <si>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</si>
  <si>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</si>
  <si>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</si>
  <si>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</si>
  <si>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</si>
  <si>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</si>
  <si>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</si>
  <si>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</si>
  <si>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</si>
  <si>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</si>
  <si>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</si>
  <si>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</si>
  <si>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</si>
  <si>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</si>
  <si>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</si>
  <si>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</si>
  <si>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</si>
  <si>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</si>
  <si>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</si>
  <si>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</si>
  <si>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</si>
  <si>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</si>
  <si>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</si>
  <si>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</si>
  <si>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</si>
  <si>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</si>
  <si>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</si>
  <si>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</si>
  <si>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</si>
  <si>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</si>
  <si>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</si>
  <si>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</si>
  <si>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</si>
  <si>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</si>
  <si>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</si>
  <si>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</si>
  <si>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</si>
  <si>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</si>
  <si>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</si>
  <si>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</si>
  <si>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</si>
  <si>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</si>
  <si>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</si>
  <si>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</si>
  <si>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</si>
  <si>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</si>
  <si>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</si>
  <si>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</si>
  <si>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</si>
  <si>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</si>
  <si>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</si>
  <si>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</si>
  <si>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</si>
  <si>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</si>
  <si>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</si>
  <si>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</si>
  <si>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</si>
  <si>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</si>
  <si>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</si>
  <si>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</si>
  <si>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</si>
  <si>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</si>
  <si>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</si>
  <si>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</si>
  <si>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</si>
  <si>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</si>
  <si>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</si>
  <si>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</si>
  <si>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</si>
  <si>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</si>
  <si>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</si>
  <si>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</si>
  <si>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</si>
  <si>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</si>
  <si>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</si>
  <si>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</si>
  <si>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</si>
  <si>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</si>
  <si>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</si>
  <si>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</si>
  <si>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</si>
  <si>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</si>
  <si>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</si>
  <si>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</si>
  <si>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</si>
  <si>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</si>
  <si>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</si>
  <si>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</si>
  <si>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</si>
  <si>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</si>
  <si>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</si>
  <si>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</si>
  <si>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</si>
  <si>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</si>
  <si>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</si>
  <si>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</si>
  <si>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</si>
  <si>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</si>
  <si>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</si>
  <si>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</si>
  <si>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</si>
  <si>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</si>
  <si>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</si>
  <si>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</si>
  <si>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</si>
  <si>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</si>
  <si>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</si>
  <si>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</si>
  <si>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</si>
  <si>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</si>
  <si>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</si>
  <si>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</si>
  <si>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</si>
  <si>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</si>
  <si>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</si>
  <si>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</si>
  <si>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</si>
  <si>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</si>
  <si>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</si>
  <si>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</si>
  <si>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</si>
  <si>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</si>
  <si>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</si>
  <si>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</si>
  <si>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</si>
  <si>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</si>
  <si>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</si>
  <si>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</si>
  <si>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</si>
  <si>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</si>
  <si>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</si>
  <si>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</si>
  <si>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</si>
  <si>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</si>
  <si>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</si>
  <si>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</si>
  <si>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</si>
  <si>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</si>
  <si>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</si>
  <si>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</si>
  <si>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</si>
  <si>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</si>
  <si>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</si>
  <si>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</si>
  <si>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</si>
  <si>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</si>
  <si>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</si>
  <si>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</si>
  <si>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</si>
  <si>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</si>
  <si>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</si>
  <si>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</si>
  <si>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</si>
  <si>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</si>
  <si>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</si>
  <si>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</si>
  <si>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</si>
  <si>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</si>
  <si>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</si>
  <si>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</si>
  <si>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</si>
  <si>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</si>
  <si>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</si>
  <si>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</si>
  <si>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</si>
  <si>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</si>
  <si>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</si>
  <si>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</si>
  <si>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</si>
  <si>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</si>
  <si>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</si>
  <si>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</si>
  <si>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</si>
  <si>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</si>
  <si>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</si>
  <si>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</si>
  <si>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</si>
  <si>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</si>
  <si>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</si>
  <si>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</si>
  <si>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</si>
  <si>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</si>
  <si>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</si>
  <si>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</si>
  <si>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</si>
  <si>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</si>
  <si>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</si>
  <si>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</si>
  <si>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</si>
  <si>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</si>
  <si>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</si>
  <si>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</si>
  <si>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</si>
  <si>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</si>
  <si>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</si>
  <si>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</si>
  <si>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</si>
  <si>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</si>
  <si>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</si>
  <si>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</si>
  <si>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</si>
  <si>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</si>
  <si>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</si>
  <si>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</si>
  <si>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</si>
  <si>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</si>
  <si>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</si>
  <si>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</si>
  <si>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</si>
  <si>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</si>
  <si>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</si>
  <si>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</si>
  <si>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</si>
  <si>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</si>
  <si>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</si>
  <si>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</si>
  <si>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</si>
  <si>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</si>
  <si>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</si>
  <si>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</si>
  <si>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</si>
  <si>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</si>
  <si>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</si>
  <si>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</si>
  <si>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</si>
  <si>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</si>
  <si>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</si>
  <si>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</si>
  <si>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</si>
  <si>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</si>
  <si>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</si>
  <si>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</si>
  <si>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</si>
  <si>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</si>
  <si>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</si>
  <si>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</si>
  <si>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</si>
  <si>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</si>
  <si>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</si>
  <si>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</si>
  <si>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</si>
  <si>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</si>
  <si>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</si>
  <si>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</si>
  <si>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</si>
  <si>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</si>
  <si>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</si>
  <si>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</si>
  <si>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</si>
  <si>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</si>
  <si>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</si>
  <si>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</si>
  <si>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</si>
  <si>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</si>
  <si>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</si>
  <si>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</si>
  <si>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</si>
  <si>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</si>
  <si>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</si>
  <si>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</si>
  <si>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</si>
  <si>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</si>
  <si>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</si>
  <si>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</si>
  <si>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</si>
  <si>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</si>
  <si>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</si>
  <si>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</si>
  <si>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</si>
  <si>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</si>
  <si>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</si>
  <si>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</si>
  <si>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</si>
  <si>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</si>
  <si>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</si>
  <si>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</si>
  <si>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</si>
  <si>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</si>
  <si>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</si>
  <si>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</si>
  <si>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</si>
  <si>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</si>
  <si>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</si>
  <si>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</si>
  <si>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</si>
  <si>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</si>
  <si>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</si>
  <si>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</si>
  <si>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</si>
  <si>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</si>
  <si>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</si>
  <si>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</si>
  <si>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</si>
  <si>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</si>
  <si>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</si>
  <si>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</si>
  <si>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</si>
  <si>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</si>
  <si>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</si>
  <si>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</si>
  <si>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</si>
  <si>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</si>
  <si>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</si>
  <si>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</si>
  <si>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</si>
  <si>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</si>
  <si>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</si>
  <si>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</si>
  <si>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</si>
  <si>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</si>
  <si>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</si>
  <si>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</si>
  <si>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</si>
  <si>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</si>
  <si>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</si>
  <si>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</si>
  <si>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</si>
  <si>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</si>
  <si>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</si>
  <si>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</si>
  <si>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</si>
  <si>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</si>
  <si>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</si>
  <si>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</si>
  <si>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</si>
  <si>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</si>
  <si>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</si>
  <si>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</si>
  <si>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</si>
  <si>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</si>
  <si>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</si>
  <si>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</si>
  <si>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</si>
  <si>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</si>
  <si>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</si>
  <si>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</si>
  <si>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</si>
  <si>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</si>
  <si>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</si>
  <si>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</si>
  <si>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</si>
  <si>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</si>
  <si>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</si>
  <si>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</si>
  <si>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</si>
  <si>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</si>
  <si>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</si>
  <si>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</si>
  <si>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</si>
  <si>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</si>
  <si>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</si>
  <si>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</si>
  <si>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</si>
  <si>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</si>
  <si>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</si>
  <si>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</si>
  <si>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</si>
  <si>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</si>
  <si>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</si>
  <si>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</si>
  <si>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</si>
  <si>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</si>
  <si>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</si>
  <si>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</si>
  <si>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</si>
  <si>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</si>
  <si>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</si>
  <si>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</si>
  <si>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</si>
  <si>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</si>
  <si>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</si>
  <si>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</si>
  <si>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</si>
  <si>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</si>
  <si>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</si>
  <si>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</si>
  <si>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</si>
  <si>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</si>
  <si>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</si>
  <si>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</si>
  <si>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</si>
  <si>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</si>
  <si>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</si>
  <si>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</si>
  <si>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</si>
  <si>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</si>
  <si>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</si>
  <si>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</si>
  <si>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</si>
  <si>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</si>
  <si>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</si>
  <si>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</si>
  <si>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</si>
  <si>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</si>
  <si>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</si>
  <si>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</si>
  <si>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</si>
  <si>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</si>
  <si>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</si>
  <si>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</si>
  <si>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</si>
  <si>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</si>
  <si>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</si>
  <si>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</si>
  <si>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</si>
  <si>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</si>
  <si>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</si>
  <si>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</si>
  <si>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</si>
  <si>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</si>
  <si>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</si>
  <si>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</si>
  <si>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</si>
  <si>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</si>
  <si>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</si>
  <si>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</si>
  <si>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</si>
  <si>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</si>
  <si>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</si>
  <si>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</si>
  <si>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</si>
  <si>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</si>
  <si>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</si>
  <si>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</si>
  <si>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</si>
  <si>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</si>
  <si>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</si>
  <si>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</si>
  <si>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</si>
  <si>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</si>
  <si>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</si>
  <si>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</si>
  <si>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</si>
  <si>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</si>
  <si>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</si>
  <si>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</si>
  <si>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</si>
  <si>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</si>
  <si>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</si>
  <si>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</si>
  <si>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</si>
  <si>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</si>
  <si>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</si>
  <si>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</si>
  <si>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</si>
  <si>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</si>
  <si>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</si>
  <si>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</si>
  <si>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</si>
  <si>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</si>
  <si>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</si>
  <si>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</si>
  <si>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</si>
  <si>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</si>
  <si>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</si>
  <si>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</si>
  <si>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</si>
  <si>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</si>
  <si>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</si>
  <si>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</si>
  <si>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</si>
  <si>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</si>
  <si>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</si>
  <si>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</si>
  <si>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</si>
  <si>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</si>
  <si>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</si>
  <si>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</si>
  <si>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</si>
  <si>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</si>
  <si>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</si>
  <si>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</si>
  <si>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</si>
  <si>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</si>
  <si>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</si>
  <si>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</si>
  <si>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</si>
  <si>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</si>
  <si>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</si>
  <si>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</si>
  <si>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</si>
  <si>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</si>
  <si>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</si>
  <si>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</si>
  <si>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</si>
  <si>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</si>
  <si>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</si>
  <si>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</si>
  <si>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</si>
  <si>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</si>
  <si>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</si>
  <si>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</si>
  <si>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</si>
  <si>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</si>
  <si>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</si>
  <si>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</si>
  <si>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</si>
  <si>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</si>
  <si>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</si>
  <si>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</si>
  <si>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</si>
  <si>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</si>
  <si>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</si>
  <si>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</si>
  <si>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</si>
  <si>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</si>
  <si>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</si>
  <si>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</si>
  <si>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</si>
  <si>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</si>
  <si>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</si>
  <si>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</si>
  <si>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</si>
  <si>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</si>
  <si>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</si>
  <si>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</si>
  <si>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</si>
  <si>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</si>
  <si>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</si>
  <si>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</si>
  <si>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</si>
  <si>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</si>
  <si>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</si>
  <si>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</si>
  <si>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</si>
  <si>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</si>
  <si>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</si>
  <si>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</si>
  <si>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</si>
  <si>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</si>
  <si>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</si>
  <si>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</si>
  <si>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</si>
  <si>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</si>
  <si>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</si>
  <si>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</si>
  <si>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</si>
  <si>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</si>
  <si>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</si>
  <si>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</si>
  <si>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</si>
  <si>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</si>
  <si>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</si>
  <si>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</si>
  <si>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</si>
  <si>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</si>
  <si>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</si>
  <si>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</si>
  <si>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</si>
  <si>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</si>
  <si>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</si>
  <si>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</si>
  <si>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</si>
  <si>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</si>
  <si>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</si>
  <si>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</si>
  <si>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</si>
  <si>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</si>
  <si>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</si>
  <si>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</si>
  <si>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</si>
  <si>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</si>
  <si>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</si>
  <si>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</si>
  <si>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</si>
  <si>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</si>
  <si>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</si>
  <si>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</si>
  <si>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</si>
  <si>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</si>
  <si>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</si>
  <si>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</si>
  <si>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</si>
  <si>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</si>
  <si>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</si>
  <si>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</si>
  <si>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</si>
  <si>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</si>
  <si>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</si>
  <si>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</si>
  <si>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</si>
  <si>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</si>
  <si>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</si>
  <si>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</si>
  <si>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</si>
  <si>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</si>
  <si>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</si>
  <si>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</si>
  <si>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</si>
  <si>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</si>
  <si>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</si>
  <si>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</si>
  <si>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</si>
  <si>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</si>
  <si>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</si>
  <si>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</si>
  <si>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</si>
  <si>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</si>
  <si>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</si>
  <si>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</si>
  <si>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</si>
  <si>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</si>
  <si>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</si>
  <si>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</si>
  <si>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</si>
  <si>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</si>
  <si>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</si>
  <si>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</si>
  <si>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</si>
  <si>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</si>
  <si>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</si>
  <si>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</si>
  <si>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</si>
  <si>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</si>
  <si>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</si>
  <si>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</si>
  <si>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</si>
  <si>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</si>
  <si>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</si>
  <si>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</si>
  <si>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</si>
  <si>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</si>
  <si>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</si>
  <si>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</si>
  <si>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</si>
  <si>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</si>
  <si>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</si>
  <si>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</si>
  <si>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</si>
  <si>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</si>
  <si>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</si>
  <si>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</si>
  <si>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</si>
  <si>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</si>
  <si>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</si>
  <si>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</si>
  <si>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</si>
  <si>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</si>
  <si>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</si>
  <si>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</si>
  <si>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</si>
  <si>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</si>
  <si>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</si>
  <si>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</si>
  <si>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</si>
  <si>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</si>
  <si>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</si>
  <si>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</si>
  <si>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</si>
  <si>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</si>
  <si>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</si>
  <si>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</si>
  <si>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</si>
  <si>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</si>
  <si>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</si>
  <si>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</si>
  <si>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</si>
  <si>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</si>
  <si>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</si>
  <si>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</si>
  <si>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</si>
  <si>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</si>
  <si>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</si>
  <si>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</si>
  <si>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</si>
  <si>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</si>
  <si>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</si>
  <si>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</si>
  <si>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</si>
  <si>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</si>
  <si>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</si>
  <si>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</si>
  <si>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</si>
  <si>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</si>
  <si>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</si>
  <si>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</si>
  <si>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</si>
  <si>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</si>
  <si>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</si>
  <si>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</si>
  <si>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</si>
  <si>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</si>
  <si>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</si>
  <si>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</si>
  <si>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</si>
  <si>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</si>
  <si>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</si>
  <si>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</si>
  <si>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</si>
  <si>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</si>
  <si>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</si>
  <si>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</si>
  <si>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</si>
  <si>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</si>
  <si>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</si>
  <si>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</si>
  <si>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</si>
  <si>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</si>
  <si>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</si>
  <si>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</si>
  <si>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</si>
  <si>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</si>
  <si>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</si>
  <si>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</si>
  <si>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</si>
  <si>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</si>
  <si>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</si>
  <si>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</si>
  <si>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</si>
  <si>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</si>
  <si>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</si>
  <si>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</si>
  <si>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</si>
  <si>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</si>
  <si>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</si>
  <si>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</si>
  <si>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</si>
  <si>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</si>
  <si>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</si>
  <si>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</si>
  <si>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</si>
  <si>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</si>
  <si>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</si>
  <si>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</si>
  <si>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</si>
  <si>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</si>
  <si>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</si>
  <si>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</si>
  <si>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</si>
  <si>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</si>
  <si>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</si>
  <si>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</si>
  <si>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</si>
  <si>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</si>
  <si>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</si>
  <si>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</si>
  <si>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</si>
  <si>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</si>
  <si>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</si>
  <si>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</si>
  <si>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</si>
  <si>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</si>
  <si>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</si>
  <si>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</si>
  <si>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</si>
  <si>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</si>
  <si>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</si>
  <si>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</si>
  <si>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</si>
  <si>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</si>
  <si>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</si>
  <si>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</si>
  <si>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</si>
  <si>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</si>
  <si>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</si>
  <si>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</si>
  <si>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</si>
  <si>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</si>
  <si>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</si>
  <si>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</si>
  <si>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</si>
  <si>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</si>
  <si>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</si>
  <si>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</si>
  <si>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</si>
  <si>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</si>
  <si>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</si>
  <si>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</si>
  <si>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</si>
  <si>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</si>
  <si>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</si>
  <si>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</si>
  <si>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</si>
  <si>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</si>
  <si>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</si>
  <si>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</si>
  <si>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</si>
  <si>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</si>
  <si>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</si>
  <si>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</si>
  <si>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</si>
  <si>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</si>
  <si>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</si>
  <si>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</si>
  <si>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</si>
  <si>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</si>
  <si>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</si>
  <si>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</si>
  <si>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</si>
  <si>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</si>
  <si>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</si>
  <si>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</si>
  <si>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</si>
  <si>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</si>
  <si>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</si>
  <si>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</si>
  <si>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</si>
  <si>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</si>
  <si>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</si>
  <si>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</si>
  <si>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</si>
  <si>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</si>
  <si>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</si>
  <si>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</si>
  <si>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</si>
  <si>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</si>
  <si>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</si>
  <si>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</si>
  <si>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</si>
  <si>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</si>
  <si>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</si>
  <si>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</si>
  <si>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</si>
  <si>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</si>
  <si>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</si>
  <si>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</si>
  <si>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</si>
  <si>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</si>
  <si>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</si>
  <si>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</si>
  <si>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</si>
  <si>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</si>
  <si>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</si>
  <si>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</si>
  <si>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</si>
  <si>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</si>
  <si>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</si>
  <si>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</si>
  <si>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</si>
  <si>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</si>
  <si>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</si>
  <si>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</si>
  <si>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</si>
  <si>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</si>
  <si>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</si>
  <si>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</si>
  <si>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</si>
  <si>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</si>
  <si>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</si>
  <si>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</si>
  <si>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</si>
  <si>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</si>
  <si>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</si>
  <si>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</si>
  <si>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</si>
  <si>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</si>
  <si>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</si>
  <si>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</si>
  <si>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</si>
  <si>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</si>
  <si>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</si>
  <si>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</si>
  <si>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</si>
  <si>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</si>
  <si>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</si>
  <si>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</si>
  <si>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</si>
  <si>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</si>
  <si>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</si>
  <si>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</si>
  <si>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</si>
  <si>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</si>
  <si>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</si>
  <si>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</si>
  <si>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</si>
  <si>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</si>
  <si>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</si>
  <si>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</si>
  <si>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</si>
  <si>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</si>
  <si>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</si>
  <si>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</si>
  <si>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</si>
  <si>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</si>
  <si>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</si>
  <si>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</si>
  <si>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</si>
  <si>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</si>
  <si>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</si>
  <si>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</si>
  <si>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</si>
  <si>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</si>
  <si>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</si>
  <si>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</si>
  <si>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</si>
  <si>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</si>
  <si>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</si>
  <si>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</si>
  <si>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</si>
  <si>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</si>
  <si>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</si>
  <si>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</si>
  <si>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</si>
  <si>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</si>
  <si>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</si>
  <si>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</si>
  <si>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</si>
  <si>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</si>
  <si>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</si>
  <si>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</si>
  <si>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</si>
  <si>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</si>
  <si>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</si>
  <si>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</si>
  <si>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</si>
  <si>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</si>
  <si>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</si>
  <si>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</si>
  <si>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</si>
  <si>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</si>
  <si>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</si>
  <si>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</si>
  <si>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</si>
  <si>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</si>
  <si>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</si>
  <si>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</si>
  <si>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</si>
  <si>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</si>
  <si>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</si>
  <si>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</si>
  <si>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</si>
  <si>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</si>
  <si>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</si>
  <si>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</si>
  <si>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</si>
  <si>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</si>
  <si>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</si>
  <si>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</si>
  <si>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</si>
  <si>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</si>
  <si>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</si>
  <si>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</si>
  <si>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</si>
  <si>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</si>
  <si>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</si>
  <si>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</si>
  <si>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</si>
  <si>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</si>
  <si>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</si>
  <si>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</si>
  <si>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</si>
  <si>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</si>
  <si>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</si>
  <si>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</si>
  <si>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</si>
  <si>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</si>
  <si>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</si>
  <si>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</si>
  <si>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</si>
  <si>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</si>
  <si>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</si>
  <si>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</si>
  <si>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</si>
  <si>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</si>
  <si>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</si>
  <si>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</si>
  <si>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</si>
  <si>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</si>
  <si>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</si>
  <si>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</si>
  <si>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</si>
  <si>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</si>
  <si>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</si>
  <si>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</si>
  <si>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</si>
  <si>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</si>
  <si>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</si>
  <si>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</si>
  <si>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</si>
  <si>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</si>
  <si>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</si>
  <si>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</si>
  <si>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</si>
  <si>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</si>
  <si>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</si>
  <si>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</si>
  <si>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</si>
  <si>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</si>
  <si>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</si>
  <si>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</si>
  <si>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</si>
  <si>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</si>
  <si>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</si>
  <si>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</si>
  <si>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</si>
  <si>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</si>
  <si>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</si>
  <si>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</si>
  <si>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</si>
  <si>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</si>
  <si>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</si>
  <si>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</si>
  <si>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</si>
  <si>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</si>
  <si>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</si>
  <si>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</si>
  <si>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</si>
  <si>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</si>
  <si>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</si>
  <si>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</si>
  <si>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</si>
  <si>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</si>
  <si>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</si>
  <si>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</si>
  <si>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</si>
  <si>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</si>
  <si>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</si>
  <si>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</si>
  <si>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</si>
  <si>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</si>
  <si>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</si>
  <si>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</si>
  <si>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</si>
  <si>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</si>
  <si>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</si>
  <si>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</si>
  <si>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</si>
  <si>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</si>
  <si>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</si>
  <si>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</si>
  <si>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</si>
  <si>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</si>
  <si>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</si>
  <si>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</si>
  <si>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</si>
  <si>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</si>
  <si>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</si>
  <si>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</si>
  <si>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</si>
  <si>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</si>
  <si>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</si>
  <si>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</si>
  <si>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</si>
  <si>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</si>
  <si>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</si>
  <si>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</si>
  <si>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</si>
  <si>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</si>
  <si>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</si>
  <si>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</si>
  <si>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</si>
  <si>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</si>
  <si>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</si>
  <si>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</si>
  <si>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</si>
  <si>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</si>
  <si>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</si>
  <si>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</si>
  <si>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</si>
  <si>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</si>
  <si>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</si>
  <si>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</si>
  <si>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</si>
  <si>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</si>
  <si>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</si>
  <si>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</si>
  <si>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</si>
  <si>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</si>
  <si>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</si>
  <si>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</si>
  <si>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</si>
  <si>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</si>
  <si>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</si>
  <si>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</si>
  <si>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</si>
  <si>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</si>
  <si>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</si>
  <si>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</si>
  <si>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</si>
  <si>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</si>
  <si>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</si>
  <si>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</si>
  <si>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</si>
  <si>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</si>
  <si>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</si>
  <si>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</si>
  <si>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</si>
  <si>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</si>
  <si>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</si>
  <si>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</si>
  <si>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</si>
  <si>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</si>
  <si>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</si>
  <si>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</si>
  <si>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</si>
  <si>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</si>
  <si>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</si>
  <si>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</si>
  <si>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</si>
  <si>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</si>
  <si>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</si>
  <si>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</si>
  <si>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</si>
  <si>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</si>
  <si>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</si>
  <si>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</si>
  <si>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</si>
  <si>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</si>
  <si>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</si>
  <si>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</si>
  <si>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</si>
  <si>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</si>
  <si>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</si>
  <si>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</si>
  <si>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</si>
  <si>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</si>
  <si>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</si>
  <si>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</si>
  <si>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</si>
  <si>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</si>
  <si>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</si>
  <si>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</si>
  <si>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</si>
  <si>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</si>
  <si>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</si>
  <si>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</si>
  <si>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</si>
  <si>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</si>
  <si>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</si>
  <si>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</si>
  <si>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</si>
  <si>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</si>
  <si>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</si>
  <si>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</si>
  <si>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</si>
  <si>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</si>
  <si>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</si>
  <si>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</si>
  <si>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</si>
  <si>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</si>
  <si>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</si>
  <si>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</si>
  <si>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</si>
  <si>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</si>
  <si>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</si>
  <si>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</si>
  <si>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</si>
  <si>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</si>
  <si>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</si>
  <si>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</si>
  <si>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</si>
  <si>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</si>
  <si>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</si>
  <si>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</si>
  <si>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</si>
  <si>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</si>
  <si>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</si>
  <si>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</si>
  <si>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</si>
  <si>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</si>
  <si>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</si>
  <si>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</si>
  <si>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</si>
  <si>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</si>
  <si>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</si>
  <si>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</si>
  <si>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</si>
  <si>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</si>
  <si>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</si>
  <si>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</si>
  <si>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</si>
  <si>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</si>
  <si>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</si>
  <si>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</si>
  <si>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</si>
  <si>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</si>
  <si>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</si>
  <si>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</si>
  <si>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</si>
  <si>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</si>
  <si>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</si>
  <si>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</si>
  <si>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</si>
  <si>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</si>
  <si>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</si>
  <si>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</si>
  <si>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</si>
  <si>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</si>
  <si>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</si>
  <si>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</si>
  <si>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</si>
  <si>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</si>
  <si>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</si>
  <si>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</si>
  <si>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</si>
  <si>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</si>
  <si>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</si>
  <si>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</si>
  <si>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</si>
  <si>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</si>
  <si>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</si>
  <si>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</si>
  <si>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</si>
  <si>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</si>
  <si>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</si>
  <si>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</si>
  <si>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</si>
  <si>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</si>
  <si>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</si>
  <si>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</si>
  <si>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</si>
  <si>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</si>
  <si>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</si>
  <si>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</si>
  <si>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</si>
  <si>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</si>
  <si>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</si>
  <si>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</si>
  <si>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</si>
  <si>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</si>
  <si>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</si>
  <si>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</si>
  <si>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</si>
  <si>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</si>
  <si>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</si>
  <si>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</si>
  <si>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</si>
  <si>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</si>
  <si>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</si>
  <si>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</si>
  <si>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</si>
  <si>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</si>
  <si>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</si>
  <si>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</si>
  <si>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</si>
  <si>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</si>
  <si>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</si>
  <si>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</si>
  <si>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</si>
  <si>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</si>
  <si>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</si>
  <si>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</si>
  <si>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</si>
  <si>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</si>
  <si>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</si>
  <si>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</si>
  <si>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</si>
  <si>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</si>
  <si>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</si>
  <si>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</si>
  <si>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</si>
  <si>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</si>
  <si>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</si>
  <si>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</si>
  <si>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</si>
  <si>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</si>
  <si>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</si>
  <si>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</si>
  <si>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</si>
  <si>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</si>
  <si>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</si>
  <si>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</si>
  <si>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</si>
  <si>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</si>
  <si>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</si>
  <si>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</si>
  <si>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</si>
  <si>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</si>
  <si>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</si>
  <si>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</si>
  <si>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</si>
  <si>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</si>
  <si>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</si>
  <si>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</si>
  <si>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</si>
  <si>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</si>
  <si>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</si>
  <si>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</si>
  <si>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</si>
  <si>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</si>
  <si>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</si>
  <si>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</si>
  <si>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</si>
  <si>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</si>
  <si>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</si>
  <si>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</si>
  <si>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</si>
  <si>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</si>
  <si>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</si>
  <si>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</si>
  <si>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</si>
  <si>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</si>
  <si>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</si>
  <si>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</si>
  <si>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</si>
  <si>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</si>
  <si>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</si>
  <si>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</si>
  <si>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</si>
  <si>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</si>
  <si>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</si>
  <si>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</si>
  <si>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</si>
  <si>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</si>
  <si>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</si>
  <si>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</si>
  <si>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</si>
  <si>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</si>
  <si>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</si>
  <si>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</si>
  <si>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</si>
  <si>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</si>
  <si>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</si>
  <si>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</si>
  <si>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</si>
  <si>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</si>
  <si>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</si>
  <si>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</si>
  <si>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</si>
  <si>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</si>
  <si>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</si>
  <si>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</si>
  <si>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</si>
  <si>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</si>
  <si>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</si>
  <si>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</si>
  <si>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</si>
  <si>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</si>
  <si>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</si>
  <si>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</si>
  <si>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</si>
  <si>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</si>
  <si>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</si>
  <si>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</si>
  <si>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</si>
  <si>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</si>
  <si>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</si>
  <si>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</si>
  <si>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</si>
  <si>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</si>
  <si>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</si>
  <si>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</si>
  <si>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</si>
  <si>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</si>
  <si>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</si>
  <si>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</si>
  <si>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</si>
  <si>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</si>
  <si>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</si>
  <si>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</si>
  <si>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</si>
  <si>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</si>
  <si>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</si>
  <si>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</si>
  <si>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</si>
  <si>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</si>
  <si>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</si>
  <si>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</si>
  <si>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</si>
  <si>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</si>
  <si>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</si>
  <si>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</si>
  <si>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</si>
  <si>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</si>
  <si>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</si>
  <si>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</si>
  <si>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</si>
  <si>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</si>
  <si>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</si>
  <si>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</si>
  <si>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</si>
  <si>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</si>
  <si>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</si>
  <si>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</si>
  <si>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</si>
  <si>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</si>
  <si>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</si>
  <si>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</si>
  <si>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</si>
  <si>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</si>
  <si>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</si>
  <si>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</si>
  <si>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</si>
  <si>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</si>
  <si>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</si>
  <si>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</si>
  <si>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</si>
  <si>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</si>
  <si>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</si>
  <si>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</si>
  <si>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</si>
  <si>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</si>
  <si>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</si>
  <si>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</si>
  <si>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</si>
  <si>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</si>
  <si>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</si>
  <si>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</si>
  <si>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</si>
  <si>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</si>
  <si>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</si>
  <si>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</si>
  <si>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</si>
  <si>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</si>
  <si>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</si>
  <si>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</si>
  <si>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</si>
  <si>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</si>
  <si>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</si>
  <si>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</si>
  <si>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</si>
  <si>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</si>
  <si>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</si>
  <si>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</si>
  <si>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</si>
  <si>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</si>
  <si>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</si>
  <si>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</si>
  <si>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</si>
  <si>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</si>
  <si>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</si>
  <si>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</si>
  <si>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</si>
  <si>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</si>
  <si>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</si>
  <si>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</si>
  <si>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</si>
  <si>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</si>
  <si>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</si>
  <si>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</si>
  <si>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</si>
  <si>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</si>
  <si>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</si>
  <si>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</si>
  <si>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</si>
  <si>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</si>
  <si>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</si>
  <si>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</si>
  <si>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</si>
  <si>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</si>
  <si>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</si>
  <si>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</si>
  <si>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</si>
  <si>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</si>
  <si>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</si>
  <si>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</si>
  <si>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</si>
  <si>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</si>
  <si>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</si>
  <si>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</si>
  <si>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</si>
  <si>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</si>
  <si>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</si>
  <si>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</si>
  <si>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</si>
  <si>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</si>
  <si>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</si>
  <si>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</si>
  <si>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</si>
  <si>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</si>
  <si>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</si>
  <si>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</si>
  <si>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</si>
  <si>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</si>
  <si>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</si>
  <si>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</si>
  <si>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</si>
  <si>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</si>
  <si>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</si>
  <si>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</si>
  <si>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</si>
  <si>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</si>
  <si>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</si>
  <si>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</si>
  <si>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</si>
  <si>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</si>
  <si>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</si>
  <si>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</si>
  <si>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</si>
  <si>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</si>
  <si>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</si>
  <si>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</si>
  <si>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</si>
  <si>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</si>
  <si>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</si>
  <si>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</si>
  <si>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</si>
  <si>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</si>
  <si>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</si>
  <si>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</si>
  <si>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</si>
  <si>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</si>
  <si>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</si>
  <si>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</si>
  <si>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</si>
  <si>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</si>
  <si>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</si>
  <si>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</si>
  <si>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</si>
  <si>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</si>
  <si>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</si>
  <si>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</si>
  <si>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</si>
  <si>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</si>
  <si>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</si>
  <si>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</si>
  <si>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</si>
  <si>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</si>
  <si>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</si>
  <si>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</si>
  <si>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</si>
  <si>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</si>
  <si>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</si>
  <si>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</si>
  <si>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</si>
  <si>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</si>
  <si>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</si>
  <si>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</si>
  <si>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</si>
  <si>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</si>
  <si>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</si>
  <si>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</si>
  <si>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</si>
  <si>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</si>
  <si>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</si>
  <si>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</si>
  <si>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</si>
  <si>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</si>
  <si>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</si>
  <si>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</si>
  <si>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</si>
  <si>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</si>
  <si>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</si>
  <si>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</si>
  <si>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</si>
  <si>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</si>
  <si>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</si>
  <si>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</si>
  <si>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</si>
  <si>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</si>
  <si>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</si>
  <si>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</si>
  <si>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</si>
  <si>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</si>
  <si>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</si>
  <si>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</si>
  <si>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</si>
  <si>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</si>
  <si>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</si>
  <si>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</si>
  <si>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</si>
  <si>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</si>
  <si>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</si>
  <si>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</si>
  <si>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</si>
  <si>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</si>
  <si>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</si>
  <si>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</si>
  <si>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</si>
  <si>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</si>
  <si>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</si>
  <si>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</si>
  <si>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</si>
  <si>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</si>
  <si>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</si>
  <si>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</si>
  <si>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</si>
  <si>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</si>
  <si>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</si>
  <si>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</si>
  <si>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</si>
  <si>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</si>
  <si>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</si>
  <si>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</si>
  <si>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</si>
  <si>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</si>
  <si>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</si>
  <si>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</si>
  <si>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</si>
  <si>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</si>
  <si>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</si>
  <si>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</si>
  <si>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</si>
  <si>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</si>
  <si>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</si>
  <si>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</si>
  <si>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</si>
  <si>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</si>
  <si>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</si>
  <si>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</si>
  <si>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</si>
  <si>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</si>
  <si>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</si>
  <si>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</si>
  <si>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</si>
  <si>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</si>
  <si>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</si>
  <si>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</si>
  <si>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</si>
  <si>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</si>
  <si>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</si>
  <si>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</si>
  <si>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</si>
  <si>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</si>
  <si>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</si>
  <si>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</si>
  <si>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</si>
  <si>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</si>
  <si>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</si>
  <si>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</si>
  <si>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</si>
  <si>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</si>
  <si>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</si>
  <si>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</si>
  <si>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</si>
  <si>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</si>
  <si>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</si>
  <si>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</si>
  <si>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</si>
  <si>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</si>
  <si>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</si>
  <si>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</si>
  <si>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</si>
  <si>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</si>
  <si>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</si>
  <si>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</si>
  <si>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</si>
  <si>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</si>
  <si>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</si>
  <si>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</si>
  <si>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</si>
  <si>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</si>
  <si>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</si>
  <si>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</si>
  <si>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</si>
  <si>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</si>
  <si>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</si>
  <si>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</si>
  <si>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</si>
  <si>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</si>
  <si>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</si>
  <si>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</si>
  <si>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</si>
  <si>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</si>
  <si>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</si>
  <si>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</si>
  <si>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</si>
  <si>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</si>
  <si>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</si>
  <si>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</si>
  <si>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</si>
  <si>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</si>
  <si>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</si>
  <si>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</si>
  <si>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</si>
  <si>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</si>
  <si>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</si>
  <si>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</si>
  <si>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</si>
  <si>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</si>
  <si>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</si>
  <si>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</si>
  <si>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</si>
  <si>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</si>
  <si>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</si>
  <si>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</si>
  <si>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</si>
  <si>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</si>
  <si>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</si>
  <si>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</si>
  <si>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</si>
  <si>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</si>
  <si>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</si>
  <si>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</si>
  <si>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</si>
  <si>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</si>
  <si>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</si>
  <si>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</si>
  <si>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</si>
  <si>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</si>
  <si>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</si>
  <si>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</si>
  <si>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</si>
  <si>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</si>
  <si>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</si>
  <si>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</si>
  <si>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</si>
  <si>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</si>
  <si>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</si>
  <si>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</si>
  <si>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</si>
  <si>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</si>
  <si>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</si>
  <si>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</si>
  <si>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</si>
  <si>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</si>
  <si>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</si>
  <si>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</si>
  <si>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</si>
  <si>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</si>
  <si>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</si>
  <si>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</si>
  <si>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</si>
  <si>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</si>
  <si>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</si>
  <si>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</si>
  <si>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</si>
  <si>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</si>
  <si>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</si>
  <si>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</si>
  <si>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</si>
  <si>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</si>
  <si>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</si>
  <si>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</si>
  <si>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</si>
  <si>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</si>
  <si>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</si>
  <si>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</si>
  <si>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</si>
  <si>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</si>
  <si>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</si>
  <si>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</si>
  <si>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</si>
  <si>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</si>
  <si>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</si>
  <si>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</si>
  <si>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</si>
  <si>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</si>
  <si>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</si>
  <si>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</si>
  <si>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</si>
  <si>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</si>
  <si>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</si>
  <si>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</si>
  <si>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</si>
  <si>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</si>
  <si>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</si>
  <si>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</si>
  <si>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</si>
  <si>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</si>
  <si>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</si>
  <si>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</si>
  <si>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</si>
  <si>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</si>
  <si>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</si>
  <si>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</si>
  <si>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</si>
  <si>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</si>
  <si>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</si>
  <si>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</si>
  <si>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</si>
  <si>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</si>
  <si>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</si>
  <si>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</si>
  <si>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</si>
  <si>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</si>
  <si>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</si>
  <si>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</si>
  <si>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</si>
  <si>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</si>
  <si>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</si>
  <si>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</si>
  <si>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</si>
  <si>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</si>
  <si>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</si>
  <si>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</si>
  <si>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</si>
  <si>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</si>
  <si>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</si>
  <si>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</si>
  <si>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</si>
  <si>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</si>
  <si>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</si>
  <si>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</si>
  <si>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</si>
  <si>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</si>
  <si>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</si>
  <si>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</si>
  <si>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</si>
  <si>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</si>
  <si>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</si>
  <si>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</si>
  <si>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</si>
  <si>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</si>
  <si>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</si>
  <si>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</si>
  <si>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</si>
  <si>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</si>
  <si>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</si>
  <si>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</si>
  <si>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</si>
  <si>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</si>
  <si>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</si>
  <si>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</si>
  <si>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</si>
  <si>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</si>
  <si>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</si>
  <si>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</si>
  <si>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</si>
  <si>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</si>
  <si>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</si>
  <si>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</si>
  <si>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</si>
  <si>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</si>
  <si>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</si>
  <si>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</si>
  <si>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</si>
  <si>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</si>
  <si>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</si>
  <si>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</si>
  <si>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</si>
  <si>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</si>
  <si>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</si>
  <si>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</si>
  <si>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</si>
  <si>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</si>
  <si>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</si>
  <si>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</si>
  <si>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</si>
  <si>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</si>
  <si>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</si>
  <si>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</si>
  <si>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</si>
  <si>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</si>
  <si>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</si>
  <si>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</si>
  <si>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</si>
  <si>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</si>
  <si>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</si>
  <si>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</si>
  <si>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</si>
  <si>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</si>
  <si>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</si>
  <si>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</si>
  <si>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</si>
  <si>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</si>
  <si>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</si>
  <si>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</si>
  <si>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</si>
  <si>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</si>
  <si>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</si>
  <si>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</si>
  <si>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</si>
  <si>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</si>
  <si>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</si>
  <si>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</si>
  <si>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</si>
  <si>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</si>
  <si>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</si>
  <si>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</si>
  <si>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</si>
  <si>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</si>
  <si>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</si>
  <si>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</si>
  <si>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</si>
  <si>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</si>
  <si>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</si>
  <si>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</si>
  <si>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</si>
  <si>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</si>
  <si>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</si>
  <si>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</si>
  <si>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</si>
  <si>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</si>
  <si>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</si>
  <si>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</si>
  <si>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</si>
  <si>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</si>
  <si>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</si>
  <si>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</si>
  <si>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</si>
  <si>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</si>
  <si>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</si>
  <si>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</si>
  <si>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</si>
  <si>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</si>
  <si>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</si>
  <si>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</si>
  <si>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</si>
  <si>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</si>
  <si>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</si>
  <si>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</si>
  <si>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</si>
  <si>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</si>
  <si>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</si>
  <si>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</si>
  <si>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</si>
  <si>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</si>
  <si>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</si>
  <si>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</si>
  <si>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</si>
  <si>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</si>
  <si>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</si>
  <si>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</si>
  <si>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</si>
  <si>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</si>
  <si>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</si>
  <si>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</si>
  <si>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</si>
  <si>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</si>
  <si>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</si>
  <si>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</si>
  <si>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</si>
  <si>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</si>
  <si>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</si>
  <si>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</si>
  <si>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</si>
  <si>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</si>
  <si>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</si>
  <si>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</si>
  <si>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</si>
  <si>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</si>
  <si>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</si>
  <si>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</si>
  <si>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</si>
  <si>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</si>
  <si>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</si>
  <si>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</si>
  <si>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</si>
  <si>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</si>
  <si>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</si>
  <si>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</si>
  <si>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</si>
  <si>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</si>
  <si>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</si>
  <si>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</si>
  <si>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</si>
  <si>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</si>
  <si>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</si>
  <si>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</si>
  <si>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</si>
  <si>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</si>
  <si>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</si>
  <si>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</si>
  <si>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</si>
  <si>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</si>
  <si>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</si>
  <si>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</si>
  <si>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</si>
  <si>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</si>
  <si>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</si>
  <si>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</si>
  <si>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</si>
  <si>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</si>
  <si>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</si>
  <si>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</si>
  <si>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</si>
  <si>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</si>
  <si>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</si>
  <si>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</si>
  <si>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</si>
  <si>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</si>
  <si>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</si>
  <si>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</si>
  <si>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</si>
  <si>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</si>
  <si>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</si>
  <si>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</si>
  <si>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</si>
  <si>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</si>
  <si>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</si>
  <si>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</si>
  <si>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</si>
  <si>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</si>
  <si>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</si>
  <si>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</si>
  <si>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</si>
  <si>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</si>
  <si>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</si>
  <si>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</si>
  <si>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</si>
  <si>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</si>
  <si>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</si>
  <si>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</si>
  <si>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</si>
  <si>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</si>
  <si>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</si>
  <si>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</si>
  <si>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</si>
  <si>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</si>
  <si>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</si>
  <si>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</si>
  <si>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</si>
  <si>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</si>
  <si>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</si>
  <si>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</si>
  <si>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</si>
  <si>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</si>
  <si>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</si>
  <si>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</si>
  <si>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</si>
  <si>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</si>
  <si>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</si>
  <si>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</si>
  <si>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</si>
  <si>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</si>
  <si>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</si>
  <si>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</si>
  <si>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</si>
  <si>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</si>
  <si>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</si>
  <si>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</si>
  <si>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</si>
  <si>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</si>
  <si>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</si>
  <si>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</si>
  <si>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</si>
  <si>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</si>
  <si>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</si>
  <si>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</si>
  <si>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</si>
  <si>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</si>
  <si>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</si>
  <si>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</si>
  <si>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</si>
  <si>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</si>
  <si>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</si>
  <si>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</si>
  <si>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</si>
  <si>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</si>
  <si>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</si>
  <si>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</si>
  <si>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</si>
  <si>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</si>
  <si>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</si>
  <si>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</si>
  <si>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</si>
  <si>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</si>
  <si>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</si>
  <si>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</si>
  <si>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</si>
  <si>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</si>
  <si>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</si>
  <si>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</si>
  <si>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</si>
  <si>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</si>
  <si>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</si>
  <si>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</si>
  <si>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</si>
  <si>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</si>
  <si>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</si>
  <si>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</si>
  <si>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</si>
  <si>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</si>
  <si>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</si>
  <si>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</si>
  <si>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</si>
  <si>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</si>
  <si>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</si>
  <si>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</si>
  <si>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</si>
  <si>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</si>
  <si>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</si>
  <si>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</si>
  <si>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</si>
  <si>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</si>
  <si>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</si>
  <si>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</si>
  <si>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</si>
  <si>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</si>
  <si>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</si>
  <si>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</si>
  <si>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</si>
  <si>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</si>
  <si>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</si>
  <si>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</si>
  <si>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</si>
  <si>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</si>
  <si>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</si>
  <si>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</si>
  <si>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</si>
  <si>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</si>
  <si>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</si>
  <si>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</si>
  <si>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</si>
  <si>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</si>
  <si>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</si>
  <si>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</si>
  <si>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</si>
  <si>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</si>
  <si>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</si>
  <si>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</si>
  <si>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</si>
  <si>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</si>
  <si>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</si>
  <si>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</si>
  <si>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</si>
  <si>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</si>
  <si>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</si>
  <si>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</si>
  <si>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</si>
  <si>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</si>
  <si>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</si>
  <si>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</si>
  <si>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</si>
  <si>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</si>
  <si>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</si>
  <si>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</si>
  <si>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</si>
  <si>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</si>
  <si>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</si>
  <si>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</si>
  <si>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</si>
  <si>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</si>
  <si>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</si>
  <si>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</si>
  <si>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</si>
  <si>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</si>
  <si>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</si>
  <si>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</si>
  <si>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</si>
  <si>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</si>
  <si>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</si>
  <si>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</si>
  <si>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</si>
  <si>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</si>
  <si>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</si>
  <si>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</si>
  <si>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</si>
  <si>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</si>
  <si>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</si>
  <si>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</si>
  <si>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</si>
  <si>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</si>
  <si>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</si>
  <si>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</si>
  <si>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</si>
  <si>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</si>
  <si>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</si>
  <si>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</si>
  <si>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</si>
  <si>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</si>
  <si>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</si>
  <si>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</si>
  <si>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</si>
  <si>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</si>
  <si>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</si>
  <si>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</si>
  <si>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</si>
  <si>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</si>
  <si>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</si>
  <si>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</si>
  <si>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</si>
  <si>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</si>
  <si>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</si>
  <si>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</si>
  <si>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</si>
  <si>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</si>
  <si>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</si>
  <si>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</si>
  <si>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</si>
  <si>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</si>
  <si>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</si>
  <si>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</si>
  <si>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</si>
  <si>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</si>
  <si>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</si>
  <si>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</si>
  <si>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</si>
  <si>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</si>
  <si>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</si>
  <si>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</si>
  <si>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</si>
  <si>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</si>
  <si>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</si>
  <si>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</si>
  <si>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</si>
  <si>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</si>
  <si>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</si>
  <si>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</si>
  <si>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</si>
  <si>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</si>
  <si>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</si>
  <si>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</si>
  <si>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</si>
  <si>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</si>
  <si>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</si>
  <si>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</si>
  <si>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</si>
  <si>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</si>
  <si>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</si>
  <si>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</si>
  <si>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</si>
  <si>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</si>
  <si>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</si>
  <si>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</si>
  <si>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</si>
  <si>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</si>
  <si>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</si>
  <si>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</si>
  <si>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</si>
  <si>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</si>
  <si>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</si>
  <si>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</si>
  <si>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</si>
  <si>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</si>
  <si>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</si>
  <si>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</si>
  <si>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</si>
  <si>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</si>
  <si>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</si>
  <si>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</si>
  <si>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</si>
  <si>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</si>
  <si>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</si>
  <si>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</si>
  <si>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</si>
  <si>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</si>
  <si>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</si>
  <si>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</si>
  <si>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</si>
  <si>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</si>
  <si>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</si>
  <si>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</si>
  <si>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</si>
  <si>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</si>
  <si>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</si>
  <si>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</si>
  <si>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</si>
  <si>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</si>
  <si>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</si>
  <si>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</si>
  <si>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</si>
  <si>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</si>
  <si>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</si>
  <si>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</si>
  <si>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</si>
  <si>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</si>
  <si>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</si>
  <si>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</si>
  <si>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</si>
  <si>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</si>
  <si>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</si>
  <si>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</si>
  <si>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</si>
  <si>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</si>
  <si>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</si>
  <si>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</si>
  <si>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</si>
  <si>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</si>
  <si>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</si>
  <si>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</si>
  <si>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</si>
  <si>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</si>
  <si>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</si>
  <si>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</si>
  <si>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</si>
  <si>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</si>
  <si>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</si>
  <si>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</si>
  <si>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</si>
  <si>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</si>
  <si>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</si>
  <si>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</si>
  <si>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</si>
  <si>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</si>
  <si>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</si>
  <si>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</si>
  <si>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</si>
  <si>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</si>
  <si>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</si>
  <si>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</si>
  <si>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</si>
  <si>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</si>
  <si>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</si>
  <si>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</si>
  <si>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</si>
  <si>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</si>
  <si>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</si>
  <si>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</si>
  <si>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</si>
  <si>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</si>
  <si>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</si>
  <si>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</si>
  <si>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</si>
  <si>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</si>
  <si>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</si>
  <si>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</si>
  <si>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</si>
  <si>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</si>
  <si>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</si>
  <si>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</si>
  <si>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</si>
  <si>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</si>
  <si>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</si>
  <si>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</si>
  <si>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</si>
  <si>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</si>
  <si>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</si>
  <si>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</si>
  <si>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</si>
  <si>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</si>
  <si>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</si>
  <si>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</si>
  <si>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</si>
  <si>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</si>
  <si>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</si>
  <si>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</si>
  <si>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</si>
  <si>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</si>
  <si>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</si>
  <si>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</si>
  <si>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</si>
  <si>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</si>
  <si>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</si>
  <si>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</si>
  <si>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</si>
  <si>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</si>
  <si>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</si>
  <si>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</si>
  <si>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</si>
  <si>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</si>
  <si>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</si>
  <si>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</si>
  <si>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</si>
  <si>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</si>
  <si>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</si>
  <si>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</si>
  <si>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</si>
  <si>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</si>
  <si>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</si>
  <si>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</si>
  <si>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</si>
  <si>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</si>
  <si>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</si>
  <si>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</si>
  <si>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</si>
  <si>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</si>
  <si>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</si>
  <si>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</si>
  <si>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</si>
  <si>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</si>
  <si>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</si>
  <si>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</si>
  <si>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</si>
  <si>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</si>
  <si>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</si>
  <si>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</si>
  <si>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</si>
  <si>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</si>
  <si>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</si>
  <si>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</si>
  <si>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</si>
  <si>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</si>
  <si>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</si>
  <si>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</si>
  <si>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</si>
  <si>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</si>
  <si>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</si>
  <si>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</si>
  <si>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</si>
  <si>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</si>
  <si>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</si>
  <si>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</si>
  <si>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</si>
  <si>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</si>
  <si>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</si>
  <si>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</si>
  <si>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</si>
  <si>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</si>
  <si>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</si>
  <si>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</si>
  <si>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</si>
  <si>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</si>
  <si>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</si>
  <si>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</si>
  <si>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</si>
  <si>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</si>
  <si>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</si>
  <si>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</si>
  <si>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</si>
  <si>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</si>
  <si>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</si>
  <si>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</si>
  <si>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</si>
  <si>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</si>
  <si>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</si>
  <si>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</si>
  <si>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</si>
  <si>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</si>
  <si>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</si>
  <si>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</si>
  <si>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</si>
  <si>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</si>
  <si>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</si>
  <si>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</si>
  <si>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</si>
  <si>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</si>
  <si>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</si>
  <si>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</si>
  <si>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</si>
  <si>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</si>
  <si>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</si>
  <si>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</si>
  <si>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</si>
  <si>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</si>
  <si>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</si>
  <si>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</si>
  <si>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</si>
  <si>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</si>
  <si>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</si>
  <si>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</si>
  <si>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</si>
  <si>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</si>
  <si>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</si>
  <si>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</si>
  <si>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</si>
  <si>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</si>
  <si>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</si>
  <si>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</si>
  <si>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</si>
  <si>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</si>
  <si>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</si>
  <si>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</si>
  <si>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</si>
  <si>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</si>
  <si>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</si>
  <si>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</si>
  <si>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</si>
  <si>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</si>
  <si>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</si>
  <si>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</si>
  <si>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</si>
  <si>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</si>
  <si>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</si>
  <si>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</si>
  <si>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</si>
  <si>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</si>
  <si>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</si>
  <si>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</si>
  <si>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</si>
  <si>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</si>
  <si>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</si>
  <si>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</si>
  <si>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</si>
  <si>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</si>
  <si>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</si>
  <si>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</si>
  <si>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</si>
  <si>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</si>
  <si>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</si>
  <si>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</si>
  <si>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</si>
  <si>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</si>
  <si>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</si>
  <si>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</si>
  <si>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</si>
  <si>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</si>
  <si>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</si>
  <si>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</si>
  <si>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</si>
  <si>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</si>
  <si>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</si>
  <si>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</si>
  <si>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</si>
  <si>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</si>
  <si>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</si>
  <si>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</si>
  <si>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</si>
  <si>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</si>
  <si>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</si>
  <si>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</si>
  <si>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</si>
  <si>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</si>
  <si>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</si>
  <si>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</si>
  <si>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</si>
  <si>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</si>
  <si>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</si>
  <si>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</si>
  <si>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</si>
  <si>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</si>
  <si>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</si>
  <si>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</si>
  <si>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</si>
  <si>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</si>
  <si>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</si>
  <si>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</si>
  <si>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</si>
  <si>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</si>
  <si>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</si>
  <si>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</si>
  <si>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</si>
  <si>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</si>
  <si>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</si>
  <si>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</si>
  <si>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</si>
  <si>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</si>
  <si>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</si>
  <si>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</si>
  <si>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</si>
  <si>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</si>
  <si>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</si>
  <si>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</si>
  <si>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</si>
  <si>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</si>
  <si>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</si>
  <si>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</si>
  <si>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</si>
  <si>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</si>
  <si>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</si>
  <si>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</si>
  <si>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</si>
  <si>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</si>
  <si>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</si>
  <si>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</si>
  <si>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</si>
  <si>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</si>
  <si>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</si>
  <si>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</si>
  <si>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</si>
  <si>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</si>
  <si>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</si>
  <si>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</si>
  <si>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</si>
  <si>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</si>
  <si>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</si>
  <si>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</si>
  <si>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</si>
  <si>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</si>
  <si>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</si>
  <si>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</si>
  <si>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</si>
  <si>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</si>
  <si>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</si>
  <si>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</si>
  <si>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</si>
  <si>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</si>
  <si>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</si>
  <si>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</si>
  <si>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</si>
  <si>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</si>
  <si>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</si>
  <si>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</si>
  <si>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</si>
  <si>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</si>
  <si>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</si>
  <si>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</si>
  <si>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</si>
  <si>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</si>
  <si>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</si>
  <si>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</si>
  <si>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</si>
  <si>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</si>
  <si>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</si>
  <si>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</si>
  <si>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</si>
  <si>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</si>
  <si>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</si>
  <si>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</si>
  <si>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</si>
  <si>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</si>
  <si>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</si>
  <si>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</si>
  <si>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</si>
  <si>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</si>
  <si>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</si>
  <si>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</si>
  <si>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</si>
  <si>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</si>
  <si>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</si>
  <si>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</si>
  <si>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</si>
  <si>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</si>
  <si>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</si>
  <si>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</si>
  <si>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</si>
  <si>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</si>
  <si>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</si>
  <si>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</si>
  <si>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</si>
  <si>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</si>
  <si>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</si>
  <si>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</si>
  <si>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</si>
  <si>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</si>
  <si>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</si>
  <si>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</si>
  <si>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</si>
  <si>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</si>
  <si>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</si>
  <si>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</si>
  <si>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</si>
  <si>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</si>
  <si>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</si>
  <si>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</si>
  <si>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</si>
  <si>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</si>
  <si>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</si>
  <si>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</si>
  <si>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</si>
  <si>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</si>
  <si>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</si>
  <si>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</si>
  <si>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</si>
  <si>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</si>
  <si>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</si>
  <si>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</si>
  <si>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</si>
  <si>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</si>
  <si>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</si>
  <si>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</si>
  <si>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</si>
  <si>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</si>
  <si>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</si>
  <si>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</si>
  <si>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</si>
  <si>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</si>
  <si>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</si>
  <si>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</si>
  <si>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</si>
  <si>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</si>
  <si>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</si>
  <si>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</si>
  <si>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</si>
  <si>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</si>
  <si>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</si>
  <si>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</si>
  <si>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</si>
  <si>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</si>
  <si>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</si>
  <si>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</si>
  <si>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</si>
  <si>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</si>
  <si>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</si>
  <si>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</si>
  <si>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</si>
  <si>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</si>
  <si>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</si>
  <si>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</si>
  <si>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</si>
  <si>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</si>
  <si>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</si>
  <si>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</si>
  <si>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</si>
  <si>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</si>
  <si>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</si>
  <si>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</si>
  <si>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</si>
  <si>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</si>
  <si>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</si>
  <si>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</si>
  <si>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</si>
  <si>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</si>
  <si>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</si>
  <si>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</si>
  <si>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</si>
  <si>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</si>
  <si>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</si>
  <si>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</si>
  <si>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</si>
  <si>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</si>
  <si>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</si>
  <si>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</si>
  <si>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</si>
  <si>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</si>
  <si>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</si>
  <si>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</si>
  <si>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</si>
  <si>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</si>
  <si>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</si>
  <si>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</si>
  <si>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</si>
  <si>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</si>
  <si>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</si>
  <si>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</si>
  <si>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</si>
  <si>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</si>
  <si>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</si>
  <si>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</si>
  <si>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</si>
  <si>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</si>
  <si>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</si>
  <si>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</si>
  <si>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</si>
  <si>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</si>
  <si>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</si>
  <si>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</si>
  <si>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</si>
  <si>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</si>
  <si>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</si>
  <si>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</si>
  <si>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</si>
  <si>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</si>
  <si>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</si>
  <si>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</si>
  <si>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</si>
  <si>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</si>
  <si>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</si>
  <si>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</si>
  <si>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</si>
  <si>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</si>
  <si>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</si>
  <si>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</si>
  <si>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</si>
  <si>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</si>
  <si>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</si>
  <si>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</si>
  <si>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</si>
  <si>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</si>
  <si>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</si>
  <si>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</si>
  <si>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</si>
  <si>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</si>
  <si>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</si>
  <si>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</si>
  <si>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</si>
  <si>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</si>
  <si>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</si>
  <si>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</si>
  <si>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</si>
  <si>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</si>
  <si>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</si>
  <si>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</si>
  <si>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</si>
  <si>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</si>
  <si>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</si>
  <si>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</si>
  <si>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</si>
  <si>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</si>
  <si>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</si>
  <si>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</si>
  <si>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</si>
  <si>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</si>
  <si>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</si>
  <si>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</si>
  <si>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</si>
  <si>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</si>
  <si>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</si>
  <si>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</si>
  <si>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</si>
  <si>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</si>
  <si>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</si>
  <si>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</si>
  <si>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</si>
  <si>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</si>
  <si>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</si>
  <si>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</si>
  <si>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</si>
  <si>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</si>
  <si>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</si>
  <si>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</si>
  <si>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</si>
  <si>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</si>
  <si>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</si>
  <si>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</si>
  <si>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</si>
  <si>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</si>
  <si>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</si>
  <si>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</si>
  <si>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</si>
  <si>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</si>
  <si>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</si>
  <si>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</si>
  <si>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</si>
  <si>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</si>
  <si>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</si>
  <si>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</si>
  <si>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</si>
  <si>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</si>
  <si>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</si>
  <si>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</si>
  <si>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</si>
  <si>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</si>
  <si>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</si>
  <si>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</si>
  <si>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</si>
  <si>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</si>
  <si>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</si>
  <si>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</si>
  <si>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</si>
  <si>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</si>
  <si>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</si>
  <si>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</si>
  <si>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</si>
  <si>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</si>
  <si>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</si>
  <si>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</si>
  <si>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</si>
  <si>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</si>
  <si>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</si>
  <si>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</si>
  <si>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</si>
  <si>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</si>
  <si>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</si>
  <si>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</si>
  <si>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</si>
  <si>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</si>
  <si>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</si>
  <si>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</si>
  <si>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</si>
  <si>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</si>
  <si>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</si>
  <si>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</si>
  <si>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</si>
  <si>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</si>
  <si>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</si>
  <si>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</si>
  <si>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</si>
  <si>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</si>
  <si>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</si>
  <si>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</si>
  <si>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</si>
  <si>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</si>
  <si>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</si>
  <si>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</si>
  <si>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</si>
  <si>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</si>
  <si>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</si>
  <si>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</si>
  <si>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</si>
  <si>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</si>
  <si>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</si>
  <si>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</si>
  <si>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</si>
  <si>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</si>
  <si>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</si>
  <si>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</si>
  <si>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</si>
  <si>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</si>
  <si>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</si>
  <si>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</si>
  <si>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</si>
  <si>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</si>
  <si>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</si>
  <si>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</si>
  <si>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</si>
  <si>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</si>
  <si>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</si>
  <si>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</si>
  <si>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</si>
  <si>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</si>
  <si>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</si>
  <si>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</si>
  <si>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</si>
  <si>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</si>
  <si>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</si>
  <si>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</si>
  <si>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</si>
  <si>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</si>
  <si>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</si>
  <si>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</si>
  <si>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</si>
  <si>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</si>
  <si>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</si>
  <si>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</si>
  <si>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</si>
  <si>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</si>
  <si>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</si>
  <si>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</si>
  <si>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</si>
  <si>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</si>
  <si>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</si>
  <si>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</si>
  <si>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</si>
  <si>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</si>
  <si>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</si>
  <si>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</si>
  <si>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</si>
  <si>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</si>
  <si>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</si>
  <si>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</si>
  <si>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</si>
  <si>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</si>
  <si>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</si>
  <si>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</si>
  <si>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</si>
  <si>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</si>
  <si>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</si>
  <si>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</si>
  <si>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</si>
  <si>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</si>
  <si>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</si>
  <si>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</si>
  <si>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</si>
  <si>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</si>
  <si>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</si>
  <si>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</si>
  <si>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</si>
  <si>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</si>
  <si>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</si>
  <si>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</si>
  <si>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</si>
  <si>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</si>
  <si>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</si>
  <si>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</si>
  <si>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</si>
  <si>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</si>
  <si>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</si>
  <si>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</si>
  <si>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</si>
  <si>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</si>
  <si>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</si>
  <si>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</si>
  <si>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</si>
  <si>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</si>
  <si>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</si>
  <si>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</si>
  <si>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</si>
  <si>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</si>
  <si>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</si>
  <si>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</si>
  <si>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</si>
  <si>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</si>
  <si>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</si>
  <si>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</si>
  <si>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</si>
  <si>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</si>
  <si>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</si>
  <si>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</si>
  <si>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</si>
  <si>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</si>
  <si>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</si>
  <si>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</si>
  <si>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</si>
  <si>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</si>
  <si>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</si>
  <si>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</si>
  <si>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</si>
  <si>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</si>
  <si>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</si>
  <si>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</si>
  <si>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</si>
  <si>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</si>
  <si>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</si>
  <si>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</si>
  <si>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</si>
  <si>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</si>
  <si>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</si>
  <si>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</si>
  <si>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</si>
  <si>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</si>
  <si>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</si>
  <si>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</si>
  <si>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</si>
  <si>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</si>
  <si>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</si>
  <si>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</si>
  <si>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</si>
  <si>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</si>
  <si>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</si>
  <si>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</si>
  <si>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</si>
  <si>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</si>
  <si>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</si>
  <si>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</si>
  <si>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</si>
  <si>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</si>
  <si>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</si>
  <si>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</si>
  <si>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</si>
  <si>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</si>
  <si>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</si>
  <si>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</si>
  <si>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</si>
  <si>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</si>
  <si>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</si>
  <si>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</si>
  <si>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</si>
  <si>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</si>
  <si>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</si>
  <si>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</si>
  <si>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</si>
  <si>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</si>
  <si>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</si>
  <si>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</si>
  <si>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</si>
  <si>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</si>
  <si>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</si>
  <si>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</si>
  <si>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</si>
  <si>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</si>
  <si>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</si>
  <si>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</si>
  <si>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</si>
  <si>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</si>
  <si>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</si>
  <si>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</si>
  <si>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</si>
  <si>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</si>
  <si>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</si>
  <si>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</si>
  <si>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</si>
  <si>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</si>
  <si>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</si>
  <si>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</si>
  <si>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</si>
  <si>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</si>
  <si>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</si>
  <si>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</si>
  <si>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</si>
  <si>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</si>
  <si>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</si>
  <si>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</si>
  <si>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</si>
  <si>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</si>
  <si>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</si>
  <si>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</si>
  <si>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</si>
  <si>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</si>
  <si>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</si>
  <si>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</si>
  <si>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</si>
  <si>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</si>
  <si>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</si>
  <si>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</si>
  <si>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</si>
  <si>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</si>
  <si>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</si>
  <si>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</si>
  <si>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</si>
  <si>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</si>
  <si>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</si>
  <si>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</si>
  <si>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</si>
  <si>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</si>
  <si>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</si>
  <si>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</si>
  <si>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</si>
  <si>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</si>
  <si>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</si>
  <si>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</si>
  <si>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</si>
  <si>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</si>
  <si>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</si>
  <si>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</si>
  <si>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</si>
  <si>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</si>
  <si>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</si>
  <si>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</si>
  <si>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</si>
  <si>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</si>
  <si>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</si>
  <si>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</si>
  <si>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</si>
  <si>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</si>
  <si>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</si>
  <si>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</si>
  <si>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</si>
  <si>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</si>
  <si>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</si>
  <si>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</si>
  <si>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</si>
  <si>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</si>
  <si>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</si>
  <si>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</si>
  <si>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</si>
  <si>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</si>
  <si>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</si>
  <si>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</si>
  <si>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</si>
  <si>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</si>
  <si>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</si>
  <si>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</si>
  <si>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</si>
  <si>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</si>
  <si>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</si>
  <si>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</si>
  <si>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</si>
  <si>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</si>
  <si>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</si>
  <si>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</si>
  <si>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</si>
  <si>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</si>
  <si>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</si>
  <si>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</si>
  <si>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</si>
  <si>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</si>
  <si>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</si>
  <si>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</si>
  <si>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</si>
  <si>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</si>
  <si>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</si>
  <si>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</si>
  <si>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</si>
  <si>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</si>
  <si>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</si>
  <si>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</si>
  <si>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</si>
  <si>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</si>
  <si>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</si>
  <si>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</si>
  <si>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</si>
  <si>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</si>
  <si>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</si>
  <si>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</si>
  <si>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</si>
  <si>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</si>
  <si>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</si>
  <si>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</si>
  <si>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</si>
  <si>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</si>
  <si>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</si>
  <si>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</si>
  <si>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</si>
  <si>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</si>
  <si>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</si>
  <si>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</si>
  <si>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</si>
  <si>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</si>
  <si>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</si>
  <si>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</si>
  <si>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</si>
  <si>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</si>
  <si>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</si>
  <si>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</si>
  <si>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</si>
  <si>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</si>
  <si>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</si>
  <si>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</si>
  <si>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</si>
  <si>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</si>
  <si>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</si>
  <si>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</si>
  <si>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</si>
  <si>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</si>
  <si>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</si>
  <si>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</si>
  <si>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</si>
  <si>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</si>
  <si>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</si>
  <si>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</si>
  <si>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</si>
  <si>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</si>
  <si>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</si>
  <si>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</si>
  <si>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</si>
  <si>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</si>
  <si>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</si>
  <si>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</si>
  <si>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</si>
  <si>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</si>
  <si>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</si>
  <si>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</si>
  <si>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</si>
  <si>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</si>
  <si>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</si>
  <si>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</si>
  <si>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</si>
  <si>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</si>
  <si>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</si>
  <si>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</si>
  <si>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</si>
  <si>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</si>
  <si>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</si>
  <si>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</si>
  <si>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</si>
  <si>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</si>
  <si>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</si>
  <si>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</si>
  <si>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</si>
  <si>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</si>
  <si>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</si>
  <si>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</si>
  <si>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</si>
  <si>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</si>
  <si>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</si>
  <si>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</si>
  <si>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</si>
  <si>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</si>
  <si>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</si>
  <si>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</si>
  <si>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</si>
  <si>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</si>
  <si>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</si>
  <si>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</si>
  <si>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</si>
  <si>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</si>
  <si>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</si>
  <si>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</si>
  <si>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</si>
  <si>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</si>
  <si>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</si>
  <si>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</si>
  <si>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</si>
  <si>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</si>
  <si>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</si>
  <si>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</si>
  <si>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</si>
  <si>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</si>
  <si>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</si>
  <si>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</si>
  <si>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</si>
  <si>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</si>
  <si>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</si>
  <si>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</si>
  <si>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</si>
  <si>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</si>
  <si>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</si>
  <si>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</si>
  <si>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</si>
  <si>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</si>
  <si>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</si>
  <si>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</si>
  <si>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</si>
  <si>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</si>
  <si>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</si>
  <si>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</si>
  <si>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</si>
  <si>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</si>
  <si>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</si>
  <si>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</si>
  <si>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</si>
  <si>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</si>
  <si>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</si>
  <si>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</si>
  <si>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</si>
  <si>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</si>
  <si>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</si>
  <si>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</si>
  <si>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</si>
  <si>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</si>
  <si>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</si>
  <si>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</si>
  <si>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</si>
  <si>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</si>
  <si>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</si>
  <si>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</si>
  <si>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</si>
  <si>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</si>
  <si>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</si>
  <si>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</si>
  <si>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</si>
  <si>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</si>
  <si>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</si>
  <si>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</si>
  <si>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</si>
  <si>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</si>
  <si>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</si>
  <si>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</si>
  <si>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</si>
  <si>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</si>
  <si>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</si>
  <si>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</si>
  <si>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</si>
  <si>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</si>
  <si>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</si>
  <si>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</si>
  <si>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</si>
  <si>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</si>
  <si>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</si>
  <si>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</si>
  <si>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</si>
  <si>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</si>
  <si>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</si>
  <si>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</si>
  <si>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</si>
  <si>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</si>
  <si>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</si>
  <si>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</si>
  <si>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</si>
  <si>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</si>
  <si>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</si>
  <si>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</si>
  <si>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</si>
  <si>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</si>
  <si>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</si>
  <si>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</si>
  <si>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</si>
  <si>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</si>
  <si>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</si>
  <si>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</si>
  <si>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</si>
  <si>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</si>
  <si>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</si>
  <si>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</si>
  <si>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</si>
  <si>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</si>
  <si>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</si>
  <si>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</si>
  <si>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</si>
  <si>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</si>
  <si>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</si>
  <si>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</si>
  <si>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</si>
  <si>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</si>
  <si>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</si>
  <si>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</si>
  <si>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</si>
  <si>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</si>
  <si>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</si>
  <si>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</si>
  <si>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</si>
  <si>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</si>
  <si>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</si>
  <si>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</si>
  <si>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</si>
  <si>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</si>
  <si>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</si>
  <si>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</si>
  <si>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</si>
  <si>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</si>
  <si>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</si>
  <si>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</si>
  <si>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</si>
  <si>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</si>
  <si>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</si>
  <si>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</si>
  <si>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</si>
  <si>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</si>
  <si>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</si>
  <si>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</si>
  <si>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</si>
  <si>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</si>
  <si>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</si>
  <si>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</si>
  <si>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</si>
  <si>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</si>
  <si>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</si>
  <si>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</si>
  <si>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</si>
  <si>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</si>
  <si>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</si>
  <si>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</si>
  <si>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</si>
  <si>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</si>
  <si>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</si>
  <si>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</si>
  <si>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</si>
  <si>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</si>
  <si>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</si>
  <si>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</si>
  <si>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</si>
  <si>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</si>
  <si>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</si>
  <si>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</si>
  <si>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</si>
  <si>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</si>
  <si>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</si>
  <si>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</si>
  <si>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</si>
  <si>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</si>
  <si>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</si>
  <si>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</si>
  <si>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</si>
  <si>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</si>
  <si>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</si>
  <si>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</si>
  <si>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</si>
  <si>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</si>
  <si>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</si>
  <si>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</si>
  <si>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</si>
  <si>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</si>
  <si>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</si>
  <si>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</si>
  <si>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</si>
  <si>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</si>
  <si>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</si>
  <si>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</si>
  <si>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</si>
  <si>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</si>
  <si>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</si>
  <si>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</si>
  <si>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</si>
  <si>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</si>
  <si>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</si>
  <si>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</si>
  <si>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</si>
  <si>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</si>
  <si>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</si>
  <si>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</si>
  <si>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</si>
  <si>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</si>
  <si>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</si>
  <si>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</si>
  <si>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</si>
  <si>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</si>
  <si>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</si>
  <si>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</si>
  <si>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</si>
  <si>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</si>
  <si>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</si>
  <si>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</si>
  <si>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</si>
  <si>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</si>
  <si>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</si>
  <si>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</si>
  <si>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</si>
  <si>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</si>
  <si>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</si>
  <si>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</si>
  <si>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</si>
  <si>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</si>
  <si>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</si>
  <si>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</si>
  <si>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</si>
  <si>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</si>
  <si>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</si>
  <si>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</si>
  <si>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</si>
  <si>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</si>
  <si>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</si>
  <si>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</si>
  <si>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</si>
  <si>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</si>
  <si>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</si>
  <si>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</si>
  <si>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</si>
  <si>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</si>
  <si>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</si>
  <si>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</si>
  <si>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</si>
  <si>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</si>
  <si>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</si>
  <si>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</si>
  <si>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</si>
  <si>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</si>
  <si>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</si>
  <si>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</si>
  <si>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</si>
  <si>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</si>
  <si>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</si>
  <si>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</si>
  <si>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</si>
  <si>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</si>
  <si>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</si>
  <si>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</si>
  <si>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</si>
  <si>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</si>
  <si>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</si>
  <si>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</si>
  <si>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</si>
  <si>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</si>
  <si>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</si>
  <si>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</si>
  <si>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</si>
  <si>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</si>
  <si>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</si>
  <si>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</si>
  <si>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</si>
  <si>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</si>
  <si>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</si>
  <si>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</si>
  <si>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</si>
  <si>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</si>
  <si>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</si>
  <si>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</si>
  <si>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</si>
  <si>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</si>
  <si>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</si>
  <si>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</si>
  <si>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</si>
  <si>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</si>
  <si>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</si>
  <si>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</si>
  <si>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</si>
  <si>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</si>
  <si>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</si>
  <si>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</si>
  <si>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</si>
  <si>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</si>
  <si>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</si>
  <si>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</si>
  <si>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</si>
  <si>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</si>
  <si>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</si>
  <si>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</si>
  <si>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</si>
  <si>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</si>
  <si>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</si>
  <si>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</si>
  <si>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</si>
  <si>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</si>
  <si>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</si>
  <si>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</si>
  <si>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</si>
  <si>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</si>
  <si>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</si>
  <si>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</si>
  <si>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</si>
  <si>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</si>
  <si>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</si>
  <si>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</si>
  <si>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</si>
  <si>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</si>
  <si>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</si>
  <si>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</si>
  <si>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</si>
  <si>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</si>
  <si>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</si>
  <si>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</si>
  <si>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</si>
  <si>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</si>
  <si>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</si>
  <si>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</si>
  <si>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</si>
  <si>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</si>
  <si>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</si>
  <si>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</si>
  <si>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</si>
  <si>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</si>
  <si>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</si>
  <si>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</si>
  <si>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</si>
  <si>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</si>
  <si>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</si>
  <si>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</si>
  <si>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</si>
  <si>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</si>
  <si>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</si>
  <si>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</si>
  <si>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</si>
  <si>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</si>
  <si>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</si>
  <si>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</si>
  <si>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</si>
  <si>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</si>
  <si>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</si>
  <si>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</si>
  <si>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</si>
  <si>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</si>
  <si>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</si>
  <si>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</si>
  <si>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</si>
  <si>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</si>
  <si>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</si>
  <si>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</si>
  <si>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</si>
  <si>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</si>
  <si>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</si>
  <si>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</si>
  <si>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</si>
  <si>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</si>
  <si>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</si>
  <si>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</si>
  <si>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</si>
  <si>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</si>
  <si>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</si>
  <si>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</si>
  <si>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</si>
  <si>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</si>
  <si>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</si>
  <si>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</si>
  <si>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</si>
  <si>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</si>
  <si>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</si>
  <si>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</si>
  <si>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</si>
  <si>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</si>
  <si>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</si>
  <si>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</si>
  <si>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</si>
  <si>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</si>
  <si>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</si>
  <si>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</si>
  <si>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</si>
  <si>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</si>
  <si>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</si>
  <si>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</si>
  <si>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</si>
  <si>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</si>
  <si>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</si>
  <si>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</si>
  <si>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</si>
  <si>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</si>
  <si>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</si>
  <si>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</si>
  <si>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</si>
  <si>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</si>
  <si>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</si>
  <si>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</si>
  <si>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</si>
  <si>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</si>
  <si>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</si>
  <si>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</si>
  <si>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</si>
  <si>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</si>
  <si>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</si>
  <si>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</si>
  <si>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</si>
  <si>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</si>
  <si>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</si>
  <si>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</si>
  <si>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</si>
  <si>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</si>
  <si>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</si>
  <si>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</si>
  <si>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</si>
  <si>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</si>
  <si>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</si>
  <si>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</si>
  <si>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</si>
  <si>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</si>
  <si>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</si>
  <si>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</si>
  <si>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</si>
  <si>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</si>
  <si>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</si>
  <si>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</si>
  <si>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</si>
  <si>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</si>
  <si>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</si>
  <si>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</si>
  <si>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</si>
  <si>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</si>
  <si>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</si>
  <si>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</si>
  <si>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</si>
  <si>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</si>
  <si>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</si>
  <si>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</si>
  <si>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</si>
  <si>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</si>
  <si>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</si>
  <si>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</si>
  <si>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</si>
  <si>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</si>
  <si>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</si>
  <si>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</si>
  <si>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</si>
  <si>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</si>
  <si>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</si>
  <si>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</si>
  <si>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</si>
  <si>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</si>
  <si>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</si>
  <si>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</si>
  <si>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</si>
  <si>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</si>
  <si>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</si>
  <si>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</si>
  <si>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</si>
  <si>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</si>
  <si>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</si>
  <si>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</si>
  <si>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</si>
  <si>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</si>
  <si>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</si>
  <si>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</si>
  <si>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</si>
  <si>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</si>
  <si>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</si>
  <si>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</si>
  <si>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</si>
  <si>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</si>
  <si>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</si>
  <si>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</si>
  <si>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</si>
  <si>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</si>
  <si>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</si>
  <si>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</si>
  <si>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</si>
  <si>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</si>
  <si>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</si>
  <si>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</si>
  <si>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</si>
  <si>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</si>
  <si>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</si>
  <si>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</si>
  <si>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</si>
  <si>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</si>
  <si>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</si>
  <si>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</si>
  <si>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</si>
  <si>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</si>
  <si>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</si>
  <si>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</si>
  <si>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</si>
  <si>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</si>
  <si>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</si>
  <si>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</si>
  <si>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</si>
  <si>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</si>
  <si>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</si>
  <si>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</si>
  <si>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</si>
  <si>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</si>
  <si>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</si>
  <si>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</si>
  <si>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</si>
  <si>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</si>
  <si>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</si>
  <si>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</si>
  <si>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</si>
  <si>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</si>
  <si>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</si>
  <si>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</si>
  <si>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</si>
  <si>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</si>
  <si>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</si>
  <si>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</si>
  <si>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</si>
  <si>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</si>
  <si>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</si>
  <si>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</si>
  <si>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</si>
  <si>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</si>
  <si>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</si>
  <si>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</si>
  <si>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</si>
  <si>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</si>
  <si>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</si>
  <si>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</si>
  <si>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</si>
  <si>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</si>
  <si>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</si>
  <si>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</si>
  <si>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</si>
  <si>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</si>
  <si>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</si>
  <si>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</si>
  <si>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</si>
  <si>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</si>
  <si>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</si>
  <si>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</si>
  <si>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</si>
  <si>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</si>
  <si>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</si>
  <si>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</si>
  <si>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</si>
  <si>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</si>
  <si>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</si>
  <si>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</si>
  <si>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</si>
  <si>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</si>
  <si>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</si>
  <si>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</si>
  <si>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</si>
  <si>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</si>
  <si>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</si>
  <si>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</si>
  <si>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</si>
  <si>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</si>
  <si>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</si>
  <si>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</si>
  <si>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</si>
  <si>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</si>
  <si>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</si>
  <si>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</si>
  <si>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</si>
  <si>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</si>
  <si>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</si>
  <si>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</si>
  <si>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</si>
  <si>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</si>
  <si>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</si>
  <si>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</si>
  <si>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</si>
  <si>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</si>
  <si>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</si>
  <si>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</si>
  <si>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</si>
  <si>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</si>
  <si>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</si>
  <si>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</si>
  <si>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</si>
  <si>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</si>
  <si>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</si>
  <si>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</si>
  <si>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</si>
  <si>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</si>
  <si>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</si>
  <si>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</si>
  <si>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</si>
  <si>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</si>
  <si>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</si>
  <si>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</si>
  <si>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</si>
  <si>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</si>
  <si>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</si>
  <si>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</si>
  <si>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</si>
  <si>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</si>
  <si>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</si>
  <si>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</si>
  <si>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</si>
  <si>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</si>
  <si>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</si>
  <si>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</si>
  <si>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</si>
  <si>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</si>
  <si>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</si>
  <si>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</si>
  <si>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</si>
  <si>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</si>
  <si>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</si>
  <si>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</si>
  <si>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</si>
  <si>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</si>
  <si>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</si>
  <si>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</si>
  <si>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</si>
  <si>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</si>
  <si>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</si>
  <si>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</si>
  <si>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</si>
  <si>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</si>
  <si>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</si>
  <si>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</si>
  <si>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</si>
  <si>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</si>
  <si>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</si>
  <si>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</si>
  <si>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</si>
  <si>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</si>
  <si>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</si>
  <si>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</si>
  <si>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</si>
  <si>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</si>
  <si>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</si>
  <si>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</si>
  <si>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</si>
  <si>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</si>
  <si>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</si>
  <si>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</si>
  <si>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</si>
  <si>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</si>
  <si>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</si>
  <si>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</si>
  <si>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</si>
  <si>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</si>
  <si>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</si>
  <si>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</si>
  <si>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</si>
  <si>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</si>
  <si>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</si>
  <si>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</si>
  <si>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</si>
  <si>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</si>
  <si>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</si>
  <si>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</si>
  <si>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</si>
  <si>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</si>
  <si>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</si>
  <si>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</si>
  <si>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</si>
  <si>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</si>
  <si>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</si>
  <si>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</si>
  <si>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</si>
  <si>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</si>
  <si>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</si>
  <si>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</si>
  <si>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</si>
  <si>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</si>
  <si>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</si>
  <si>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</si>
  <si>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</si>
  <si>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</si>
  <si>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</si>
  <si>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</si>
  <si>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</si>
  <si>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</si>
  <si>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</si>
  <si>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</si>
  <si>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</si>
  <si>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</si>
  <si>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</si>
  <si>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</si>
  <si>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</si>
  <si>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</si>
  <si>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</si>
  <si>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</si>
  <si>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</si>
  <si>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</si>
  <si>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</si>
  <si>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</si>
  <si>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</si>
  <si>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</si>
  <si>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</si>
  <si>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</si>
  <si>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</si>
  <si>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</si>
  <si>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</si>
  <si>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</si>
  <si>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</si>
  <si>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</si>
  <si>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</si>
  <si>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</si>
  <si>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</si>
  <si>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</si>
  <si>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</si>
  <si>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</si>
  <si>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</si>
  <si>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</si>
  <si>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</si>
  <si>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</si>
  <si>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</si>
  <si>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</si>
  <si>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</si>
  <si>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</si>
  <si>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</si>
  <si>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</si>
  <si>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</si>
  <si>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</si>
  <si>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</si>
  <si>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</si>
  <si>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</si>
  <si>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</si>
  <si>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</si>
  <si>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</si>
  <si>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</si>
  <si>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</si>
  <si>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</si>
  <si>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</si>
  <si>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</si>
  <si>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</si>
  <si>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</si>
  <si>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</si>
  <si>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</si>
  <si>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</si>
  <si>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</si>
  <si>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</si>
  <si>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</si>
  <si>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</si>
  <si>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</si>
  <si>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</si>
  <si>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</si>
  <si>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</si>
  <si>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</si>
  <si>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</si>
  <si>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</si>
  <si>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</si>
  <si>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</si>
  <si>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</si>
  <si>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</si>
  <si>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</si>
  <si>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</si>
  <si>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</si>
  <si>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</si>
  <si>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</si>
  <si>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</si>
  <si>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</si>
  <si>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</si>
  <si>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</si>
  <si>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</si>
  <si>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</si>
  <si>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</si>
  <si>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</si>
  <si>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</si>
  <si>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</si>
  <si>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</si>
  <si>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</si>
  <si>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</si>
  <si>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</si>
  <si>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</si>
  <si>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</si>
  <si>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</si>
  <si>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</si>
  <si>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</si>
  <si>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</si>
  <si>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</si>
  <si>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</si>
  <si>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</si>
  <si>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</si>
  <si>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</si>
  <si>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</si>
  <si>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</si>
  <si>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</si>
  <si>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</si>
  <si>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</si>
  <si>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</si>
  <si>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</si>
  <si>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</si>
  <si>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</si>
  <si>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</si>
  <si>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</si>
  <si>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</si>
  <si>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</si>
  <si>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</si>
  <si>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</si>
  <si>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</si>
  <si>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</si>
  <si>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</si>
  <si>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</si>
  <si>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</si>
  <si>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</si>
  <si>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</si>
  <si>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</si>
  <si>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</si>
  <si>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</si>
  <si>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</si>
  <si>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</si>
  <si>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</si>
  <si>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</si>
  <si>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</si>
  <si>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</si>
  <si>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</si>
  <si>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</si>
  <si>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</si>
  <si>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</si>
  <si>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</si>
  <si>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</si>
  <si>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</si>
  <si>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</si>
  <si>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</si>
  <si>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</si>
  <si>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</si>
  <si>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</si>
  <si>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</si>
  <si>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</si>
  <si>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</si>
  <si>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</si>
  <si>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</si>
  <si>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</si>
  <si>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</si>
  <si>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</si>
  <si>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</si>
  <si>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</si>
  <si>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</si>
  <si>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</si>
  <si>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</si>
  <si>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</si>
  <si>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</si>
  <si>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</si>
  <si>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</si>
  <si>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</si>
  <si>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</si>
  <si>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</si>
  <si>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</si>
  <si>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</si>
  <si>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</si>
  <si>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</si>
  <si>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</si>
  <si>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</si>
  <si>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</si>
  <si>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</si>
  <si>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</si>
  <si>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</si>
  <si>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</si>
  <si>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</si>
  <si>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</si>
  <si>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</si>
  <si>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</si>
  <si>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</si>
  <si>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</si>
  <si>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</si>
  <si>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</si>
  <si>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</si>
  <si>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</si>
  <si>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</si>
  <si>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</si>
  <si>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</si>
  <si>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</si>
  <si>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</si>
  <si>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</si>
  <si>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</si>
  <si>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</si>
  <si>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</si>
  <si>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</si>
  <si>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</si>
  <si>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</si>
  <si>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</si>
  <si>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</si>
  <si>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</si>
  <si>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</si>
  <si>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</si>
  <si>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</si>
  <si>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</si>
  <si>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</si>
  <si>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</si>
  <si>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</si>
  <si>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</si>
  <si>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</si>
  <si>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</si>
  <si>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</si>
  <si>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</si>
  <si>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</si>
  <si>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</si>
  <si>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</si>
  <si>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</si>
  <si>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</si>
  <si>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</si>
  <si>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</si>
  <si>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</si>
  <si>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</si>
  <si>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</si>
  <si>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</si>
  <si>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</si>
  <si>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</si>
  <si>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</si>
  <si>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</si>
  <si>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</si>
  <si>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</si>
  <si>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</si>
  <si>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</si>
  <si>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</si>
  <si>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</si>
  <si>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</si>
  <si>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</si>
  <si>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</si>
  <si>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</si>
  <si>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</si>
  <si>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</si>
  <si>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</si>
  <si>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</si>
  <si>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</si>
  <si>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</si>
  <si>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</si>
  <si>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</si>
  <si>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</si>
  <si>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</si>
  <si>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</si>
  <si>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</si>
  <si>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</si>
  <si>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</si>
  <si>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</si>
  <si>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</si>
  <si>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</si>
  <si>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</si>
  <si>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</si>
  <si>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</si>
  <si>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</si>
  <si>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</si>
  <si>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</si>
  <si>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</si>
  <si>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</si>
  <si>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</si>
  <si>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</si>
  <si>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</si>
  <si>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</si>
  <si>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</si>
  <si>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</si>
  <si>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</si>
  <si>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</si>
  <si>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</si>
  <si>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</si>
  <si>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</si>
  <si>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</si>
  <si>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</si>
  <si>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</si>
  <si>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</si>
  <si>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</si>
  <si>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</si>
  <si>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</si>
  <si>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</si>
  <si>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</si>
  <si>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</si>
  <si>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</si>
  <si>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</si>
  <si>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</si>
  <si>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</si>
  <si>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</si>
  <si>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</si>
  <si>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</si>
  <si>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</si>
  <si>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</si>
  <si>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</si>
  <si>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</si>
  <si>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</si>
  <si>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</si>
  <si>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</si>
  <si>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</si>
  <si>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</si>
  <si>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</si>
  <si>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</si>
  <si>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</si>
  <si>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</si>
  <si>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</si>
  <si>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</si>
  <si>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</si>
  <si>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</si>
  <si>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</si>
  <si>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</si>
  <si>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</si>
  <si>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</si>
  <si>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</si>
  <si>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</si>
  <si>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</si>
  <si>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</si>
  <si>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</si>
  <si>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</si>
  <si>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</si>
  <si>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</si>
  <si>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</si>
  <si>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</si>
  <si>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</si>
  <si>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</si>
  <si>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</si>
  <si>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</si>
  <si>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</si>
  <si>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</si>
  <si>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</si>
  <si>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</si>
  <si>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</si>
  <si>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</si>
  <si>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</si>
  <si>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</si>
  <si>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</si>
  <si>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</si>
  <si>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</si>
  <si>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</si>
  <si>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</si>
  <si>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</si>
  <si>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</si>
  <si>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</si>
  <si>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</si>
  <si>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</si>
  <si>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</si>
  <si>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</si>
  <si>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</si>
  <si>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</si>
  <si>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</si>
  <si>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</si>
  <si>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</si>
  <si>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</si>
  <si>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</si>
  <si>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</si>
  <si>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</si>
  <si>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</si>
  <si>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</si>
  <si>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</si>
  <si>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</si>
  <si>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</si>
  <si>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</si>
  <si>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</si>
  <si>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</si>
  <si>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</si>
  <si>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</si>
  <si>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</si>
  <si>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</si>
  <si>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</si>
  <si>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</si>
  <si>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</si>
  <si>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</si>
  <si>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</si>
  <si>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</si>
  <si>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</si>
  <si>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</si>
  <si>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</si>
  <si>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</si>
  <si>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</si>
  <si>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</si>
  <si>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</si>
  <si>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</si>
  <si>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</si>
  <si>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</si>
  <si>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</si>
  <si>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</si>
  <si>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</si>
  <si>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</si>
  <si>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</si>
  <si>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</si>
  <si>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</si>
  <si>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</si>
  <si>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</si>
  <si>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</si>
  <si>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</si>
  <si>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</si>
  <si>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</si>
  <si>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</si>
  <si>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</si>
  <si>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</si>
  <si>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</si>
  <si>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</si>
  <si>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</si>
  <si>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</si>
  <si>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</si>
  <si>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</si>
  <si>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</si>
  <si>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</si>
  <si>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</si>
  <si>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</si>
  <si>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</si>
  <si>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</si>
  <si>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</si>
  <si>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</si>
  <si>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</si>
  <si>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</si>
  <si>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</si>
  <si>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</si>
  <si>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</si>
  <si>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</si>
  <si>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</si>
  <si>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</si>
  <si>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</si>
  <si>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</si>
  <si>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</si>
  <si>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</si>
  <si>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</si>
  <si>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</si>
  <si>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</si>
  <si>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</si>
  <si>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</si>
  <si>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</si>
  <si>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</si>
  <si>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</si>
  <si>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</si>
  <si>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</si>
  <si>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</si>
  <si>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</si>
  <si>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</si>
  <si>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</si>
  <si>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</si>
  <si>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</si>
  <si>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</si>
  <si>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</si>
  <si>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</si>
  <si>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</si>
  <si>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</si>
  <si>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</si>
  <si>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</si>
  <si>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</si>
  <si>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</si>
  <si>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</si>
  <si>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</si>
  <si>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</si>
  <si>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</si>
  <si>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</si>
  <si>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</si>
  <si>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</si>
  <si>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</si>
  <si>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</si>
  <si>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</si>
  <si>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</si>
  <si>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</si>
  <si>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</si>
  <si>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</si>
  <si>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</si>
  <si>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</si>
  <si>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</si>
  <si>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</si>
  <si>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</si>
  <si>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</si>
  <si>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</si>
  <si>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</si>
  <si>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</si>
  <si>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</si>
  <si>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</si>
  <si>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</si>
  <si>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</si>
  <si>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</si>
  <si>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</si>
  <si>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</si>
  <si>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</si>
  <si>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</si>
  <si>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</si>
  <si>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</si>
  <si>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</si>
  <si>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</si>
  <si>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</si>
  <si>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</si>
  <si>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</si>
  <si>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</si>
  <si>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</si>
  <si>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</si>
  <si>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</si>
  <si>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</si>
  <si>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</si>
  <si>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</si>
  <si>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</si>
  <si>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</si>
  <si>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</si>
  <si>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</si>
  <si>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</si>
  <si>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</si>
  <si>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</si>
  <si>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</si>
  <si>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</si>
  <si>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</si>
  <si>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</si>
  <si>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</si>
  <si>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</si>
  <si>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</si>
  <si>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</si>
  <si>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</si>
  <si>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</si>
  <si>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</si>
  <si>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</si>
  <si>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</si>
  <si>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</si>
  <si>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</si>
  <si>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</si>
  <si>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</si>
  <si>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</si>
  <si>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</si>
  <si>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</si>
  <si>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</si>
  <si>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</si>
  <si>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</si>
  <si>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</si>
  <si>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</si>
  <si>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</si>
  <si>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</si>
  <si>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</si>
  <si>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</si>
  <si>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</si>
  <si>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</si>
  <si>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</si>
  <si>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</si>
  <si>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</si>
  <si>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</si>
  <si>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</si>
  <si>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</si>
  <si>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</si>
  <si>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</si>
  <si>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</si>
  <si>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</si>
  <si>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</si>
  <si>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</si>
  <si>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</si>
  <si>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</si>
  <si>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</si>
  <si>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</si>
  <si>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</si>
  <si>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</si>
  <si>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</si>
  <si>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</si>
  <si>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</si>
  <si>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</si>
  <si>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</si>
  <si>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</si>
  <si>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</si>
  <si>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</si>
  <si>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</si>
  <si>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</si>
  <si>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</si>
  <si>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</si>
  <si>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</si>
  <si>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</si>
  <si>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</si>
  <si>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</si>
  <si>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</si>
  <si>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</si>
  <si>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</si>
  <si>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</si>
  <si>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</si>
  <si>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</si>
  <si>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</si>
  <si>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</si>
  <si>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</si>
  <si>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</si>
  <si>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</si>
  <si>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</si>
  <si>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</si>
  <si>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</si>
  <si>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</si>
  <si>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</si>
  <si>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</si>
  <si>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</si>
  <si>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</si>
  <si>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</si>
  <si>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</si>
  <si>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</si>
  <si>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</si>
  <si>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</si>
  <si>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</si>
  <si>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</si>
  <si>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</si>
  <si>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</si>
  <si>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</si>
  <si>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</si>
  <si>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</si>
  <si>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</si>
  <si>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</si>
  <si>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</si>
  <si>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</si>
  <si>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</si>
  <si>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</si>
  <si>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</si>
  <si>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</si>
  <si>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</si>
  <si>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</si>
  <si>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</si>
  <si>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</si>
  <si>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</si>
  <si>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</si>
  <si>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</si>
  <si>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</si>
  <si>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</si>
  <si>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</si>
  <si>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</si>
  <si>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</si>
  <si>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</si>
  <si>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</si>
  <si>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</si>
  <si>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</si>
  <si>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</si>
  <si>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</si>
  <si>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</si>
  <si>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</si>
  <si>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</si>
  <si>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</si>
  <si>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</si>
  <si>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</si>
  <si>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</si>
  <si>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</si>
  <si>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</si>
  <si>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</si>
  <si>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</si>
  <si>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</si>
  <si>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</si>
  <si>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</si>
  <si>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</si>
  <si>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</si>
  <si>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</si>
  <si>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</si>
  <si>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</si>
  <si>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</si>
  <si>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</si>
  <si>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</si>
  <si>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</si>
  <si>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</si>
  <si>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</si>
  <si>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</si>
  <si>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</si>
  <si>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</si>
  <si>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</si>
  <si>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</si>
  <si>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</si>
  <si>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</si>
  <si>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</si>
  <si>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</si>
  <si>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</si>
  <si>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</si>
  <si>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</si>
  <si>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</si>
  <si>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</si>
  <si>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</si>
  <si>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</si>
  <si>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</si>
  <si>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</si>
  <si>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</si>
  <si>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</si>
  <si>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</si>
  <si>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</si>
  <si>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</si>
  <si>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</si>
  <si>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</si>
  <si>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</si>
  <si>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</si>
  <si>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</si>
  <si>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</si>
  <si>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</si>
  <si>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</si>
  <si>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</si>
  <si>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</si>
  <si>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</si>
  <si>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</si>
  <si>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</si>
  <si>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</si>
  <si>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</si>
  <si>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</si>
  <si>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</si>
  <si>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</si>
  <si>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</si>
  <si>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</si>
  <si>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</si>
  <si>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</si>
  <si>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</si>
  <si>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</si>
  <si>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</si>
  <si>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</si>
  <si>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</si>
  <si>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</si>
  <si>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</si>
  <si>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</si>
  <si>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</si>
  <si>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</si>
  <si>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</si>
  <si>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</si>
  <si>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</si>
  <si>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</si>
  <si>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</si>
  <si>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</si>
  <si>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</si>
  <si>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</si>
  <si>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</si>
  <si>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</si>
  <si>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</si>
  <si>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</si>
  <si>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</si>
  <si>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</si>
  <si>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</si>
  <si>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</si>
  <si>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</si>
  <si>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</si>
  <si>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</si>
  <si>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</si>
  <si>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</si>
  <si>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</si>
  <si>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</si>
  <si>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</si>
  <si>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</si>
  <si>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</si>
  <si>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</si>
  <si>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</si>
  <si>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</si>
  <si>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</si>
  <si>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</si>
  <si>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</si>
  <si>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</si>
  <si>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</si>
  <si>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</si>
  <si>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</si>
  <si>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</si>
  <si>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</si>
  <si>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</si>
  <si>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</si>
  <si>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</si>
  <si>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</si>
  <si>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</si>
  <si>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</si>
  <si>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</si>
  <si>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</si>
  <si>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</si>
  <si>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</si>
  <si>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</si>
  <si>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</si>
  <si>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</si>
  <si>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</si>
  <si>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</si>
  <si>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</si>
  <si>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</si>
  <si>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</si>
  <si>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</si>
  <si>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</si>
  <si>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</si>
  <si>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</si>
  <si>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</si>
  <si>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</si>
  <si>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</si>
  <si>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</si>
  <si>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</si>
  <si>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</si>
  <si>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</si>
  <si>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</si>
  <si>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</si>
  <si>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</si>
  <si>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</si>
  <si>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</si>
  <si>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</si>
  <si>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</si>
  <si>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</si>
  <si>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</si>
  <si>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</si>
  <si>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</si>
  <si>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</si>
  <si>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</si>
  <si>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</si>
  <si>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</si>
  <si>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</si>
  <si>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</si>
  <si>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</si>
  <si>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</si>
  <si>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</si>
  <si>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</si>
  <si>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</si>
  <si>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</si>
  <si>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</si>
  <si>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</si>
  <si>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</si>
  <si>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</si>
  <si>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</si>
  <si>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</si>
  <si>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</si>
  <si>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</si>
  <si>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</si>
  <si>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</si>
  <si>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</si>
  <si>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</si>
  <si>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</si>
  <si>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</si>
  <si>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</si>
  <si>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</si>
  <si>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</si>
  <si>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</si>
  <si>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</si>
  <si>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</si>
  <si>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</si>
  <si>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</si>
  <si>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</si>
  <si>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</si>
  <si>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</si>
  <si>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</si>
  <si>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</si>
  <si>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</si>
  <si>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</si>
  <si>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</si>
  <si>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</si>
  <si>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</si>
  <si>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</si>
  <si>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</si>
  <si>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</si>
  <si>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</si>
  <si>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</si>
  <si>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</si>
  <si>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</si>
  <si>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</si>
  <si>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</si>
  <si>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</si>
  <si>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</si>
  <si>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</si>
  <si>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</si>
  <si>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</si>
  <si>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</si>
  <si>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</si>
  <si>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</si>
  <si>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</si>
  <si>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</si>
  <si>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</si>
  <si>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</si>
  <si>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</si>
  <si>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</si>
  <si>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</si>
  <si>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</si>
  <si>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</si>
  <si>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</si>
  <si>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</si>
  <si>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</si>
  <si>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</si>
  <si>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</si>
  <si>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</si>
  <si>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</si>
  <si>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</si>
  <si>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</si>
  <si>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</si>
  <si>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</si>
  <si>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</si>
  <si>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</si>
  <si>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</si>
  <si>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</si>
  <si>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</si>
  <si>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</si>
  <si>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</si>
  <si>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</si>
  <si>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</si>
  <si>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</si>
  <si>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</si>
  <si>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</si>
  <si>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</si>
  <si>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</si>
  <si>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</si>
  <si>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</si>
  <si>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</si>
  <si>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</si>
  <si>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</si>
  <si>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</si>
  <si>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</si>
  <si>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</si>
  <si>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</si>
  <si>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</si>
  <si>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</si>
  <si>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</si>
  <si>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</si>
  <si>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</si>
  <si>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</si>
  <si>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</si>
  <si>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</si>
  <si>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</si>
  <si>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</si>
  <si>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</si>
  <si>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</si>
  <si>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</si>
  <si>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</si>
  <si>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</si>
  <si>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</si>
  <si>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</si>
  <si>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</si>
  <si>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</si>
  <si>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</si>
  <si>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</si>
  <si>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</si>
  <si>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</si>
  <si>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</si>
  <si>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</si>
  <si>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</si>
  <si>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</si>
  <si>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</si>
  <si>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</si>
  <si>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</si>
  <si>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</si>
  <si>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</si>
  <si>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</si>
  <si>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</si>
  <si>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</si>
  <si>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</si>
  <si>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</si>
  <si>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</si>
  <si>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</si>
  <si>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</si>
  <si>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</si>
  <si>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</si>
  <si>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</si>
  <si>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</si>
  <si>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</si>
  <si>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</si>
  <si>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</si>
  <si>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</si>
  <si>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</si>
  <si>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</si>
  <si>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</si>
  <si>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</si>
  <si>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</si>
  <si>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</si>
  <si>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</si>
  <si>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</si>
  <si>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</si>
  <si>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</si>
  <si>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</si>
  <si>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</si>
  <si>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</si>
  <si>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</si>
  <si>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</si>
  <si>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</si>
  <si>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</si>
  <si>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</si>
  <si>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</si>
  <si>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</si>
  <si>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</si>
  <si>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</si>
  <si>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</si>
  <si>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</si>
  <si>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</si>
  <si>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</si>
  <si>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</si>
  <si>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</si>
  <si>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</si>
  <si>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</si>
  <si>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</si>
  <si>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</si>
  <si>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</si>
  <si>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</si>
  <si>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</si>
  <si>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</si>
  <si>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</si>
  <si>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</si>
  <si>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</si>
  <si>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</si>
  <si>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</si>
  <si>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</si>
  <si>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</si>
  <si>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</si>
  <si>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</si>
  <si>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</si>
  <si>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</si>
  <si>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</si>
  <si>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</si>
  <si>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</si>
  <si>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</si>
  <si>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</si>
  <si>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</si>
  <si>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</si>
  <si>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</si>
  <si>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</si>
  <si>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</si>
  <si>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</si>
  <si>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</si>
  <si>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</si>
  <si>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</si>
  <si>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</si>
  <si>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</si>
  <si>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</si>
  <si>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</si>
  <si>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</si>
  <si>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</si>
  <si>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</si>
  <si>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</si>
  <si>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</si>
  <si>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</si>
  <si>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</si>
  <si>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</si>
  <si>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</si>
  <si>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</si>
  <si>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</si>
  <si>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</si>
  <si>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</si>
  <si>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</si>
  <si>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</si>
  <si>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</si>
  <si>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</si>
  <si>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</si>
  <si>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</si>
  <si>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</si>
  <si>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</si>
  <si>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</si>
  <si>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</si>
  <si>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</si>
  <si>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</si>
  <si>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</si>
  <si>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</si>
  <si>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</si>
  <si>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</si>
  <si>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</si>
  <si>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</si>
  <si>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</si>
  <si>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</si>
  <si>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</si>
  <si>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</si>
  <si>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</si>
  <si>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</si>
  <si>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</si>
  <si>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</si>
  <si>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</si>
  <si>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</si>
  <si>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</si>
  <si>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</si>
  <si>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</si>
  <si>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</si>
  <si>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</si>
  <si>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</si>
  <si>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</si>
  <si>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</si>
  <si>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</si>
  <si>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</si>
  <si>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</si>
  <si>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</si>
  <si>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</si>
  <si>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</si>
  <si>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</si>
  <si>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</si>
  <si>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</si>
  <si>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</si>
  <si>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</si>
  <si>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</si>
  <si>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</si>
  <si>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</si>
  <si>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</si>
  <si>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</si>
  <si>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</si>
  <si>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</si>
  <si>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</si>
  <si>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</si>
  <si>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</si>
  <si>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</si>
  <si>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</si>
  <si>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</si>
  <si>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</si>
  <si>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</si>
  <si>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</si>
  <si>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</si>
  <si>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</si>
  <si>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</si>
  <si>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</si>
  <si>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</si>
  <si>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</si>
  <si>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</si>
  <si>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</si>
  <si>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</si>
  <si>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</si>
  <si>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</si>
  <si>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</si>
  <si>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</si>
  <si>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</si>
  <si>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</si>
  <si>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</si>
  <si>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</si>
  <si>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</si>
  <si>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</si>
  <si>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</si>
  <si>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</si>
  <si>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</si>
  <si>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</si>
  <si>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</si>
  <si>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</si>
  <si>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</si>
  <si>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</si>
  <si>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</si>
  <si>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</si>
  <si>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</si>
  <si>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</si>
  <si>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</si>
  <si>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</si>
  <si>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</si>
  <si>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</si>
  <si>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</si>
  <si>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</si>
  <si>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</si>
  <si>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</si>
  <si>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</si>
  <si>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</si>
  <si>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</si>
  <si>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</si>
  <si>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</si>
  <si>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</si>
  <si>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</si>
  <si>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</si>
  <si>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</si>
  <si>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</si>
  <si>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</si>
  <si>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</si>
  <si>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</si>
  <si>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</si>
  <si>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</si>
  <si>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</si>
  <si>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</si>
  <si>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</si>
  <si>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</si>
  <si>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</si>
  <si>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</si>
  <si>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</si>
  <si>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</si>
  <si>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</si>
  <si>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</si>
  <si>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</si>
  <si>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</si>
  <si>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</si>
  <si>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</si>
  <si>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</si>
  <si>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</si>
  <si>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</si>
  <si>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</si>
  <si>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</si>
  <si>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</si>
  <si>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</si>
  <si>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</si>
  <si>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</si>
  <si>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</si>
  <si>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</si>
  <si>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</si>
  <si>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</si>
  <si>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</si>
  <si>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</si>
  <si>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</si>
  <si>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</si>
  <si>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</si>
  <si>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</si>
  <si>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</si>
  <si>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</si>
  <si>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</si>
  <si>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</si>
  <si>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</si>
  <si>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</si>
  <si>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</si>
  <si>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</si>
  <si>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</si>
  <si>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</si>
  <si>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</si>
  <si>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</si>
  <si>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</si>
  <si>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</si>
  <si>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</si>
  <si>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</si>
  <si>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</si>
  <si>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</si>
  <si>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</si>
  <si>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</si>
  <si>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</si>
  <si>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</si>
  <si>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</si>
  <si>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</si>
  <si>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</si>
  <si>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</si>
  <si>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</si>
  <si>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</si>
  <si>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</si>
  <si>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</si>
  <si>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</si>
  <si>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</si>
  <si>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</si>
  <si>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</si>
  <si>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</si>
  <si>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</si>
  <si>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</si>
  <si>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</si>
  <si>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</si>
  <si>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</si>
  <si>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</si>
  <si>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</si>
  <si>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</si>
  <si>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</si>
  <si>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</si>
  <si>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</si>
  <si>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</si>
  <si>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</si>
  <si>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</si>
  <si>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</si>
  <si>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</si>
  <si>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</si>
  <si>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</si>
  <si>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</si>
  <si>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</si>
  <si>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</si>
  <si>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</si>
  <si>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</si>
  <si>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</si>
  <si>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</si>
  <si>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</si>
  <si>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</si>
  <si>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</si>
  <si>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</si>
  <si>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</si>
  <si>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</si>
  <si>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</si>
  <si>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</si>
  <si>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</si>
  <si>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</si>
  <si>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</si>
  <si>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</si>
  <si>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</si>
  <si>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</si>
  <si>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</si>
  <si>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</si>
  <si>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</si>
  <si>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</si>
  <si>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</si>
  <si>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</si>
  <si>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</si>
  <si>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</si>
  <si>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</si>
  <si>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</si>
  <si>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</si>
  <si>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</si>
  <si>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</si>
  <si>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</si>
  <si>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</si>
  <si>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</si>
  <si>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</si>
  <si>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</si>
  <si>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</si>
  <si>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</si>
  <si>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</si>
  <si>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</si>
  <si>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</si>
  <si>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</si>
  <si>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</si>
  <si>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</si>
  <si>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</si>
  <si>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</si>
  <si>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</si>
  <si>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</si>
  <si>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</si>
  <si>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</si>
  <si>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</si>
  <si>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</si>
  <si>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</si>
  <si>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</si>
  <si>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</si>
  <si>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</si>
  <si>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</si>
  <si>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</si>
  <si>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</si>
  <si>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</si>
  <si>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</si>
  <si>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</si>
  <si>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</si>
  <si>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</si>
  <si>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</si>
  <si>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</si>
  <si>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</si>
  <si>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</si>
  <si>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</si>
  <si>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</si>
  <si>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</si>
  <si>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</si>
  <si>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</si>
  <si>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</si>
  <si>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</si>
  <si>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</si>
  <si>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</si>
  <si>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</si>
  <si>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</si>
  <si>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</si>
  <si>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</si>
  <si>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</si>
  <si>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</si>
  <si>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</si>
  <si>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</si>
  <si>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</si>
  <si>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</si>
  <si>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</si>
  <si>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</si>
  <si>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</si>
  <si>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</si>
  <si>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</si>
  <si>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</si>
  <si>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</si>
  <si>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</si>
  <si>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</si>
  <si>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</si>
  <si>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</si>
  <si>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</si>
  <si>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</si>
  <si>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</si>
  <si>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</si>
  <si>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</si>
  <si>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</si>
  <si>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</si>
  <si>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</si>
  <si>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</si>
  <si>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</si>
  <si>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</si>
  <si>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</si>
  <si>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</si>
  <si>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</si>
  <si>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</si>
  <si>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</si>
  <si>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</si>
  <si>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</si>
  <si>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</si>
  <si>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</si>
  <si>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</si>
  <si>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</si>
  <si>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</si>
  <si>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</si>
  <si>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</si>
  <si>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</si>
  <si>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</si>
  <si>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</si>
  <si>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</si>
  <si>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</si>
  <si>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</si>
  <si>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</si>
  <si>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</si>
  <si>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</si>
  <si>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</si>
  <si>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</si>
  <si>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</si>
  <si>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</si>
  <si>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</si>
  <si>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</si>
  <si>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</si>
  <si>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</si>
  <si>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</si>
  <si>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</si>
  <si>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</si>
  <si>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</si>
  <si>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</si>
  <si>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</si>
  <si>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</si>
  <si>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</si>
  <si>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</si>
  <si>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</si>
  <si>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</si>
  <si>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</si>
  <si>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</si>
  <si>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</si>
  <si>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</si>
  <si>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</si>
  <si>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</si>
  <si>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</si>
  <si>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</si>
  <si>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</si>
  <si>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</si>
  <si>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</si>
  <si>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</si>
  <si>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</si>
  <si>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</si>
  <si>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</si>
  <si>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</si>
  <si>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</si>
  <si>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</si>
  <si>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</si>
  <si>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</si>
  <si>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</si>
  <si>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</si>
  <si>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</si>
  <si>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</si>
  <si>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</si>
  <si>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</si>
  <si>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</si>
  <si>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</si>
  <si>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</si>
  <si>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</si>
  <si>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</si>
  <si>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</si>
  <si>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</si>
  <si>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</si>
  <si>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</si>
  <si>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</si>
  <si>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</si>
  <si>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</si>
  <si>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</si>
  <si>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</si>
  <si>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</si>
  <si>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</si>
  <si>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</si>
  <si>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</si>
  <si>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</si>
  <si>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</si>
  <si>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</si>
  <si>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</si>
  <si>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</si>
  <si>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</si>
  <si>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</si>
  <si>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</si>
  <si>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</si>
  <si>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</si>
  <si>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</si>
  <si>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</si>
  <si>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</si>
  <si>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</si>
  <si>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</si>
  <si>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</si>
  <si>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</si>
  <si>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</si>
  <si>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</si>
  <si>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</si>
  <si>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</si>
  <si>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</si>
  <si>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</si>
  <si>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</si>
  <si>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</si>
  <si>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</si>
  <si>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</si>
  <si>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</si>
  <si>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</si>
  <si>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</si>
  <si>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</si>
  <si>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</si>
  <si>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</si>
  <si>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</si>
  <si>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</si>
  <si>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</si>
  <si>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</si>
  <si>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</si>
  <si>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</si>
  <si>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</si>
  <si>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</si>
  <si>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</si>
  <si>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</si>
  <si>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</si>
  <si>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</si>
  <si>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</si>
  <si>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</si>
  <si>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</si>
  <si>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</si>
  <si>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</si>
  <si>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</si>
  <si>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</si>
  <si>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</si>
  <si>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</si>
  <si>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</si>
  <si>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</si>
  <si>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</si>
  <si>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</si>
  <si>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</si>
  <si>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</si>
  <si>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</si>
  <si>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</si>
  <si>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</si>
  <si>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</si>
  <si>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</si>
  <si>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</si>
  <si>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</si>
  <si>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</si>
  <si>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</si>
  <si>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</si>
  <si>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</si>
  <si>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</si>
  <si>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</si>
  <si>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</si>
  <si>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</si>
  <si>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</si>
  <si>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</si>
  <si>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</si>
  <si>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</si>
  <si>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</si>
  <si>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</si>
  <si>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</si>
  <si>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</si>
  <si>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</si>
  <si>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</si>
  <si>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</si>
  <si>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</si>
  <si>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</si>
  <si>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</si>
  <si>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</si>
  <si>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</si>
  <si>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</si>
  <si>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</si>
  <si>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</si>
  <si>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</si>
  <si>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</si>
  <si>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</si>
  <si>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</si>
  <si>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</si>
  <si>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</si>
  <si>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</si>
  <si>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</si>
  <si>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</si>
  <si>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</si>
  <si>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</si>
  <si>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</si>
  <si>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</si>
  <si>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</si>
  <si>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</si>
  <si>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</si>
  <si>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</si>
  <si>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</si>
  <si>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</si>
  <si>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</si>
  <si>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</si>
  <si>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</si>
  <si>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</si>
  <si>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</si>
  <si>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</si>
  <si>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</si>
  <si>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</si>
  <si>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</si>
  <si>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</si>
  <si>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</si>
  <si>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</si>
  <si>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</si>
  <si>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</si>
  <si>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</si>
  <si>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</si>
  <si>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</si>
  <si>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</si>
  <si>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</si>
  <si>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</si>
  <si>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</si>
  <si>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</si>
  <si>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</si>
  <si>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</si>
  <si>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</si>
  <si>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</si>
  <si>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</si>
  <si>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</si>
  <si>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</si>
  <si>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</si>
  <si>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</si>
  <si>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</si>
  <si>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</si>
  <si>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</si>
  <si>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</si>
  <si>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</si>
  <si>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</si>
  <si>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</si>
  <si>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</si>
  <si>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</si>
  <si>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</si>
  <si>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</si>
  <si>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</si>
  <si>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</si>
  <si>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</si>
  <si>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</si>
  <si>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</si>
  <si>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</si>
  <si>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</si>
  <si>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</si>
  <si>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</si>
  <si>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</si>
  <si>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</si>
  <si>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</si>
  <si>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</si>
  <si>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</si>
  <si>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</si>
  <si>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</si>
  <si>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</si>
  <si>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</si>
  <si>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</si>
  <si>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</si>
  <si>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</si>
  <si>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</si>
  <si>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</si>
  <si>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</si>
  <si>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</si>
  <si>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</si>
  <si>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</si>
  <si>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</si>
  <si>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</si>
  <si>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</si>
  <si>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</si>
  <si>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</si>
  <si>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</si>
  <si>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</si>
  <si>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</si>
  <si>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</si>
  <si>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</si>
  <si>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</si>
  <si>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</si>
  <si>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</si>
  <si>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</si>
  <si>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</si>
  <si>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</si>
  <si>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</si>
  <si>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</si>
  <si>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</si>
  <si>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</si>
  <si>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</si>
  <si>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</si>
  <si>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</si>
  <si>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</si>
  <si>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</si>
  <si>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</si>
  <si>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</si>
  <si>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</si>
  <si>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</si>
  <si>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</si>
  <si>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</si>
  <si>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</si>
  <si>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</si>
  <si>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</si>
  <si>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</si>
  <si>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</si>
  <si>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</si>
  <si>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</si>
  <si>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</si>
  <si>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</si>
  <si>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</si>
  <si>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</si>
  <si>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</si>
  <si>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</si>
  <si>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</si>
  <si>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</si>
  <si>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</si>
  <si>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</si>
  <si>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</si>
  <si>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</si>
  <si>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</si>
  <si>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</si>
  <si>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</si>
  <si>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</si>
  <si>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</si>
  <si>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</si>
  <si>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</si>
  <si>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</si>
  <si>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</si>
  <si>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</si>
  <si>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</si>
  <si>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</si>
  <si>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</si>
  <si>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</si>
  <si>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</si>
  <si>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</si>
  <si>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</si>
  <si>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</si>
  <si>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</si>
  <si>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</si>
  <si>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</si>
  <si>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</si>
  <si>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</si>
  <si>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</si>
  <si>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</si>
  <si>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</si>
  <si>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</si>
  <si>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</si>
  <si>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</si>
  <si>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</si>
  <si>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</si>
  <si>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</si>
  <si>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</si>
  <si>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</si>
  <si>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</si>
  <si>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</si>
  <si>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</si>
  <si>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</si>
  <si>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</si>
  <si>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</si>
  <si>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</si>
  <si>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</si>
  <si>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</si>
  <si>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</si>
  <si>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</si>
  <si>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</si>
  <si>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</si>
  <si>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</si>
  <si>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</si>
  <si>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</si>
  <si>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</si>
  <si>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</si>
  <si>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</si>
  <si>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</si>
  <si>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</si>
  <si>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</si>
  <si>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</si>
  <si>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</si>
  <si>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</si>
  <si>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</si>
  <si>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</si>
  <si>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</si>
  <si>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</si>
  <si>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</si>
  <si>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</si>
  <si>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</si>
  <si>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</si>
  <si>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</si>
  <si>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</si>
  <si>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</si>
  <si>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</si>
  <si>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</si>
  <si>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</si>
  <si>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</si>
  <si>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</si>
  <si>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</si>
  <si>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</si>
  <si>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</si>
  <si>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</si>
  <si>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</si>
  <si>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</si>
  <si>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</si>
  <si>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</si>
  <si>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</si>
  <si>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</si>
  <si>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</si>
  <si>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</si>
  <si>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</si>
  <si>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</si>
  <si>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</si>
  <si>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</si>
  <si>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</si>
  <si>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</si>
  <si>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</si>
  <si>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</si>
  <si>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</si>
  <si>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</si>
  <si>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</si>
  <si>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</si>
  <si>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</si>
  <si>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</si>
  <si>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</si>
  <si>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</si>
  <si>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</si>
  <si>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</si>
  <si>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</si>
  <si>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</si>
  <si>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</si>
  <si>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</si>
  <si>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</si>
  <si>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</si>
  <si>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</si>
  <si>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</si>
  <si>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</si>
  <si>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</si>
  <si>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</si>
  <si>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</si>
  <si>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</si>
  <si>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</si>
  <si>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</si>
  <si>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</si>
  <si>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</si>
  <si>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</si>
  <si>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</si>
  <si>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</si>
  <si>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</si>
  <si>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</si>
  <si>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</si>
  <si>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</si>
  <si>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</si>
  <si>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</si>
  <si>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</si>
  <si>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</si>
  <si>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</si>
  <si>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</si>
  <si>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</si>
  <si>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</si>
  <si>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</si>
  <si>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</si>
  <si>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</si>
  <si>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</si>
  <si>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</si>
  <si>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</si>
  <si>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</si>
  <si>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</si>
  <si>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</si>
  <si>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</si>
  <si>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</si>
  <si>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</si>
  <si>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</si>
  <si>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</si>
  <si>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</si>
  <si>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</si>
  <si>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</si>
  <si>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</si>
  <si>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</si>
  <si>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</si>
  <si>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</si>
  <si>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</si>
  <si>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</si>
  <si>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</si>
  <si>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</si>
  <si>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</si>
  <si>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</si>
  <si>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</si>
  <si>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</si>
  <si>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</si>
  <si>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</si>
  <si>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</si>
  <si>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</si>
  <si>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</si>
  <si>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</si>
  <si>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</si>
  <si>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</si>
  <si>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</si>
  <si>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</si>
  <si>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</si>
  <si>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</si>
  <si>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</si>
  <si>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</si>
  <si>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</si>
  <si>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</si>
  <si>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</si>
  <si>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</si>
  <si>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</si>
  <si>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</si>
  <si>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</si>
  <si>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</si>
  <si>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</si>
  <si>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</si>
  <si>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</si>
  <si>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</si>
  <si>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</si>
  <si>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</si>
  <si>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</si>
  <si>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</si>
  <si>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</si>
  <si>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</si>
  <si>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</si>
  <si>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</si>
  <si>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</si>
  <si>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</si>
  <si>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</si>
  <si>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</si>
  <si>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</si>
  <si>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</si>
  <si>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</si>
  <si>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</si>
  <si>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</si>
  <si>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</si>
  <si>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</si>
  <si>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</si>
  <si>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</si>
  <si>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</si>
  <si>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</si>
  <si>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</si>
  <si>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</si>
  <si>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</si>
  <si>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</si>
  <si>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</si>
  <si>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</si>
  <si>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</si>
  <si>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</si>
  <si>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</si>
  <si>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</si>
  <si>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</si>
  <si>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</si>
  <si>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</si>
  <si>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</si>
  <si>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</si>
  <si>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</si>
  <si>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</si>
  <si>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</si>
  <si>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</si>
  <si>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</si>
  <si>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</si>
  <si>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</si>
  <si>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</si>
  <si>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</si>
  <si>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</si>
  <si>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</si>
  <si>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</si>
  <si>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</si>
  <si>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</si>
  <si>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</si>
  <si>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</si>
  <si>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</si>
  <si>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</si>
  <si>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</si>
  <si>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</si>
  <si>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</si>
  <si>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</si>
  <si>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</si>
  <si>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</si>
  <si>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</si>
  <si>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</si>
  <si>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</si>
  <si>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</si>
  <si>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</si>
  <si>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</si>
  <si>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</si>
  <si>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</si>
  <si>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</si>
  <si>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</si>
  <si>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</si>
  <si>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</si>
  <si>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</si>
  <si>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</si>
  <si>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</si>
  <si>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</si>
  <si>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</si>
  <si>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</si>
  <si>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</si>
  <si>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</si>
  <si>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</si>
  <si>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</si>
  <si>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</si>
  <si>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</si>
  <si>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</si>
  <si>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</si>
  <si>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</si>
  <si>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</si>
  <si>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</si>
  <si>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</si>
  <si>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</si>
  <si>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</si>
  <si>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</si>
  <si>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</si>
  <si>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</si>
  <si>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</si>
  <si>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</si>
  <si>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</si>
  <si>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</si>
  <si>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</si>
  <si>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</si>
  <si>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</si>
  <si>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</si>
  <si>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</si>
  <si>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</si>
  <si>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</si>
  <si>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</si>
  <si>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</si>
  <si>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</si>
  <si>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</si>
  <si>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</si>
  <si>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</si>
  <si>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</si>
  <si>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</si>
  <si>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</si>
  <si>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</si>
  <si>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</si>
  <si>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</si>
  <si>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</si>
  <si>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</si>
  <si>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</si>
  <si>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</si>
  <si>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</si>
  <si>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</si>
  <si>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</si>
  <si>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</si>
  <si>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</si>
  <si>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</si>
  <si>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</si>
  <si>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</si>
  <si>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</si>
  <si>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</si>
  <si>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</si>
  <si>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</si>
  <si>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</si>
  <si>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</si>
  <si>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</si>
  <si>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</si>
  <si>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</si>
  <si>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</si>
  <si>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</si>
  <si>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</si>
  <si>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</si>
  <si>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</si>
  <si>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</si>
  <si>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</si>
  <si>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</si>
  <si>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</si>
  <si>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</si>
  <si>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</si>
  <si>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</si>
  <si>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</si>
  <si>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</si>
  <si>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</si>
  <si>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</si>
  <si>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</si>
  <si>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</si>
  <si>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</si>
  <si>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</si>
  <si>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</si>
  <si>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</si>
  <si>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</si>
  <si>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</si>
  <si>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</si>
  <si>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</si>
  <si>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</si>
  <si>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</si>
  <si>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</si>
  <si>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</si>
  <si>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</si>
  <si>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</si>
  <si>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</si>
  <si>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</si>
  <si>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</si>
  <si>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</si>
  <si>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</si>
  <si>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</si>
  <si>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</si>
  <si>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</si>
  <si>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</si>
  <si>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</si>
  <si>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</si>
  <si>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</si>
  <si>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</si>
  <si>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</si>
  <si>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</si>
  <si>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</si>
  <si>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</si>
  <si>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</si>
  <si>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</si>
  <si>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</si>
  <si>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</si>
  <si>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</si>
  <si>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</si>
  <si>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</si>
  <si>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</si>
  <si>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</si>
  <si>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</si>
  <si>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</si>
  <si>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</si>
  <si>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</si>
  <si>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</si>
  <si>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</si>
  <si>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</si>
  <si>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</si>
  <si>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</si>
  <si>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</si>
  <si>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</si>
  <si>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</si>
  <si>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</si>
  <si>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</si>
  <si>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</si>
  <si>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</si>
  <si>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</si>
  <si>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</si>
  <si>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</si>
  <si>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</si>
  <si>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</si>
  <si>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</si>
  <si>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</si>
  <si>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</si>
  <si>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</si>
  <si>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</si>
  <si>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</si>
  <si>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</si>
  <si>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</si>
  <si>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</si>
  <si>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</si>
  <si>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</si>
  <si>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</si>
  <si>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</si>
  <si>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</si>
  <si>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</si>
  <si>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</si>
  <si>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</si>
  <si>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</si>
  <si>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</si>
  <si>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</si>
  <si>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</si>
  <si>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</si>
  <si>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</si>
  <si>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</si>
  <si>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</si>
  <si>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</si>
  <si>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</si>
  <si>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</si>
  <si>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</si>
  <si>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</si>
  <si>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</si>
  <si>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</si>
  <si>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</si>
  <si>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</si>
  <si>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</si>
  <si>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</si>
  <si>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</si>
  <si>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</si>
  <si>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</si>
  <si>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</si>
  <si>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</si>
  <si>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</si>
  <si>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</si>
  <si>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</si>
  <si>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</si>
  <si>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</si>
  <si>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</si>
  <si>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</si>
  <si>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</si>
  <si>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</si>
  <si>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</si>
  <si>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</si>
  <si>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</si>
  <si>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</si>
  <si>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</si>
  <si>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</si>
  <si>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</si>
  <si>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</si>
  <si>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</si>
  <si>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</si>
  <si>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</si>
  <si>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</si>
  <si>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</si>
  <si>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</si>
  <si>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</si>
  <si>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</si>
  <si>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</si>
  <si>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</si>
  <si>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</si>
  <si>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</si>
  <si>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</si>
  <si>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</si>
  <si>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</si>
  <si>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</si>
  <si>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</si>
  <si>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</si>
  <si>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</si>
  <si>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</si>
  <si>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</si>
  <si>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</si>
  <si>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</si>
  <si>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</si>
  <si>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</si>
  <si>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</si>
  <si>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</si>
  <si>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</si>
  <si>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</si>
  <si>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</si>
  <si>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</si>
  <si>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</si>
  <si>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</si>
  <si>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</si>
  <si>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</si>
  <si>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</si>
  <si>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</si>
  <si>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</si>
  <si>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</si>
  <si>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</si>
  <si>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</si>
  <si>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</si>
  <si>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</si>
  <si>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</si>
  <si>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</si>
  <si>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</si>
  <si>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</si>
  <si>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</si>
  <si>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</si>
  <si>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</si>
  <si>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</si>
  <si>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</si>
  <si>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</si>
  <si>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</si>
  <si>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</si>
  <si>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</si>
  <si>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</si>
  <si>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</si>
  <si>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</si>
  <si>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</si>
  <si>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</si>
  <si>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</si>
  <si>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</si>
  <si>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</si>
  <si>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</si>
  <si>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</si>
  <si>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</si>
  <si>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</si>
  <si>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</si>
  <si>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</si>
  <si>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</si>
  <si>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</si>
  <si>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</si>
  <si>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</si>
  <si>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</si>
  <si>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</si>
  <si>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</si>
  <si>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</si>
  <si>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</si>
  <si>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</si>
  <si>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</si>
  <si>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</si>
  <si>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</si>
  <si>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</si>
  <si>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</si>
  <si>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</si>
  <si>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</si>
  <si>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</si>
  <si>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</si>
  <si>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</si>
  <si>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</si>
  <si>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</si>
  <si>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</si>
  <si>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</si>
  <si>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</si>
  <si>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</si>
  <si>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</si>
  <si>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</si>
  <si>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</si>
  <si>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</si>
  <si>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</si>
  <si>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</si>
  <si>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</si>
  <si>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</si>
  <si>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</si>
  <si>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</si>
  <si>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</si>
  <si>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</si>
  <si>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</si>
  <si>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</si>
  <si>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</si>
  <si>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</si>
  <si>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</si>
  <si>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</si>
  <si>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</si>
  <si>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</si>
  <si>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</si>
  <si>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</si>
  <si>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</si>
  <si>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</si>
  <si>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</si>
  <si>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</si>
  <si>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</si>
  <si>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</si>
  <si>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</si>
  <si>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</si>
  <si>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</si>
  <si>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</si>
  <si>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</si>
  <si>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</si>
  <si>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</si>
  <si>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</si>
  <si>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</si>
  <si>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</si>
  <si>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</si>
  <si>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</si>
  <si>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</si>
  <si>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</si>
  <si>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</si>
  <si>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</si>
  <si>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</si>
  <si>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</si>
  <si>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</si>
  <si>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</si>
  <si>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</si>
  <si>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</si>
  <si>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</si>
  <si>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</si>
  <si>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</si>
  <si>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</si>
  <si>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</si>
  <si>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</si>
  <si>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</si>
  <si>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</si>
  <si>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</si>
  <si>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</si>
  <si>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</si>
  <si>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</si>
  <si>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</si>
  <si>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</si>
  <si>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</si>
  <si>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</si>
  <si>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</si>
  <si>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</si>
  <si>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</si>
  <si>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</si>
  <si>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</si>
  <si>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</si>
  <si>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</si>
  <si>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</si>
  <si>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</si>
  <si>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</si>
  <si>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</si>
  <si>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</si>
  <si>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</si>
  <si>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</si>
  <si>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</si>
  <si>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</si>
  <si>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</si>
  <si>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</si>
  <si>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</si>
  <si>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</si>
  <si>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</si>
  <si>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</si>
  <si>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</si>
  <si>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</si>
  <si>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</si>
  <si>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</si>
  <si>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</si>
  <si>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</si>
  <si>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</si>
  <si>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</si>
  <si>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</si>
  <si>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</si>
  <si>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</si>
  <si>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</si>
  <si>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</si>
  <si>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</si>
  <si>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</si>
  <si>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</si>
  <si>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</si>
  <si>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</si>
  <si>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</si>
  <si>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</si>
  <si>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</si>
  <si>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</si>
  <si>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</si>
  <si>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</si>
  <si>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</si>
  <si>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</si>
  <si>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</si>
  <si>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</si>
  <si>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</si>
  <si>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</si>
  <si>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</si>
  <si>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</si>
  <si>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</si>
  <si>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</si>
  <si>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</si>
  <si>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</si>
  <si>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</si>
  <si>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</si>
  <si>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</si>
  <si>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</si>
  <si>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</si>
  <si>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</si>
  <si>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</si>
  <si>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</si>
  <si>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</si>
  <si>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</si>
  <si>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</si>
  <si>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</si>
  <si>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</si>
  <si>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</si>
  <si>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</si>
  <si>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</si>
  <si>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</si>
  <si>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</si>
  <si>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</si>
  <si>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</si>
  <si>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</si>
  <si>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</si>
  <si>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</si>
  <si>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</si>
  <si>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</si>
  <si>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</si>
  <si>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</si>
  <si>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</si>
  <si>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</si>
  <si>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</si>
  <si>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</si>
  <si>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</si>
  <si>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</si>
  <si>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</si>
  <si>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</si>
  <si>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</si>
  <si>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</si>
  <si>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</si>
  <si>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</si>
  <si>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</si>
  <si>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</si>
  <si>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</si>
  <si>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</si>
  <si>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</si>
  <si>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</si>
  <si>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</si>
  <si>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</si>
  <si>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</si>
  <si>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</si>
  <si>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</si>
  <si>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</si>
  <si>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</si>
  <si>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</si>
  <si>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</si>
  <si>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</si>
  <si>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</si>
  <si>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</si>
  <si>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</si>
  <si>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</si>
  <si>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</si>
  <si>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</si>
  <si>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</si>
  <si>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</si>
  <si>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</si>
  <si>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</si>
  <si>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</si>
  <si>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</si>
  <si>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</si>
  <si>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</si>
  <si>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</si>
  <si>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</si>
  <si>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</si>
  <si>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</si>
  <si>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</si>
  <si>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</si>
  <si>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</si>
  <si>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</si>
  <si>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</si>
  <si>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</si>
  <si>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</si>
  <si>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</si>
  <si>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</si>
  <si>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</si>
  <si>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</si>
  <si>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</si>
  <si>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</si>
  <si>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</si>
  <si>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</si>
  <si>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</si>
  <si>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</si>
  <si>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</si>
  <si>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</si>
  <si>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</si>
  <si>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</si>
  <si>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</si>
  <si>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</si>
  <si>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</si>
  <si>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</si>
  <si>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</si>
  <si>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</si>
  <si>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</si>
  <si>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</si>
  <si>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</si>
  <si>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</si>
  <si>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</si>
  <si>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</si>
  <si>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</si>
  <si>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</si>
  <si>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</si>
  <si>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</si>
  <si>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</si>
  <si>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</si>
  <si>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</si>
  <si>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</si>
  <si>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</si>
  <si>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</si>
  <si>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</si>
  <si>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</si>
  <si>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</si>
  <si>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</si>
  <si>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</si>
  <si>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</si>
  <si>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</si>
  <si>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</si>
  <si>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</si>
  <si>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</si>
  <si>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</si>
  <si>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</si>
  <si>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</si>
  <si>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</si>
  <si>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</si>
  <si>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</si>
  <si>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</si>
  <si>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</si>
  <si>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</si>
  <si>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</si>
  <si>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</si>
  <si>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</si>
  <si>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</si>
  <si>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</si>
  <si>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</si>
  <si>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</si>
  <si>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</si>
  <si>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</si>
  <si>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</si>
  <si>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</si>
  <si>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</si>
  <si>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</si>
  <si>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</si>
  <si>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</si>
  <si>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</si>
  <si>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</si>
  <si>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</si>
  <si>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</si>
  <si>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</si>
  <si>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</si>
  <si>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</si>
  <si>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</si>
  <si>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</si>
  <si>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</si>
  <si>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</si>
  <si>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</si>
  <si>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</si>
  <si>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</si>
  <si>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</si>
  <si>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</si>
  <si>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</si>
  <si>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</si>
  <si>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</si>
  <si>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</si>
  <si>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</si>
  <si>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</si>
  <si>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</si>
  <si>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</si>
  <si>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</si>
  <si>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</si>
  <si>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</si>
  <si>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</si>
  <si>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</si>
  <si>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</si>
  <si>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</si>
  <si>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</si>
  <si>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</si>
  <si>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</si>
  <si>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</si>
  <si>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</si>
  <si>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</si>
  <si>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</si>
  <si>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</si>
  <si>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</si>
  <si>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</si>
  <si>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</si>
  <si>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</si>
  <si>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</si>
  <si>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</si>
  <si>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</si>
  <si>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</si>
  <si>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</si>
  <si>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</si>
  <si>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</si>
  <si>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</si>
  <si>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</si>
  <si>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</si>
  <si>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</si>
  <si>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</si>
  <si>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</si>
  <si>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</si>
  <si>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</si>
  <si>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</si>
  <si>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</si>
  <si>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</si>
  <si>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</si>
  <si>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</si>
  <si>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</si>
  <si>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</si>
  <si>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</si>
  <si>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</si>
  <si>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</si>
  <si>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</si>
  <si>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</si>
  <si>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</si>
  <si>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</si>
  <si>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</si>
  <si>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</si>
  <si>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</si>
  <si>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</si>
  <si>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</si>
  <si>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</si>
  <si>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</si>
  <si>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</si>
  <si>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</si>
  <si>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</si>
  <si>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</si>
  <si>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</si>
  <si>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</si>
  <si>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</si>
  <si>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</si>
  <si>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</si>
  <si>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</si>
  <si>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</si>
  <si>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</si>
  <si>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</si>
  <si>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</si>
  <si>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</si>
  <si>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</si>
  <si>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</si>
  <si>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</si>
  <si>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</si>
  <si>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</si>
  <si>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</si>
  <si>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</si>
  <si>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</si>
  <si>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</si>
  <si>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</si>
  <si>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</si>
  <si>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</si>
  <si>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</si>
  <si>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</si>
  <si>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</si>
  <si>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</si>
  <si>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</si>
  <si>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</si>
  <si>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</si>
  <si>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</si>
  <si>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</si>
  <si>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</si>
  <si>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</si>
  <si>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</si>
  <si>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</si>
  <si>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</si>
  <si>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</si>
  <si>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</si>
  <si>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</si>
  <si>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</si>
  <si>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</si>
  <si>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</si>
  <si>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</si>
  <si>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</si>
  <si>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</si>
  <si>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</si>
  <si>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</si>
  <si>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</si>
  <si>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</si>
  <si>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</si>
  <si>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</si>
  <si>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</si>
  <si>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</si>
  <si>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</si>
  <si>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</si>
  <si>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</si>
  <si>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</si>
  <si>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</si>
  <si>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</si>
  <si>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</si>
  <si>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</si>
  <si>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</si>
  <si>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</si>
  <si>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</si>
  <si>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</si>
  <si>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</si>
  <si>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</si>
  <si>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</si>
  <si>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</si>
  <si>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</si>
  <si>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</si>
  <si>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</si>
  <si>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</si>
  <si>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</si>
  <si>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</si>
  <si>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</si>
  <si>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</si>
  <si>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</si>
  <si>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</si>
  <si>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</si>
  <si>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</si>
  <si>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</si>
  <si>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</si>
  <si>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</si>
  <si>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</si>
  <si>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</si>
  <si>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</si>
  <si>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</si>
  <si>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</si>
  <si>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</si>
  <si>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</si>
  <si>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</si>
  <si>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</si>
  <si>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</si>
  <si>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</si>
  <si>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</si>
  <si>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</si>
  <si>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</si>
  <si>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</si>
  <si>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</si>
  <si>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</si>
  <si>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</si>
  <si>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</si>
  <si>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</si>
  <si>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</si>
  <si>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</si>
  <si>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</si>
  <si>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</si>
  <si>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</si>
  <si>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</si>
  <si>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</si>
  <si>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</si>
  <si>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</si>
  <si>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</si>
  <si>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</si>
  <si>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</si>
  <si>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</si>
  <si>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</si>
  <si>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</si>
  <si>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</si>
  <si>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</si>
  <si>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</si>
  <si>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</si>
  <si>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</si>
  <si>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</si>
  <si>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</si>
  <si>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</si>
  <si>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</si>
  <si>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</si>
  <si>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</si>
  <si>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</si>
  <si>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</si>
  <si>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</si>
  <si>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</si>
  <si>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</si>
  <si>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</si>
  <si>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</si>
  <si>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</si>
  <si>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</si>
  <si>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</si>
  <si>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</si>
  <si>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</si>
  <si>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</si>
  <si>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</si>
  <si>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</si>
  <si>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</si>
  <si>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</si>
  <si>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</si>
  <si>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</si>
  <si>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</si>
  <si>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</si>
  <si>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</si>
  <si>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</si>
  <si>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</si>
  <si>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</si>
  <si>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</si>
  <si>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</si>
  <si>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</si>
  <si>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</si>
  <si>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</si>
  <si>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</si>
  <si>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</si>
  <si>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</si>
  <si>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</si>
  <si>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</si>
  <si>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</si>
  <si>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</si>
  <si>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</si>
  <si>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</si>
  <si>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</si>
  <si>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</si>
  <si>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</si>
  <si>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</si>
  <si>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</si>
  <si>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</si>
  <si>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</si>
  <si>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</si>
  <si>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</si>
  <si>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</si>
  <si>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</si>
  <si>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</si>
  <si>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</si>
  <si>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</si>
  <si>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</si>
  <si>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</si>
  <si>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</si>
  <si>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</si>
  <si>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</si>
  <si>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</si>
  <si>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</si>
  <si>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</si>
  <si>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</si>
  <si>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</si>
  <si>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</si>
  <si>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</si>
  <si>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</si>
  <si>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</si>
  <si>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</si>
  <si>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</si>
  <si>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</si>
  <si>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</si>
  <si>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</si>
  <si>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</si>
  <si>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</si>
  <si>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</si>
  <si>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</si>
  <si>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</si>
  <si>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</si>
  <si>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</si>
  <si>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</si>
  <si>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</si>
  <si>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</si>
  <si>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</si>
  <si>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</si>
  <si>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</si>
  <si>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</si>
  <si>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</si>
  <si>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</si>
  <si>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</si>
  <si>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</si>
  <si>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</si>
  <si>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</si>
  <si>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</si>
  <si>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</si>
  <si>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</si>
  <si>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</si>
  <si>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</si>
  <si>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</si>
  <si>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</si>
  <si>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</si>
  <si>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</si>
  <si>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</si>
  <si>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</si>
  <si>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</si>
  <si>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</si>
  <si>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</si>
  <si>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</si>
  <si>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</si>
  <si>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</si>
  <si>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</si>
  <si>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</si>
  <si>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</si>
  <si>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</si>
  <si>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</si>
  <si>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</si>
  <si>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</si>
  <si>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</si>
  <si>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</si>
  <si>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</si>
  <si>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</si>
  <si>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</si>
  <si>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</si>
  <si>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</si>
  <si>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</si>
  <si>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</si>
  <si>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</si>
  <si>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</si>
  <si>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</si>
  <si>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</si>
  <si>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</si>
  <si>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</si>
  <si>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</si>
  <si>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</si>
  <si>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</si>
  <si>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</si>
  <si>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</si>
  <si>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</si>
  <si>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</si>
  <si>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</si>
  <si>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</si>
  <si>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</si>
  <si>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</si>
  <si>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</si>
  <si>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</si>
  <si>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</si>
  <si>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</si>
  <si>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</si>
  <si>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</si>
  <si>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</si>
  <si>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</si>
  <si>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</si>
  <si>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</si>
  <si>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</si>
  <si>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</si>
  <si>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</si>
  <si>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</si>
  <si>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</si>
  <si>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</si>
  <si>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</si>
  <si>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</si>
  <si>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</si>
  <si>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</si>
  <si>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</si>
  <si>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</si>
  <si>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</si>
  <si>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</si>
  <si>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</si>
  <si>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</si>
  <si>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</si>
  <si>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</si>
  <si>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</si>
  <si>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</si>
  <si>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</si>
  <si>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</si>
  <si>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</si>
  <si>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</si>
  <si>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</si>
  <si>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</si>
  <si>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</si>
  <si>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</si>
  <si>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</si>
  <si>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</si>
  <si>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</si>
  <si>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</si>
  <si>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</si>
  <si>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</si>
  <si>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</si>
  <si>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</si>
  <si>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</si>
  <si>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</si>
  <si>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</si>
  <si>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</si>
  <si>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</si>
  <si>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</si>
  <si>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</si>
  <si>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</si>
  <si>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</si>
  <si>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</si>
  <si>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</si>
  <si>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</si>
  <si>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</si>
  <si>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</si>
  <si>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</si>
  <si>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</si>
  <si>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</si>
  <si>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</si>
  <si>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</si>
  <si>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</si>
  <si>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</si>
  <si>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</si>
  <si>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</si>
  <si>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</si>
  <si>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</si>
  <si>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</si>
  <si>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</si>
  <si>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</si>
  <si>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</si>
  <si>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</si>
  <si>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</si>
  <si>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</si>
  <si>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</si>
  <si>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</si>
  <si>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</si>
  <si>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</si>
  <si>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</si>
  <si>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</si>
  <si>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</si>
  <si>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</si>
  <si>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</si>
  <si>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</si>
  <si>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</si>
  <si>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</si>
  <si>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</si>
  <si>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</si>
  <si>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</si>
  <si>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</si>
  <si>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</si>
  <si>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</si>
  <si>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</si>
  <si>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</si>
  <si>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</si>
  <si>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</si>
  <si>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</si>
  <si>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</si>
  <si>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</si>
  <si>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</si>
  <si>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</si>
  <si>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</si>
  <si>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</si>
  <si>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</si>
  <si>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</si>
  <si>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</si>
  <si>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</si>
  <si>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</si>
  <si>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</si>
  <si>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</si>
  <si>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</si>
  <si>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</si>
  <si>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</si>
  <si>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</si>
  <si>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</si>
  <si>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</si>
  <si>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</si>
  <si>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</si>
  <si>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</si>
  <si>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</si>
  <si>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</si>
  <si>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</si>
  <si>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</si>
  <si>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</si>
  <si>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</si>
  <si>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</si>
  <si>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</si>
  <si>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</si>
  <si>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</si>
  <si>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</si>
  <si>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</si>
  <si>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</si>
  <si>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</si>
  <si>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</si>
  <si>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</si>
  <si>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</si>
  <si>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</si>
  <si>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</si>
  <si>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</si>
  <si>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</si>
  <si>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</si>
  <si>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</si>
  <si>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</si>
  <si>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</si>
  <si>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</si>
  <si>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</si>
  <si>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</si>
  <si>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</si>
  <si>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</si>
  <si>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</si>
  <si>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</si>
  <si>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</si>
  <si>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</si>
  <si>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</si>
  <si>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</si>
  <si>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</si>
  <si>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</si>
  <si>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</si>
  <si>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</si>
  <si>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</si>
  <si>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</si>
  <si>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</si>
  <si>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</si>
  <si>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</si>
  <si>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</si>
  <si>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</si>
  <si>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</si>
  <si>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</si>
  <si>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</si>
  <si>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</si>
  <si>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</si>
  <si>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</si>
  <si>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</si>
  <si>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</si>
  <si>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</si>
  <si>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</si>
  <si>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</si>
  <si>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</si>
  <si>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</si>
  <si>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</si>
  <si>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</si>
  <si>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</si>
  <si>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</si>
  <si>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</si>
  <si>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</si>
  <si>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</si>
  <si>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</si>
  <si>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</si>
  <si>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</si>
  <si>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</si>
  <si>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</si>
  <si>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</si>
  <si>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</si>
  <si>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</si>
  <si>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</si>
  <si>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</si>
  <si>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</si>
  <si>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</si>
  <si>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</si>
  <si>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</si>
  <si>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</si>
  <si>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</si>
  <si>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</si>
  <si>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</si>
  <si>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</si>
  <si>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</si>
  <si>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</si>
  <si>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</si>
  <si>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</si>
  <si>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</si>
  <si>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</si>
  <si>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</si>
  <si>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</si>
  <si>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</si>
  <si>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</si>
  <si>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</si>
  <si>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</si>
  <si>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</si>
  <si>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</si>
  <si>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</si>
  <si>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</si>
  <si>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</si>
  <si>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</si>
  <si>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</si>
  <si>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</si>
  <si>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</si>
  <si>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</si>
  <si>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</si>
  <si>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</si>
  <si>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</si>
  <si>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</si>
  <si>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</si>
  <si>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</si>
  <si>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</si>
  <si>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</si>
  <si>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</si>
  <si>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</si>
  <si>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</si>
  <si>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</si>
  <si>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</si>
  <si>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</si>
  <si>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</si>
  <si>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</si>
  <si>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</si>
  <si>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</si>
  <si>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</si>
  <si>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</si>
  <si>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</si>
  <si>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</si>
  <si>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</si>
  <si>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</si>
  <si>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</si>
  <si>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</si>
  <si>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</si>
  <si>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</si>
  <si>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</si>
  <si>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</si>
  <si>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</si>
  <si>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</si>
  <si>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</si>
  <si>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</si>
  <si>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</si>
  <si>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</si>
  <si>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</si>
  <si>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</si>
  <si>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</si>
  <si>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</si>
  <si>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</si>
  <si>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</si>
  <si>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</si>
  <si>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</si>
  <si>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</si>
  <si>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</si>
  <si>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</si>
  <si>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</si>
  <si>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</si>
  <si>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</si>
  <si>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</si>
  <si>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</si>
  <si>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</si>
  <si>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</si>
  <si>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</si>
  <si>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</si>
  <si>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</si>
  <si>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</si>
  <si>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</si>
  <si>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</si>
  <si>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</si>
  <si>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</si>
  <si>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</si>
  <si>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</si>
  <si>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</si>
  <si>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</si>
  <si>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</si>
  <si>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</si>
  <si>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</si>
  <si>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</si>
  <si>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</si>
  <si>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</si>
  <si>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</si>
  <si>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</si>
  <si>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</si>
  <si>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</si>
  <si>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</si>
  <si>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</si>
  <si>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</si>
  <si>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</si>
  <si>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</si>
  <si>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</si>
  <si>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</si>
  <si>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</si>
  <si>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</si>
  <si>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</si>
  <si>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</si>
  <si>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</si>
  <si>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</si>
  <si>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</si>
  <si>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</si>
  <si>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</si>
  <si>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</si>
  <si>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</si>
  <si>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</si>
  <si>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</si>
  <si>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</si>
  <si>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</si>
  <si>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</si>
  <si>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</si>
  <si>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</si>
  <si>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</si>
  <si>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</si>
  <si>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</si>
  <si>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</si>
  <si>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</si>
  <si>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</si>
  <si>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</si>
  <si>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</si>
  <si>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</si>
  <si>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</si>
  <si>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</si>
  <si>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</si>
  <si>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</si>
  <si>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</si>
  <si>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</si>
  <si>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</si>
  <si>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</si>
  <si>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</si>
  <si>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</si>
  <si>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</si>
  <si>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</si>
  <si>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</si>
  <si>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</si>
  <si>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</si>
  <si>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</si>
  <si>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</si>
  <si>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</si>
  <si>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</si>
  <si>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</si>
  <si>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</si>
  <si>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</si>
  <si>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</si>
  <si>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</si>
  <si>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</si>
  <si>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</si>
  <si>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</si>
  <si>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</si>
  <si>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</si>
  <si>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</si>
  <si>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</si>
  <si>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</si>
  <si>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</si>
  <si>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</si>
  <si>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</si>
  <si>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</si>
  <si>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</si>
  <si>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</si>
  <si>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</si>
  <si>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</si>
  <si>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</si>
  <si>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</si>
  <si>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</si>
  <si>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</si>
  <si>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</si>
  <si>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</si>
  <si>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</si>
  <si>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</si>
  <si>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</si>
  <si>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</si>
  <si>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</si>
  <si>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</si>
  <si>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</si>
  <si>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</si>
  <si>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</si>
  <si>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</si>
  <si>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</si>
  <si>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</si>
  <si>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</si>
  <si>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</si>
  <si>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</si>
  <si>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</si>
  <si>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</si>
  <si>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</si>
  <si>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</si>
  <si>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</si>
  <si>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</si>
  <si>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</si>
  <si>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</si>
  <si>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</si>
  <si>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</si>
  <si>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</si>
  <si>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</si>
  <si>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</si>
  <si>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</si>
  <si>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</si>
  <si>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</si>
  <si>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</si>
  <si>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</si>
  <si>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</si>
  <si>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</si>
  <si>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</si>
  <si>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</si>
  <si>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</si>
  <si>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</si>
  <si>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</si>
  <si>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</si>
  <si>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</si>
  <si>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</si>
  <si>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</si>
  <si>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</si>
  <si>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</si>
  <si>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</si>
  <si>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</si>
  <si>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</si>
  <si>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</si>
  <si>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</si>
  <si>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</si>
  <si>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</si>
  <si>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</si>
  <si>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</si>
  <si>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</si>
  <si>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</si>
  <si>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</si>
  <si>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</si>
  <si>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</si>
  <si>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</si>
  <si>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</si>
  <si>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</si>
  <si>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</si>
  <si>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</si>
  <si>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</si>
  <si>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</si>
  <si>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</si>
  <si>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</si>
  <si>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</si>
  <si>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</si>
  <si>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</si>
  <si>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</si>
  <si>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</si>
  <si>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</si>
  <si>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</si>
  <si>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</si>
  <si>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</si>
  <si>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</si>
  <si>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</si>
  <si>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</si>
  <si>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</si>
  <si>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</si>
  <si>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</si>
  <si>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</si>
  <si>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</si>
  <si>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</si>
  <si>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</si>
  <si>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</si>
  <si>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</si>
  <si>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</si>
  <si>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</si>
  <si>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</si>
  <si>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</si>
  <si>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</si>
  <si>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</si>
  <si>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</si>
  <si>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</si>
  <si>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</si>
  <si>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</si>
  <si>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</si>
  <si>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</si>
  <si>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</si>
  <si>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</si>
  <si>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</si>
  <si>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</si>
  <si>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</si>
  <si>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</si>
  <si>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</si>
  <si>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</si>
  <si>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</si>
  <si>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</si>
  <si>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</si>
  <si>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</si>
  <si>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</si>
  <si>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</si>
  <si>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</si>
  <si>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</si>
  <si>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</si>
  <si>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</si>
  <si>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</si>
  <si>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</si>
  <si>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</si>
  <si>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</si>
  <si>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</si>
  <si>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</si>
  <si>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</si>
  <si>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</si>
  <si>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</si>
  <si>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</si>
  <si>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</si>
  <si>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</si>
  <si>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</si>
  <si>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</si>
  <si>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</si>
  <si>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</si>
  <si>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</si>
  <si>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</si>
  <si>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</si>
  <si>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</si>
  <si>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</si>
  <si>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</si>
  <si>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</si>
  <si>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</si>
  <si>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</si>
  <si>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</si>
  <si>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</si>
  <si>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</si>
  <si>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</si>
  <si>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</si>
  <si>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</si>
  <si>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</si>
  <si>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</si>
  <si>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</si>
  <si>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</si>
  <si>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</si>
  <si>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</si>
  <si>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</si>
  <si>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</si>
  <si>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</si>
  <si>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</si>
  <si>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</si>
  <si>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</si>
  <si>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</si>
  <si>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</si>
  <si>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</si>
  <si>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</si>
  <si>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</si>
  <si>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</si>
  <si>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</si>
  <si>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</si>
  <si>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</si>
  <si>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</si>
  <si>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</si>
  <si>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</si>
  <si>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</si>
  <si>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</si>
  <si>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</si>
  <si>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</si>
  <si>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</si>
  <si>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</si>
  <si>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</si>
  <si>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</si>
  <si>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</si>
  <si>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</si>
  <si>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</si>
  <si>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</si>
  <si>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</si>
  <si>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</si>
  <si>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</si>
  <si>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</si>
  <si>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</si>
  <si>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</si>
  <si>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</si>
  <si>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</si>
  <si>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</si>
  <si>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</si>
  <si>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</si>
  <si>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</si>
  <si>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</si>
  <si>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</si>
  <si>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</si>
  <si>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</si>
  <si>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</si>
  <si>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</si>
  <si>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</si>
  <si>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</si>
  <si>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</si>
  <si>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</si>
  <si>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</si>
  <si>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</si>
  <si>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</si>
  <si>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</si>
  <si>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</si>
  <si>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</si>
  <si>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</si>
  <si>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</si>
  <si>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</si>
  <si>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</si>
  <si>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</si>
  <si>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</si>
  <si>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</si>
  <si>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</si>
  <si>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</si>
  <si>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</si>
  <si>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</si>
  <si>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</si>
  <si>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</si>
  <si>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</si>
  <si>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</si>
  <si>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</si>
  <si>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</si>
  <si>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</si>
  <si>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</si>
  <si>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</si>
  <si>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</si>
  <si>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</si>
  <si>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</si>
  <si>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</si>
  <si>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</si>
  <si>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</si>
  <si>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</si>
  <si>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</si>
  <si>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</si>
  <si>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</si>
  <si>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</si>
  <si>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</si>
  <si>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</si>
  <si>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</si>
  <si>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</si>
  <si>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</si>
  <si>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</si>
  <si>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</si>
  <si>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</si>
  <si>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</si>
  <si>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</si>
  <si>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</si>
  <si>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</si>
  <si>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</si>
  <si>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</si>
  <si>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</si>
  <si>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</si>
  <si>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</si>
  <si>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</si>
  <si>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</si>
  <si>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</si>
  <si>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</si>
  <si>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</si>
  <si>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</si>
  <si>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</si>
  <si>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</si>
  <si>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</si>
  <si>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</si>
  <si>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</si>
  <si>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</si>
  <si>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</si>
  <si>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</si>
  <si>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</si>
  <si>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</si>
  <si>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</si>
  <si>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</si>
  <si>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</si>
  <si>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</si>
  <si>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</si>
  <si>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</si>
  <si>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</si>
  <si>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</si>
  <si>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</si>
  <si>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</si>
  <si>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</si>
  <si>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</si>
  <si>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</si>
  <si>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</si>
  <si>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</si>
  <si>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</si>
  <si>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</si>
  <si>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</si>
  <si>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</si>
  <si>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</si>
  <si>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</si>
  <si>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</si>
  <si>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</si>
  <si>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</si>
  <si>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</si>
  <si>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</si>
  <si>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</si>
  <si>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</si>
  <si>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</si>
  <si>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</si>
  <si>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</si>
  <si>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</si>
  <si>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</si>
  <si>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</si>
  <si>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</si>
  <si>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</si>
  <si>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</si>
  <si>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</si>
  <si>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</si>
  <si>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</si>
  <si>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</si>
  <si>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</si>
  <si>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</si>
  <si>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</si>
  <si>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</si>
  <si>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</si>
  <si>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</si>
  <si>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</si>
  <si>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</si>
  <si>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</si>
  <si>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</si>
  <si>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</si>
  <si>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</si>
  <si>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</si>
  <si>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</si>
  <si>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</si>
  <si>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</si>
  <si>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</si>
  <si>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</si>
  <si>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</si>
  <si>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</si>
  <si>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</si>
  <si>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</si>
  <si>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</si>
  <si>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</si>
  <si>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</si>
  <si>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</si>
  <si>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</si>
  <si>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</si>
  <si>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</si>
  <si>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</si>
  <si>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</si>
  <si>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</si>
  <si>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</si>
  <si>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</si>
  <si>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</si>
  <si>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</si>
  <si>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</si>
  <si>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</si>
  <si>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</si>
  <si>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</si>
  <si>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</si>
  <si>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</si>
  <si>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</si>
  <si>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</si>
  <si>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</si>
  <si>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</si>
  <si>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</si>
  <si>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</si>
  <si>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</si>
  <si>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</si>
  <si>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</si>
  <si>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</si>
  <si>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</si>
  <si>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</si>
  <si>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</si>
  <si>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</si>
  <si>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</si>
  <si>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</si>
  <si>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</si>
  <si>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</si>
  <si>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</si>
  <si>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</si>
  <si>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</si>
  <si>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</si>
  <si>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</si>
  <si>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</si>
  <si>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</si>
  <si>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</si>
  <si>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</si>
  <si>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</si>
  <si>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</si>
  <si>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</si>
  <si>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</si>
  <si>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</si>
  <si>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</si>
  <si>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</si>
  <si>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</si>
  <si>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</si>
  <si>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</si>
  <si>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</si>
  <si>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</si>
  <si>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</si>
  <si>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</si>
  <si>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</si>
  <si>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</si>
  <si>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</si>
  <si>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</si>
  <si>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</si>
  <si>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</si>
  <si>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</si>
  <si>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</si>
  <si>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</si>
  <si>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</si>
  <si>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</si>
  <si>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</si>
  <si>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</si>
  <si>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</si>
  <si>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</si>
  <si>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</si>
  <si>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</si>
  <si>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</si>
  <si>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</si>
  <si>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</si>
  <si>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</si>
  <si>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</si>
  <si>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</si>
  <si>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</si>
  <si>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</si>
  <si>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</si>
  <si>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</si>
  <si>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</si>
  <si>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</si>
  <si>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</si>
  <si>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</si>
  <si>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</si>
  <si>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</si>
  <si>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</si>
  <si>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</si>
  <si>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</si>
  <si>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</si>
  <si>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</si>
  <si>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</si>
  <si>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</si>
  <si>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</si>
  <si>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</si>
  <si>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</si>
  <si>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</si>
  <si>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</si>
  <si>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</si>
  <si>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</si>
  <si>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</si>
  <si>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</si>
  <si>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</si>
  <si>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</si>
  <si>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</si>
  <si>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</si>
  <si>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</si>
  <si>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</si>
  <si>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</si>
  <si>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</si>
  <si>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</si>
  <si>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</si>
  <si>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</si>
  <si>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</si>
  <si>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</si>
  <si>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</si>
  <si>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</si>
  <si>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</si>
  <si>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</si>
  <si>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</si>
  <si>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</si>
  <si>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</si>
  <si>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</si>
  <si>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</si>
  <si>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</si>
  <si>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</si>
  <si>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</si>
  <si>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</si>
  <si>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</si>
  <si>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</si>
  <si>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</si>
  <si>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</si>
  <si>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</si>
  <si>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</si>
  <si>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</si>
  <si>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</si>
  <si>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</si>
  <si>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</si>
  <si>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</si>
  <si>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</si>
  <si>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</si>
  <si>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</si>
  <si>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</si>
  <si>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</si>
  <si>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</si>
  <si>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</si>
  <si>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</si>
  <si>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</si>
  <si>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</si>
  <si>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</si>
  <si>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</si>
  <si>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</si>
  <si>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</si>
  <si>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</si>
  <si>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</si>
  <si>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</si>
  <si>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</si>
  <si>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</si>
  <si>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</si>
  <si>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</si>
  <si>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</si>
  <si>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</si>
  <si>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</si>
  <si>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</si>
  <si>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</si>
  <si>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</si>
  <si>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</si>
  <si>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</si>
  <si>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</si>
  <si>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</si>
  <si>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</si>
  <si>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</si>
  <si>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</si>
  <si>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</si>
  <si>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</si>
  <si>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</si>
  <si>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</si>
  <si>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</si>
  <si>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</si>
  <si>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</si>
  <si>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</si>
  <si>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</si>
  <si>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</si>
  <si>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</si>
  <si>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</si>
  <si>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</si>
  <si>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</si>
  <si>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</si>
  <si>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</si>
  <si>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</si>
  <si>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</si>
  <si>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</si>
  <si>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</si>
  <si>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</si>
  <si>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</si>
  <si>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</si>
  <si>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</si>
  <si>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</si>
  <si>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</si>
  <si>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</si>
  <si>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</si>
  <si>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</si>
  <si>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</si>
  <si>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</si>
  <si>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</si>
  <si>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</si>
  <si>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</si>
  <si>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</si>
  <si>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</si>
  <si>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</si>
  <si>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</si>
  <si>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</si>
  <si>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</si>
  <si>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</si>
  <si>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</si>
  <si>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</si>
  <si>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</si>
  <si>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</si>
  <si>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</si>
  <si>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</si>
  <si>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</si>
  <si>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</si>
  <si>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</si>
  <si>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</si>
  <si>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</si>
  <si>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</si>
  <si>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</si>
  <si>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</si>
  <si>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</si>
  <si>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</si>
  <si>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</si>
  <si>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</si>
  <si>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</si>
  <si>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</si>
  <si>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</si>
  <si>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</si>
  <si>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</si>
  <si>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</si>
  <si>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</si>
  <si>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</si>
  <si>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</si>
  <si>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</si>
  <si>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</si>
  <si>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</si>
  <si>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</si>
  <si>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</si>
  <si>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</si>
  <si>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</si>
  <si>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</si>
  <si>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</si>
  <si>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</si>
  <si>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</si>
  <si>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</si>
  <si>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</si>
  <si>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</si>
  <si>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</si>
  <si>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</si>
  <si>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</si>
  <si>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</si>
  <si>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</si>
  <si>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</si>
  <si>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</si>
  <si>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</si>
  <si>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</si>
  <si>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</si>
  <si>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</si>
  <si>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</si>
  <si>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</si>
  <si>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</si>
  <si>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</si>
  <si>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</si>
  <si>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</si>
  <si>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</si>
  <si>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</si>
  <si>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</si>
  <si>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</si>
  <si>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</si>
  <si>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</si>
  <si>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</si>
  <si>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</si>
  <si>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</si>
  <si>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</si>
  <si>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</si>
  <si>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</si>
  <si>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</si>
  <si>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</si>
  <si>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</si>
  <si>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</si>
  <si>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</si>
  <si>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</si>
  <si>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</si>
  <si>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</si>
  <si>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</si>
  <si>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</si>
  <si>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</si>
  <si>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</si>
  <si>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</si>
  <si>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</si>
  <si>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</si>
  <si>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</si>
  <si>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</si>
  <si>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</si>
  <si>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</si>
  <si>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</si>
  <si>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</si>
  <si>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</si>
  <si>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</si>
  <si>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</si>
  <si>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</si>
  <si>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</si>
  <si>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</si>
  <si>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</si>
  <si>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</si>
  <si>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</si>
  <si>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</si>
  <si>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</si>
  <si>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</si>
  <si>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</si>
  <si>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</si>
  <si>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</si>
  <si>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</si>
  <si>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</si>
  <si>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</si>
  <si>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</si>
  <si>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</si>
  <si>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</si>
  <si>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</si>
  <si>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</si>
  <si>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</si>
  <si>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</si>
  <si>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</si>
  <si>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</si>
  <si>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</si>
  <si>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</si>
  <si>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</si>
  <si>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</si>
  <si>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</si>
  <si>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</si>
  <si>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</si>
  <si>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</si>
  <si>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</si>
  <si>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</si>
  <si>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</si>
  <si>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</si>
  <si>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</si>
  <si>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</si>
  <si>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</si>
  <si>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</si>
  <si>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</si>
  <si>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</si>
  <si>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</si>
  <si>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</si>
  <si>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</si>
  <si>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</si>
  <si>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</si>
  <si>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</si>
  <si>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</si>
  <si>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</si>
  <si>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</si>
  <si>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</si>
  <si>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</si>
  <si>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</si>
  <si>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</si>
  <si>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</si>
  <si>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</si>
  <si>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</si>
  <si>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</si>
  <si>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</si>
  <si>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</si>
  <si>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</si>
  <si>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</si>
  <si>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</si>
  <si>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</si>
  <si>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</si>
  <si>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</si>
  <si>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</si>
  <si>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</si>
  <si>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</si>
  <si>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</si>
  <si>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</si>
  <si>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</si>
  <si>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</si>
  <si>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</si>
  <si>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</si>
  <si>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</si>
  <si>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</si>
  <si>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</si>
  <si>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</si>
  <si>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</si>
  <si>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</si>
  <si>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</si>
  <si>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</si>
  <si>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</si>
  <si>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</si>
  <si>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</si>
  <si>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</si>
  <si>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</si>
  <si>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</si>
  <si>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</si>
  <si>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</si>
  <si>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</si>
  <si>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</si>
  <si>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</si>
  <si>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</si>
  <si>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</si>
  <si>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</si>
  <si>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</si>
  <si>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</si>
  <si>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</si>
  <si>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</si>
  <si>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</si>
  <si>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</si>
  <si>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</si>
  <si>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</si>
  <si>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</si>
  <si>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</si>
  <si>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</si>
  <si>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</si>
  <si>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</si>
  <si>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</si>
  <si>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</si>
  <si>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</si>
  <si>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</si>
  <si>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</si>
  <si>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</si>
  <si>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</si>
  <si>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</si>
  <si>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</si>
  <si>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</si>
  <si>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</si>
  <si>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</si>
  <si>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</si>
  <si>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</si>
  <si>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</si>
  <si>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</si>
  <si>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</si>
  <si>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</si>
  <si>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</si>
  <si>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</si>
  <si>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</si>
  <si>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</si>
  <si>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</si>
  <si>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</si>
  <si>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</si>
  <si>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</si>
  <si>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</si>
  <si>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</si>
  <si>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</si>
  <si>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</si>
  <si>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</si>
  <si>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</si>
  <si>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</si>
  <si>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</si>
  <si>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</si>
  <si>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</si>
  <si>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</si>
  <si>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</si>
  <si>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</si>
  <si>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</si>
  <si>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</si>
  <si>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</si>
  <si>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</si>
  <si>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</si>
  <si>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</si>
  <si>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</si>
  <si>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</si>
  <si>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</si>
  <si>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</si>
  <si>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</si>
  <si>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</si>
  <si>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</si>
  <si>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</si>
  <si>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</si>
  <si>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</si>
  <si>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</si>
  <si>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</si>
  <si>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</si>
  <si>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</si>
  <si>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</si>
  <si>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</si>
  <si>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</si>
  <si>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</si>
  <si>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</si>
  <si>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</si>
  <si>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</si>
  <si>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</si>
  <si>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</si>
  <si>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</si>
  <si>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</si>
  <si>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</si>
  <si>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</si>
  <si>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</si>
  <si>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</si>
  <si>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</si>
  <si>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</si>
  <si>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</si>
  <si>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</si>
  <si>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</si>
  <si>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</si>
  <si>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</si>
  <si>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</si>
  <si>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</si>
  <si>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</si>
  <si>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</si>
  <si>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</si>
  <si>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</si>
  <si>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</si>
  <si>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</si>
  <si>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</si>
  <si>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</si>
  <si>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</si>
  <si>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</si>
  <si>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</si>
  <si>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</si>
  <si>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</si>
  <si>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</si>
  <si>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</si>
  <si>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</si>
  <si>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</si>
  <si>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</si>
  <si>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</si>
  <si>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</si>
  <si>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</si>
  <si>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</si>
  <si>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</si>
  <si>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</si>
  <si>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</si>
  <si>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</si>
  <si>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</si>
  <si>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</si>
  <si>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</si>
  <si>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</si>
  <si>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</si>
  <si>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</si>
  <si>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</si>
  <si>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</si>
  <si>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</si>
  <si>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</si>
  <si>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</si>
  <si>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</si>
  <si>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</si>
  <si>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</si>
  <si>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</si>
  <si>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</si>
  <si>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</si>
  <si>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</si>
  <si>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</si>
  <si>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</si>
  <si>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</si>
  <si>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</si>
  <si>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</si>
  <si>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</si>
  <si>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</si>
  <si>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</si>
  <si>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</si>
  <si>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</si>
  <si>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</si>
  <si>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</si>
  <si>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</si>
  <si>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</si>
  <si>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</si>
  <si>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</si>
  <si>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</si>
  <si>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</si>
  <si>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</si>
  <si>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</si>
  <si>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</si>
  <si>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</si>
  <si>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</si>
  <si>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</si>
  <si>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</si>
  <si>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</si>
  <si>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</si>
  <si>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</si>
  <si>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</si>
  <si>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</si>
  <si>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</si>
  <si>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</si>
  <si>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</si>
  <si>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</si>
  <si>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</si>
  <si>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</si>
  <si>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</si>
  <si>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</si>
  <si>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</si>
  <si>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</si>
  <si>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</si>
  <si>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</si>
  <si>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</si>
  <si>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</si>
  <si>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</si>
  <si>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</si>
  <si>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</si>
  <si>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</si>
  <si>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</si>
  <si>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</si>
  <si>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</si>
  <si>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</si>
  <si>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</si>
  <si>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</si>
  <si>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</si>
  <si>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</si>
  <si>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</si>
  <si>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</si>
  <si>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</si>
  <si>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</si>
  <si>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</si>
  <si>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</si>
  <si>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</si>
  <si>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</si>
  <si>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</si>
  <si>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</si>
  <si>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</si>
  <si>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</si>
  <si>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</si>
  <si>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</si>
  <si>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</si>
  <si>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</si>
  <si>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</si>
  <si>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</si>
  <si>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</si>
  <si>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</si>
  <si>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</si>
  <si>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</si>
  <si>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</si>
  <si>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</si>
  <si>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</si>
  <si>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</si>
  <si>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</si>
  <si>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</si>
  <si>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</si>
  <si>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</si>
  <si>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</si>
  <si>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</si>
  <si>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</si>
  <si>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</si>
  <si>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</si>
  <si>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</si>
  <si>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</si>
  <si>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</si>
  <si>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</si>
  <si>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</si>
  <si>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</si>
  <si>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</si>
  <si>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</si>
  <si>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</si>
  <si>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</si>
  <si>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</si>
  <si>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</si>
  <si>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</si>
  <si>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</si>
  <si>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</si>
  <si>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</si>
  <si>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</si>
  <si>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</si>
  <si>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</si>
  <si>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</si>
  <si>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</si>
  <si>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</si>
  <si>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</si>
  <si>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</si>
  <si>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</si>
  <si>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</si>
  <si>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</si>
  <si>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</si>
  <si>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</si>
  <si>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</si>
  <si>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</si>
  <si>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</si>
  <si>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</si>
  <si>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</si>
  <si>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</si>
  <si>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</si>
  <si>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</si>
  <si>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</si>
  <si>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</si>
  <si>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</si>
  <si>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</si>
  <si>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</si>
  <si>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</si>
  <si>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</si>
  <si>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</si>
  <si>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</si>
  <si>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</si>
  <si>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</si>
  <si>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</si>
  <si>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</si>
  <si>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</si>
  <si>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</si>
  <si>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</si>
  <si>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</si>
  <si>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</si>
  <si>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</si>
  <si>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</si>
  <si>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</si>
  <si>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</si>
  <si>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</si>
  <si>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</si>
  <si>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</si>
  <si>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</si>
  <si>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</si>
  <si>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</si>
  <si>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</si>
  <si>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</si>
  <si>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</si>
  <si>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</si>
  <si>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</si>
  <si>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</si>
  <si>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</si>
  <si>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</si>
  <si>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</si>
  <si>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</si>
  <si>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</si>
  <si>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</si>
  <si>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</si>
  <si>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</si>
  <si>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</si>
  <si>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</si>
  <si>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</si>
  <si>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</si>
  <si>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</si>
  <si>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</si>
  <si>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</si>
  <si>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</si>
  <si>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</si>
  <si>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</si>
  <si>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</si>
  <si>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</si>
  <si>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</si>
  <si>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</si>
  <si>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</si>
  <si>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</si>
  <si>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</si>
  <si>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</si>
  <si>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</si>
  <si>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</si>
  <si>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</si>
  <si>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</si>
  <si>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</si>
  <si>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</si>
  <si>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</si>
  <si>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</si>
  <si>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</si>
  <si>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</si>
  <si>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</si>
  <si>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</si>
  <si>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</si>
  <si>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</si>
  <si>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</si>
  <si>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</si>
  <si>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</si>
  <si>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</si>
  <si>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</si>
  <si>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</si>
  <si>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</si>
  <si>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</si>
  <si>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</si>
  <si>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</si>
  <si>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</si>
  <si>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</si>
  <si>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</si>
  <si>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</si>
  <si>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</si>
  <si>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</si>
  <si>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</si>
  <si>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</si>
  <si>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</si>
  <si>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</si>
  <si>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</si>
  <si>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</si>
  <si>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</si>
  <si>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</si>
  <si>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</si>
  <si>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</si>
  <si>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</si>
  <si>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</si>
  <si>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</si>
  <si>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</si>
  <si>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</si>
  <si>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</si>
  <si>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</si>
  <si>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</si>
  <si>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</si>
  <si>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</si>
  <si>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</si>
  <si>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</si>
  <si>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</si>
  <si>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</si>
  <si>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</si>
  <si>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</si>
  <si>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</si>
  <si>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</si>
  <si>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</si>
  <si>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</si>
  <si>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</si>
  <si>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</si>
  <si>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</si>
  <si>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</si>
  <si>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</si>
  <si>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</si>
  <si>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</si>
  <si>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</si>
  <si>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</si>
  <si>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</si>
  <si>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</si>
  <si>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</si>
  <si>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</si>
  <si>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</si>
  <si>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</si>
  <si>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</si>
  <si>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</si>
  <si>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</si>
  <si>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</si>
  <si>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</si>
  <si>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</si>
  <si>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</si>
  <si>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</si>
  <si>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</si>
  <si>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</si>
  <si>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</si>
  <si>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</si>
  <si>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</si>
  <si>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</si>
  <si>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</si>
  <si>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</si>
  <si>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</si>
  <si>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</si>
  <si>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</si>
  <si>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</si>
  <si>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</si>
  <si>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</si>
  <si>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</si>
  <si>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</si>
  <si>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</si>
  <si>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</si>
  <si>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</si>
  <si>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</si>
  <si>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</si>
  <si>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</si>
  <si>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</si>
  <si>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</si>
  <si>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</si>
  <si>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</si>
  <si>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</si>
  <si>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</si>
  <si>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</si>
  <si>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</si>
  <si>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</si>
  <si>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</si>
  <si>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</si>
  <si>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</si>
  <si>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</si>
  <si>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</si>
  <si>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</si>
  <si>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</si>
  <si>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</si>
  <si>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</si>
  <si>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</si>
  <si>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</si>
  <si>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</si>
  <si>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</si>
  <si>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</si>
  <si>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</si>
  <si>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</si>
  <si>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</si>
  <si>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</si>
  <si>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</si>
  <si>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</si>
  <si>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</si>
  <si>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</si>
  <si>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</si>
  <si>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</si>
  <si>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</si>
  <si>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</si>
  <si>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</si>
  <si>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</si>
  <si>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</si>
  <si>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</si>
  <si>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</si>
  <si>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</si>
  <si>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</si>
  <si>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</si>
  <si>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</si>
  <si>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</si>
  <si>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</si>
  <si>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</si>
  <si>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</si>
  <si>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</si>
  <si>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</si>
  <si>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</si>
  <si>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</si>
  <si>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</si>
  <si>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</si>
  <si>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</si>
  <si>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</si>
  <si>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</si>
  <si>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</si>
  <si>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</si>
  <si>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</si>
  <si>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</si>
  <si>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</si>
  <si>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</si>
  <si>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</si>
  <si>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</si>
  <si>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</si>
  <si>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</si>
  <si>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</si>
  <si>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</si>
  <si>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</si>
  <si>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</si>
  <si>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</si>
  <si>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</si>
  <si>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</si>
  <si>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</si>
  <si>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</si>
  <si>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</si>
  <si>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</si>
  <si>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</si>
  <si>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</si>
  <si>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</si>
  <si>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Waiting for Tm1</t>
  </si>
  <si>
    <t>Issues encountered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</si>
  <si>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</si>
  <si>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</si>
  <si>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</si>
  <si>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</si>
  <si>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</si>
  <si>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</si>
  <si>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</si>
  <si>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</si>
  <si>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TO BE DONE ON MARCH</t>
  </si>
  <si>
    <t>Anna Maria Urbano</t>
  </si>
  <si>
    <t>FR8240027</t>
  </si>
  <si>
    <t>FR8240264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</si>
</sst>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5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5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0" fillId="0" borderId="0" xfId="0" applyAlignment="1">
      <alignment vertical="center" wrapText="1"/>
    </xf>
    <xf numFmtId="0" fontId="12" fillId="0" borderId="1" xfId="93"/>
    <xf numFmtId="0" fontId="12" fillId="0" borderId="1" xfId="94"/>
  </cellXfs>
  <cellStyles count="95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6"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1.965961458336" createdVersion="7" refreshedVersion="7" minRefreshableVersion="3" recordCount="856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856"/>
    </cacheField>
    <cacheField name="Forecast?" numFmtId="0">
      <sharedItems/>
    </cacheField>
    <cacheField name="Ticket" numFmtId="0">
      <sharedItems count="119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5">
        <s v="ON TM1"/>
        <s v="Waiting for Tm1"/>
        <s v="Issues encountered"/>
        <s v="TO BE DONE ON MARCH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6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m/>
    <m/>
    <m/>
    <s v="Joshua Cachola"/>
  </r>
  <r>
    <n v="595"/>
    <s v="F1"/>
    <x v="14"/>
    <s v="O000000011"/>
    <s v="Global Run (IS)"/>
    <s v="O000000010"/>
    <s v="New"/>
    <x v="0"/>
    <x v="0"/>
    <m/>
    <m/>
    <m/>
    <s v="Joshua Cachola"/>
  </r>
  <r>
    <n v="596"/>
    <s v="F1"/>
    <x v="14"/>
    <s v="O000000012"/>
    <s v="IT Service Charges"/>
    <s v="O000000010"/>
    <s v="New"/>
    <x v="0"/>
    <x v="0"/>
    <m/>
    <m/>
    <m/>
    <s v="Joshua Cachola"/>
  </r>
  <r>
    <n v="597"/>
    <s v="F1"/>
    <x v="14"/>
    <s v="O000000013"/>
    <s v="IT Projects Charges"/>
    <s v="O000000010"/>
    <s v="New"/>
    <x v="0"/>
    <x v="0"/>
    <m/>
    <m/>
    <m/>
    <s v="Joshua Cachola"/>
  </r>
  <r>
    <n v="598"/>
    <s v="F1"/>
    <x v="15"/>
    <s v="G000001462"/>
    <s v="GDC ST - BD &amp; Strategy Innovation China"/>
    <s v="G000000596"/>
    <s v="New"/>
    <x v="0"/>
    <x v="0"/>
    <m/>
    <m/>
    <m/>
    <s v="Jojeff Tagnong"/>
  </r>
  <r>
    <n v="599"/>
    <s v="F1"/>
    <x v="16"/>
    <s v="P000001416"/>
    <s v="Exceptional Evolution"/>
    <s v="P000000426"/>
    <s v="New"/>
    <x v="0"/>
    <x v="0"/>
    <m/>
    <m/>
    <m/>
    <s v="John Rowie Del Rosario"/>
  </r>
  <r>
    <n v="600"/>
    <s v="F1"/>
    <x v="16"/>
    <s v="P000001417"/>
    <s v="Syn. &amp; Purif. US Container Engineering"/>
    <s v="P000001415"/>
    <s v="New"/>
    <x v="0"/>
    <x v="0"/>
    <m/>
    <m/>
    <m/>
    <s v="John Rowie Del Rosario"/>
  </r>
  <r>
    <n v="601"/>
    <s v="F1"/>
    <x v="16"/>
    <s v="P000001418"/>
    <s v="DIS-DE-DA G1+N5 Small Scale"/>
    <s v="P000000062"/>
    <s v="New"/>
    <x v="0"/>
    <x v="0"/>
    <m/>
    <m/>
    <m/>
    <s v="John Rowie Del Rosario"/>
  </r>
  <r>
    <n v="602"/>
    <s v="F1"/>
    <x v="16"/>
    <s v="P000001419"/>
    <s v="Formul. &amp; Opt. Cluster Mgmt Functions"/>
    <s v="P000001399"/>
    <s v="New"/>
    <x v="0"/>
    <x v="0"/>
    <m/>
    <m/>
    <m/>
    <s v="John Rowie Del Rosario"/>
  </r>
  <r>
    <n v="603"/>
    <s v="F1"/>
    <x v="16"/>
    <s v="P000001420"/>
    <s v="EL-CN-S Semi Materials China Head"/>
    <s v="P000000571"/>
    <s v="New"/>
    <x v="0"/>
    <x v="0"/>
    <m/>
    <m/>
    <m/>
    <s v="John Rowie Del Rosario"/>
  </r>
  <r>
    <n v="604"/>
    <s v="F1"/>
    <x v="16"/>
    <s v="P000001421"/>
    <s v="EL-CN-S4 Project Management Office"/>
    <s v="P000000571"/>
    <s v="New"/>
    <x v="0"/>
    <x v="0"/>
    <m/>
    <m/>
    <m/>
    <s v="John Rowie Del Rosario"/>
  </r>
  <r>
    <n v="605"/>
    <s v="F1"/>
    <x v="16"/>
    <s v="P000001422"/>
    <s v="EL-CN-S5 Semi Materials China-EHS&amp;S"/>
    <s v="P000000571"/>
    <s v="New"/>
    <x v="0"/>
    <x v="0"/>
    <m/>
    <m/>
    <m/>
    <s v="John Rowie Del Rosario"/>
  </r>
  <r>
    <n v="606"/>
    <s v="F1"/>
    <x v="16"/>
    <s v="P000001423"/>
    <s v="EL-CN-S6 Customer Applications"/>
    <s v="P000000571"/>
    <s v="New"/>
    <x v="0"/>
    <x v="0"/>
    <m/>
    <m/>
    <m/>
    <s v="John Rowie Del Rosario"/>
  </r>
  <r>
    <n v="607"/>
    <s v="F1"/>
    <x v="16"/>
    <s v="P000001424"/>
    <s v="EL-CN-S8 Strategy &amp; Development"/>
    <s v="P000000571"/>
    <s v="New"/>
    <x v="0"/>
    <x v="0"/>
    <m/>
    <m/>
    <m/>
    <s v="John Rowie Del Rosario"/>
  </r>
  <r>
    <n v="608"/>
    <s v="F1"/>
    <x v="16"/>
    <s v="P000001425"/>
    <s v="EL-FO Formulations Head"/>
    <s v="P000001143"/>
    <s v="New"/>
    <x v="0"/>
    <x v="0"/>
    <m/>
    <m/>
    <m/>
    <s v="John Rowie Del Rosario"/>
  </r>
  <r>
    <n v="609"/>
    <s v="F1"/>
    <x v="16"/>
    <s v="P000001426"/>
    <s v="EL-FO-AR Planarization R&amp;D Patents"/>
    <s v="P000000546"/>
    <s v="New"/>
    <x v="0"/>
    <x v="0"/>
    <m/>
    <m/>
    <m/>
    <s v="John Rowie Del Rosario"/>
  </r>
  <r>
    <n v="610"/>
    <s v="F1"/>
    <x v="16"/>
    <s v="P000001427"/>
    <s v="EL-FO-A Planarization Sales &amp; COGs"/>
    <s v="P000000643"/>
    <s v="New"/>
    <x v="0"/>
    <x v="0"/>
    <m/>
    <m/>
    <m/>
    <s v="John Rowie Del Rosario"/>
  </r>
  <r>
    <n v="611"/>
    <s v="F1"/>
    <x v="16"/>
    <s v="P000001428"/>
    <s v="EL-FO-PA PAT Customer Applications Head"/>
    <s v="P000000856"/>
    <s v="New"/>
    <x v="0"/>
    <x v="0"/>
    <m/>
    <m/>
    <m/>
    <s v="John Rowie Del Rosario"/>
  </r>
  <r>
    <n v="612"/>
    <s v="F1"/>
    <x v="16"/>
    <s v="P000001429"/>
    <s v="EL-FO-PC PAT Silica Materials Head"/>
    <s v="P000001165"/>
    <s v="New"/>
    <x v="0"/>
    <x v="0"/>
    <m/>
    <m/>
    <m/>
    <s v="John Rowie Del Rosario"/>
  </r>
  <r>
    <n v="613"/>
    <s v="F1"/>
    <x v="16"/>
    <s v="P000001430"/>
    <s v="EL-FO-PCA Silica Sales &amp; Marketing"/>
    <s v="P000001165"/>
    <s v="New"/>
    <x v="0"/>
    <x v="0"/>
    <m/>
    <m/>
    <m/>
    <s v="John Rowie Del Rosario"/>
  </r>
  <r>
    <n v="614"/>
    <s v="F1"/>
    <x v="16"/>
    <s v="P000001431"/>
    <s v="EL-FO-PCB Silica Project Management"/>
    <s v="P000001165"/>
    <s v="New"/>
    <x v="0"/>
    <x v="0"/>
    <m/>
    <m/>
    <m/>
    <s v="John Rowie Del Rosario"/>
  </r>
  <r>
    <n v="615"/>
    <s v="F1"/>
    <x v="16"/>
    <s v="P000001432"/>
    <s v="EL-FO-PCH Silica Materials, Kaohsiung"/>
    <s v="P000001165"/>
    <s v="New"/>
    <x v="0"/>
    <x v="0"/>
    <m/>
    <m/>
    <m/>
    <s v="John Rowie Del Rosario"/>
  </r>
  <r>
    <n v="616"/>
    <s v="F1"/>
    <x v="16"/>
    <s v="P000001433"/>
    <s v="EL-FO-PCK Silica, Quality &amp; Product Eng."/>
    <s v="P000001165"/>
    <s v="New"/>
    <x v="0"/>
    <x v="0"/>
    <m/>
    <m/>
    <m/>
    <s v="John Rowie Del Rosario"/>
  </r>
  <r>
    <n v="617"/>
    <s v="F1"/>
    <x v="16"/>
    <s v="P000001434"/>
    <s v="EL-FO-PCN Silica, Supply Chain Planning"/>
    <s v="P000001165"/>
    <s v="New"/>
    <x v="0"/>
    <x v="0"/>
    <m/>
    <m/>
    <m/>
    <s v="John Rowie Del Rosario"/>
  </r>
  <r>
    <n v="618"/>
    <s v="F1"/>
    <x v="16"/>
    <s v="P000001435"/>
    <s v="EL-FO-PCS Silica Materials R&amp;D"/>
    <s v="P000001165"/>
    <s v="New"/>
    <x v="0"/>
    <x v="0"/>
    <m/>
    <m/>
    <m/>
    <s v="John Rowie Del Rosario"/>
  </r>
  <r>
    <n v="619"/>
    <s v="F1"/>
    <x v="16"/>
    <s v="P000001436"/>
    <s v="Silica Materials R&amp;D Organization"/>
    <s v="P000001435"/>
    <s v="New"/>
    <x v="0"/>
    <x v="0"/>
    <m/>
    <m/>
    <m/>
    <s v="John Rowie Del Rosario"/>
  </r>
  <r>
    <n v="620"/>
    <s v="F1"/>
    <x v="16"/>
    <s v="P000001437"/>
    <s v="Silica Materials R&amp;D Projects"/>
    <s v="P000001435"/>
    <s v="New"/>
    <x v="0"/>
    <x v="0"/>
    <m/>
    <m/>
    <m/>
    <s v="John Rowie Del Rosario"/>
  </r>
  <r>
    <n v="621"/>
    <s v="F1"/>
    <x v="16"/>
    <s v="P000001438"/>
    <s v="Silica Materials R&amp;D Other"/>
    <s v="P000001435"/>
    <s v="New"/>
    <x v="0"/>
    <x v="0"/>
    <m/>
    <m/>
    <m/>
    <s v="John Rowie Del Rosario"/>
  </r>
  <r>
    <n v="622"/>
    <s v="F1"/>
    <x v="16"/>
    <s v="P000001439"/>
    <s v="Silica Materials R&amp;D Patents"/>
    <s v="P000001435"/>
    <s v="New"/>
    <x v="0"/>
    <x v="0"/>
    <m/>
    <m/>
    <m/>
    <s v="John Rowie Del Rosario"/>
  </r>
  <r>
    <n v="623"/>
    <s v="F1"/>
    <x v="16"/>
    <s v="P000001440"/>
    <s v="EL-FO-PM Patterning Marketing Head"/>
    <s v="P000000854"/>
    <s v="New"/>
    <x v="0"/>
    <x v="0"/>
    <m/>
    <m/>
    <m/>
    <s v="John Rowie Del Rosario"/>
  </r>
  <r>
    <n v="624"/>
    <s v="F1"/>
    <x v="16"/>
    <s v="P000001441"/>
    <s v="EL-FO-PR Patterning R&amp;D Patents"/>
    <s v="P000000545"/>
    <s v="New"/>
    <x v="0"/>
    <x v="0"/>
    <m/>
    <m/>
    <m/>
    <s v="John Rowie Del Rosario"/>
  </r>
  <r>
    <n v="625"/>
    <s v="F1"/>
    <x v="16"/>
    <s v="P000001442"/>
    <s v="EL-TF Thin Film Head"/>
    <s v="P000000641"/>
    <s v="New"/>
    <x v="0"/>
    <x v="0"/>
    <m/>
    <m/>
    <m/>
    <s v="John Rowie Del Rosario"/>
  </r>
  <r>
    <n v="626"/>
    <s v="F1"/>
    <x v="16"/>
    <s v="P000001443"/>
    <s v="EL-TF-E Global Executive Acc. Mgmt."/>
    <s v="P000000641"/>
    <s v="New"/>
    <x v="0"/>
    <x v="0"/>
    <m/>
    <m/>
    <m/>
    <s v="John Rowie Del Rosario"/>
  </r>
  <r>
    <n v="627"/>
    <s v="F1"/>
    <x v="16"/>
    <s v="P000001444"/>
    <s v="EL-TF-I Dielectrics Business Head"/>
    <s v="P000000832"/>
    <s v="New"/>
    <x v="0"/>
    <x v="0"/>
    <m/>
    <m/>
    <m/>
    <s v="John Rowie Del Rosario"/>
  </r>
  <r>
    <n v="628"/>
    <s v="F1"/>
    <x v="16"/>
    <s v="P000001445"/>
    <s v="EL-TF-M Metallics Business Head"/>
    <s v="P000000833"/>
    <s v="New"/>
    <x v="0"/>
    <x v="0"/>
    <m/>
    <m/>
    <m/>
    <s v="John Rowie Del Rosario"/>
  </r>
  <r>
    <n v="629"/>
    <s v="F1"/>
    <x v="16"/>
    <s v="P000001446"/>
    <s v="EL-TF-R Thin Film R&amp;D Patents"/>
    <s v="P000000544"/>
    <s v="New"/>
    <x v="0"/>
    <x v="0"/>
    <m/>
    <m/>
    <m/>
    <s v="John Rowie Del Rosario"/>
  </r>
  <r>
    <n v="630"/>
    <s v="F1"/>
    <x v="16"/>
    <s v="P000001447"/>
    <s v="EL-TF-T MD Taiwan"/>
    <s v="P000000641"/>
    <s v="New"/>
    <x v="0"/>
    <x v="0"/>
    <m/>
    <m/>
    <m/>
    <s v="John Rowie Del Rosario"/>
  </r>
  <r>
    <n v="631"/>
    <s v="F1"/>
    <x v="16"/>
    <s v="P000001448"/>
    <s v="EL-TF-T MD Taiwan Head"/>
    <s v="P000001447"/>
    <s v="New"/>
    <x v="0"/>
    <x v="0"/>
    <m/>
    <m/>
    <m/>
    <s v="John Rowie Del Rosario"/>
  </r>
  <r>
    <n v="632"/>
    <s v="F1"/>
    <x v="16"/>
    <s v="P000001449"/>
    <s v="EL-TF Thin Film Sales &amp; COGs"/>
    <s v="P000000641"/>
    <s v="New"/>
    <x v="0"/>
    <x v="0"/>
    <m/>
    <m/>
    <m/>
    <s v="John Rowie Del Rosario"/>
  </r>
  <r>
    <n v="633"/>
    <s v="F1"/>
    <x v="16"/>
    <s v="P000001450"/>
    <s v="EL-SG Specialty Gases Head"/>
    <s v="P000000644"/>
    <s v="New"/>
    <x v="0"/>
    <x v="0"/>
    <m/>
    <m/>
    <m/>
    <s v="John Rowie Del Rosario"/>
  </r>
  <r>
    <n v="634"/>
    <s v="F1"/>
    <x v="16"/>
    <s v="P000001451"/>
    <s v="EL-SG-G Specialty Gases Commercial Head"/>
    <s v="P000000536"/>
    <s v="New"/>
    <x v="0"/>
    <x v="0"/>
    <m/>
    <m/>
    <m/>
    <s v="John Rowie Del Rosario"/>
  </r>
  <r>
    <n v="635"/>
    <s v="F1"/>
    <x v="16"/>
    <s v="P000001452"/>
    <s v="EL-SG Specialty Gases Sales &amp; COGs"/>
    <s v="P000000644"/>
    <s v="New"/>
    <x v="0"/>
    <x v="0"/>
    <m/>
    <m/>
    <m/>
    <s v="John Rowie Del Rosario"/>
  </r>
  <r>
    <n v="636"/>
    <s v="F1"/>
    <x v="16"/>
    <s v="P000001453"/>
    <s v="EL-SG-I Specialty Gases R&amp;D Patents"/>
    <s v="P000000547"/>
    <s v="New"/>
    <x v="0"/>
    <x v="0"/>
    <m/>
    <m/>
    <m/>
    <s v="John Rowie Del Rosario"/>
  </r>
  <r>
    <n v="637"/>
    <s v="F1"/>
    <x v="16"/>
    <s v="P000001454"/>
    <s v="EL-OP-L LC/DPM Head"/>
    <s v="P000001109"/>
    <s v="New"/>
    <x v="0"/>
    <x v="0"/>
    <m/>
    <m/>
    <m/>
    <s v="John Rowie Del Rosario"/>
  </r>
  <r>
    <n v="638"/>
    <s v="F1"/>
    <x v="16"/>
    <s v="P000001455"/>
    <s v="EL-OP-M Metrology &amp; Inspection Head"/>
    <s v="P000001254"/>
    <s v="New"/>
    <x v="0"/>
    <x v="0"/>
    <m/>
    <m/>
    <m/>
    <s v="John Rowie Del Rosario"/>
  </r>
  <r>
    <n v="639"/>
    <s v="F1"/>
    <x v="16"/>
    <s v="P000001456"/>
    <s v="EL-OP-O OLED Head"/>
    <s v="P000001118"/>
    <s v="New"/>
    <x v="0"/>
    <x v="0"/>
    <m/>
    <m/>
    <m/>
    <s v="John Rowie Del Rosario"/>
  </r>
  <r>
    <n v="640"/>
    <s v="F1"/>
    <x v="16"/>
    <s v="P000001457"/>
    <s v="EL-OP-W LC Windows Head"/>
    <s v="P000000022"/>
    <s v="New"/>
    <x v="0"/>
    <x v="0"/>
    <m/>
    <m/>
    <m/>
    <s v="John Rowie Del Rosario"/>
  </r>
  <r>
    <n v="641"/>
    <s v="F1"/>
    <x v="16"/>
    <s v="P000001458"/>
    <s v="EL-OP Optronics Sales &amp; COGs"/>
    <s v="P000000001"/>
    <s v="New"/>
    <x v="0"/>
    <x v="0"/>
    <m/>
    <m/>
    <m/>
    <s v="John Rowie Del Rosario"/>
  </r>
  <r>
    <n v="642"/>
    <s v="F1"/>
    <x v="16"/>
    <s v="P000001459"/>
    <s v="EL-OP-LR LC/DPM R&amp;D Patents"/>
    <s v="P000001117"/>
    <s v="New"/>
    <x v="0"/>
    <x v="0"/>
    <m/>
    <m/>
    <m/>
    <s v="John Rowie Del Rosario"/>
  </r>
  <r>
    <n v="643"/>
    <s v="F1"/>
    <x v="16"/>
    <s v="P000001460"/>
    <s v="EL-OP-BF OT R&amp;D Patents"/>
    <s v="P000001130"/>
    <s v="New"/>
    <x v="0"/>
    <x v="0"/>
    <m/>
    <m/>
    <m/>
    <s v="John Rowie Del Rosario"/>
  </r>
  <r>
    <n v="644"/>
    <s v="F1"/>
    <x v="16"/>
    <s v="P000001461"/>
    <s v="EL-SC-D Organization"/>
    <s v="P000000495"/>
    <s v="New"/>
    <x v="0"/>
    <x v="0"/>
    <m/>
    <m/>
    <m/>
    <s v="John Rowie Del Rosario"/>
  </r>
  <r>
    <n v="645"/>
    <s v="F1"/>
    <x v="16"/>
    <s v="P000001462"/>
    <s v="EL-SC-DO Organization"/>
    <s v="P000000497"/>
    <s v="New"/>
    <x v="0"/>
    <x v="0"/>
    <m/>
    <m/>
    <m/>
    <s v="John Rowie Del Rosario"/>
  </r>
  <r>
    <n v="646"/>
    <s v="F1"/>
    <x v="16"/>
    <s v="P000001463"/>
    <s v="EL-SC-DE Organization"/>
    <s v="P000000498"/>
    <s v="New"/>
    <x v="0"/>
    <x v="0"/>
    <m/>
    <m/>
    <m/>
    <s v="John Rowie Del Rosario"/>
  </r>
  <r>
    <n v="647"/>
    <s v="F1"/>
    <x v="16"/>
    <s v="P000001464"/>
    <s v="EL-SC-DF Organization"/>
    <s v="P000000499"/>
    <s v="New"/>
    <x v="0"/>
    <x v="0"/>
    <m/>
    <m/>
    <m/>
    <s v="John Rowie Del Rosario"/>
  </r>
  <r>
    <n v="648"/>
    <s v="F1"/>
    <x v="16"/>
    <s v="P000001465"/>
    <s v="EL-SC-DI Organization"/>
    <s v="P000000500"/>
    <s v="New"/>
    <x v="0"/>
    <x v="0"/>
    <m/>
    <m/>
    <m/>
    <s v="John Rowie Del Rosario"/>
  </r>
  <r>
    <n v="649"/>
    <s v="F1"/>
    <x v="16"/>
    <s v="P000001466"/>
    <s v="EL-SC-DX Organization"/>
    <s v="P000000502"/>
    <s v="New"/>
    <x v="0"/>
    <x v="0"/>
    <m/>
    <m/>
    <m/>
    <s v="John Rowie Del Rosario"/>
  </r>
  <r>
    <n v="650"/>
    <s v="F1"/>
    <x v="16"/>
    <s v="P000001467"/>
    <s v="EL-SC-DS Organization"/>
    <s v="P000000503"/>
    <s v="New"/>
    <x v="0"/>
    <x v="0"/>
    <m/>
    <m/>
    <m/>
    <s v="John Rowie Del Rosario"/>
  </r>
  <r>
    <n v="651"/>
    <s v="F1"/>
    <x v="16"/>
    <s v="P000001468"/>
    <s v="EL-SC-DU Organization"/>
    <s v="P000000504"/>
    <s v="New"/>
    <x v="0"/>
    <x v="0"/>
    <m/>
    <m/>
    <m/>
    <s v="John Rowie Del Rosario"/>
  </r>
  <r>
    <n v="652"/>
    <s v="F1"/>
    <x v="16"/>
    <s v="P000001469"/>
    <s v="EL-SC-DI Organization"/>
    <s v="P000001178"/>
    <s v="New"/>
    <x v="0"/>
    <x v="0"/>
    <m/>
    <m/>
    <m/>
    <s v="John Rowie Del Rosario"/>
  </r>
  <r>
    <n v="653"/>
    <s v="F1"/>
    <x v="16"/>
    <s v="P000001470"/>
    <s v="EL-SC-DG Organization"/>
    <s v="P000001337"/>
    <s v="New"/>
    <x v="0"/>
    <x v="0"/>
    <m/>
    <m/>
    <m/>
    <s v="John Rowie Del Rosario"/>
  </r>
  <r>
    <n v="654"/>
    <s v="F1"/>
    <x v="16"/>
    <s v="P000001471"/>
    <s v="EL-SC-DU Organization"/>
    <s v="P000001338"/>
    <s v="New"/>
    <x v="0"/>
    <x v="0"/>
    <m/>
    <m/>
    <m/>
    <s v="John Rowie Del Rosario"/>
  </r>
  <r>
    <n v="655"/>
    <s v="F1"/>
    <x v="16"/>
    <s v="P000001472"/>
    <s v="EL-SC-DU Projects"/>
    <s v="P000001338"/>
    <s v="New"/>
    <x v="0"/>
    <x v="0"/>
    <m/>
    <m/>
    <m/>
    <s v="John Rowie Del Rosario"/>
  </r>
  <r>
    <n v="656"/>
    <s v="F1"/>
    <x v="16"/>
    <s v="P000001473"/>
    <s v="EL-SC-DU Other"/>
    <s v="P000001338"/>
    <s v="New"/>
    <x v="0"/>
    <x v="0"/>
    <m/>
    <m/>
    <m/>
    <s v="John Rowie Del Rosario"/>
  </r>
  <r>
    <n v="657"/>
    <s v="F1"/>
    <x v="16"/>
    <s v="P000001474"/>
    <s v="EL-SC-D Other"/>
    <s v="P000000495"/>
    <s v="New"/>
    <x v="0"/>
    <x v="0"/>
    <m/>
    <m/>
    <m/>
    <s v="John Rowie Del Rosario"/>
  </r>
  <r>
    <n v="658"/>
    <s v="F1"/>
    <x v="16"/>
    <s v="P000001475"/>
    <s v="EL-SC-DO Other"/>
    <s v="P000000497"/>
    <s v="New"/>
    <x v="0"/>
    <x v="0"/>
    <m/>
    <m/>
    <m/>
    <s v="John Rowie Del Rosario"/>
  </r>
  <r>
    <n v="659"/>
    <s v="F1"/>
    <x v="16"/>
    <s v="P000001476"/>
    <s v="EL-SC-DE Other"/>
    <s v="P000000498"/>
    <s v="New"/>
    <x v="0"/>
    <x v="0"/>
    <m/>
    <m/>
    <m/>
    <s v="John Rowie Del Rosario"/>
  </r>
  <r>
    <n v="660"/>
    <s v="F1"/>
    <x v="16"/>
    <s v="P000001477"/>
    <s v="EL-SC-DF Other"/>
    <s v="P000000499"/>
    <s v="New"/>
    <x v="0"/>
    <x v="0"/>
    <m/>
    <m/>
    <m/>
    <s v="John Rowie Del Rosario"/>
  </r>
  <r>
    <n v="661"/>
    <s v="F1"/>
    <x v="16"/>
    <s v="P000001478"/>
    <s v="EL-SC-DI Other"/>
    <s v="P000000500"/>
    <s v="New"/>
    <x v="0"/>
    <x v="0"/>
    <m/>
    <m/>
    <m/>
    <s v="John Rowie Del Rosario"/>
  </r>
  <r>
    <n v="662"/>
    <s v="F1"/>
    <x v="16"/>
    <s v="P000001479"/>
    <s v="EL-SC-DX Other"/>
    <s v="P000000502"/>
    <s v="New"/>
    <x v="0"/>
    <x v="0"/>
    <m/>
    <m/>
    <m/>
    <s v="John Rowie Del Rosario"/>
  </r>
  <r>
    <n v="663"/>
    <s v="F1"/>
    <x v="16"/>
    <s v="P000001480"/>
    <s v="EL-SC-DS Other"/>
    <s v="P000000503"/>
    <s v="New"/>
    <x v="0"/>
    <x v="0"/>
    <m/>
    <m/>
    <m/>
    <s v="John Rowie Del Rosario"/>
  </r>
  <r>
    <n v="664"/>
    <s v="F1"/>
    <x v="16"/>
    <s v="P000001481"/>
    <s v="EL-SC-DU Other"/>
    <s v="P000000504"/>
    <s v="New"/>
    <x v="0"/>
    <x v="0"/>
    <m/>
    <m/>
    <m/>
    <s v="John Rowie Del Rosario"/>
  </r>
  <r>
    <n v="665"/>
    <s v="F1"/>
    <x v="16"/>
    <s v="P000001482"/>
    <s v="EL-SC-DI Other"/>
    <s v="P000001178"/>
    <s v="New"/>
    <x v="0"/>
    <x v="0"/>
    <m/>
    <m/>
    <m/>
    <s v="John Rowie Del Rosario"/>
  </r>
  <r>
    <n v="666"/>
    <s v="F1"/>
    <x v="16"/>
    <s v="P000001483"/>
    <s v="EL-SC-DG Other"/>
    <s v="P000001337"/>
    <s v="New"/>
    <x v="0"/>
    <x v="0"/>
    <m/>
    <m/>
    <m/>
    <s v="John Rowie Del Rosario"/>
  </r>
  <r>
    <n v="667"/>
    <s v="F1"/>
    <x v="16"/>
    <s v="P000001484"/>
    <s v="EL-SC-DG Projects"/>
    <s v="P000001337"/>
    <s v="New"/>
    <x v="0"/>
    <x v="0"/>
    <m/>
    <m/>
    <m/>
    <s v="John Rowie Del Rosario"/>
  </r>
  <r>
    <n v="668"/>
    <s v="F1"/>
    <x v="16"/>
    <s v="P000001485"/>
    <s v="EL-SC-DI Projects"/>
    <s v="P000001178"/>
    <s v="New"/>
    <x v="0"/>
    <x v="0"/>
    <m/>
    <m/>
    <m/>
    <s v="John Rowie Del Rosario"/>
  </r>
  <r>
    <n v="669"/>
    <s v="F1"/>
    <x v="16"/>
    <s v="P000001486"/>
    <s v="Cluster Equipment General"/>
    <s v="P000001411"/>
    <s v="New"/>
    <x v="0"/>
    <x v="0"/>
    <m/>
    <m/>
    <m/>
    <s v="John Rowie Del Rosario"/>
  </r>
  <r>
    <n v="670"/>
    <s v="F1"/>
    <x v="16"/>
    <s v="G000000954"/>
    <s v="EL-OP-SD LH+SC Buildings, TC"/>
    <m/>
    <s v="Rename"/>
    <x v="0"/>
    <x v="0"/>
    <m/>
    <m/>
    <m/>
    <s v="John Rowie Del Rosario"/>
  </r>
  <r>
    <n v="671"/>
    <s v="F1"/>
    <x v="16"/>
    <s v="G000001028"/>
    <s v="EL-OP-SD LH+SC Buildings, D&amp;A"/>
    <m/>
    <s v="Rename"/>
    <x v="0"/>
    <x v="0"/>
    <m/>
    <m/>
    <m/>
    <s v="John Rowie Del Rosario"/>
  </r>
  <r>
    <n v="672"/>
    <s v="F1"/>
    <x v="16"/>
    <s v="P000000060"/>
    <s v="DIS-DE-DA G1 Production"/>
    <m/>
    <s v="Rename"/>
    <x v="0"/>
    <x v="0"/>
    <m/>
    <m/>
    <m/>
    <s v="John Rowie Del Rosario"/>
  </r>
  <r>
    <n v="673"/>
    <s v="F1"/>
    <x v="16"/>
    <s v="P000000002"/>
    <s v="EL-OP BU Other"/>
    <m/>
    <s v="Rename"/>
    <x v="0"/>
    <x v="0"/>
    <m/>
    <m/>
    <m/>
    <s v="John Rowie Del Rosario"/>
  </r>
  <r>
    <n v="674"/>
    <s v="F1"/>
    <x v="16"/>
    <s v="P000001209"/>
    <s v="EL-OP-LR LC/DPM R&amp;D Other"/>
    <m/>
    <s v="Rename"/>
    <x v="0"/>
    <x v="0"/>
    <m/>
    <m/>
    <m/>
    <s v="John Rowie Del Rosario"/>
  </r>
  <r>
    <n v="675"/>
    <s v="F1"/>
    <x v="16"/>
    <s v="P000001221"/>
    <s v="EL-OP-OR OLED R&amp;D Other"/>
    <m/>
    <s v="Rename"/>
    <x v="0"/>
    <x v="0"/>
    <m/>
    <m/>
    <m/>
    <s v="John Rowie Del Rosario"/>
  </r>
  <r>
    <n v="676"/>
    <s v="F1"/>
    <x v="16"/>
    <s v="P000001127"/>
    <s v="EL-OP-B Business Strategy &amp; Service"/>
    <m/>
    <s v="Rename"/>
    <x v="0"/>
    <x v="0"/>
    <m/>
    <m/>
    <m/>
    <s v="John Rowie Del Rosario"/>
  </r>
  <r>
    <n v="677"/>
    <s v="F1"/>
    <x v="16"/>
    <s v="P000001243"/>
    <s v="EL-OP-BF OT R&amp;D Other"/>
    <m/>
    <s v="Rename"/>
    <x v="0"/>
    <x v="0"/>
    <m/>
    <m/>
    <m/>
    <s v="John Rowie Del Rosario"/>
  </r>
  <r>
    <n v="678"/>
    <s v="F1"/>
    <x v="16"/>
    <s v="P000001134"/>
    <s v="EL-OP-B Business Strategy &amp; Service Head"/>
    <m/>
    <s v="Rename"/>
    <x v="0"/>
    <x v="0"/>
    <m/>
    <m/>
    <m/>
    <s v="John Rowie Del Rosario"/>
  </r>
  <r>
    <n v="679"/>
    <s v="F1"/>
    <x v="16"/>
    <s v="P000000572"/>
    <s v="EL-CN-S1 Semi Business"/>
    <m/>
    <s v="Rename"/>
    <x v="0"/>
    <x v="0"/>
    <m/>
    <m/>
    <m/>
    <s v="John Rowie Del Rosario"/>
  </r>
  <r>
    <n v="680"/>
    <s v="F1"/>
    <x v="16"/>
    <s v="P000000573"/>
    <s v="EL-CN-S2 Electronics Tech Center China"/>
    <m/>
    <s v="Rename"/>
    <x v="0"/>
    <x v="0"/>
    <m/>
    <m/>
    <m/>
    <s v="John Rowie Del Rosario"/>
  </r>
  <r>
    <n v="681"/>
    <s v="F1"/>
    <x v="16"/>
    <s v="P000000574"/>
    <s v="EL-CN-S3 Key Account Management"/>
    <m/>
    <s v="Rename"/>
    <x v="0"/>
    <x v="0"/>
    <m/>
    <m/>
    <m/>
    <s v="John Rowie Del Rosario"/>
  </r>
  <r>
    <n v="682"/>
    <s v="F1"/>
    <x v="16"/>
    <s v="P000000706"/>
    <s v="XXX North America &amp; Europe General M"/>
    <m/>
    <s v="Rename"/>
    <x v="0"/>
    <x v="0"/>
    <m/>
    <m/>
    <m/>
    <s v="John Rowie Del Rosario"/>
  </r>
  <r>
    <n v="683"/>
    <s v="F1"/>
    <x v="16"/>
    <s v="P000000720"/>
    <s v="XXX Asia General Management"/>
    <m/>
    <s v="Rename"/>
    <x v="0"/>
    <x v="0"/>
    <m/>
    <m/>
    <m/>
    <s v="John Rowie Del Rosario"/>
  </r>
  <r>
    <n v="684"/>
    <s v="F1"/>
    <x v="16"/>
    <s v="P000000727"/>
    <s v="XXX Korea &amp; Japan General Management"/>
    <m/>
    <s v="Rename"/>
    <x v="0"/>
    <x v="0"/>
    <m/>
    <m/>
    <m/>
    <s v="John Rowie Del Rosario"/>
  </r>
  <r>
    <n v="685"/>
    <s v="F1"/>
    <x v="16"/>
    <s v="P000001274"/>
    <s v="EL-ND DS&amp;S Head"/>
    <m/>
    <s v="Rename"/>
    <x v="0"/>
    <x v="0"/>
    <m/>
    <m/>
    <m/>
    <s v="John Rowie Del Rosario"/>
  </r>
  <r>
    <n v="686"/>
    <s v="F1"/>
    <x v="16"/>
    <s v="P000001276"/>
    <s v="EL-ND DS&amp;S Commercial"/>
    <m/>
    <s v="Rename"/>
    <x v="0"/>
    <x v="0"/>
    <m/>
    <m/>
    <m/>
    <s v="John Rowie Del Rosario"/>
  </r>
  <r>
    <n v="687"/>
    <s v="F1"/>
    <x v="16"/>
    <s v="P000001277"/>
    <s v="EL-ND DS&amp;S Sales &amp; COGs"/>
    <m/>
    <s v="Rename"/>
    <x v="0"/>
    <x v="0"/>
    <m/>
    <m/>
    <m/>
    <s v="John Rowie Del Rosario"/>
  </r>
  <r>
    <n v="688"/>
    <s v="F1"/>
    <x v="16"/>
    <s v="P000000544"/>
    <s v="EL-TF-R Thin Film R&amp;D"/>
    <m/>
    <s v="Rename"/>
    <x v="0"/>
    <x v="0"/>
    <m/>
    <m/>
    <m/>
    <s v="John Rowie Del Rosario"/>
  </r>
  <r>
    <n v="689"/>
    <s v="F1"/>
    <x v="16"/>
    <s v="P000001010"/>
    <s v="EL-TF-R Thin Film R&amp;D Projects"/>
    <m/>
    <s v="Rename"/>
    <x v="0"/>
    <x v="0"/>
    <m/>
    <m/>
    <m/>
    <s v="John Rowie Del Rosario"/>
  </r>
  <r>
    <n v="690"/>
    <s v="F1"/>
    <x v="16"/>
    <s v="P000001011"/>
    <s v="EL-TF-R Thin Film R&amp;D Organization"/>
    <m/>
    <s v="Rename"/>
    <x v="0"/>
    <x v="0"/>
    <m/>
    <m/>
    <m/>
    <s v="John Rowie Del Rosario"/>
  </r>
  <r>
    <n v="691"/>
    <s v="F1"/>
    <x v="16"/>
    <s v="P000001012"/>
    <s v="EL-TF-R Thin Film R&amp;D Other"/>
    <m/>
    <s v="Rename"/>
    <x v="0"/>
    <x v="0"/>
    <m/>
    <m/>
    <m/>
    <s v="John Rowie Del Rosario"/>
  </r>
  <r>
    <n v="692"/>
    <s v="F1"/>
    <x v="16"/>
    <s v="P000000536"/>
    <s v="EL-SG-G Specialty Gases Commercial"/>
    <m/>
    <s v="Rename"/>
    <x v="0"/>
    <x v="0"/>
    <m/>
    <m/>
    <m/>
    <s v="John Rowie Del Rosario"/>
  </r>
  <r>
    <n v="693"/>
    <s v="F1"/>
    <x v="16"/>
    <s v="P000000547"/>
    <s v="EL-SG-I Specialty Gases R&amp;D"/>
    <m/>
    <s v="Rename"/>
    <x v="0"/>
    <x v="0"/>
    <m/>
    <m/>
    <m/>
    <s v="John Rowie Del Rosario"/>
  </r>
  <r>
    <n v="694"/>
    <s v="F1"/>
    <x v="16"/>
    <s v="P000001019"/>
    <s v="EL-SG-I Specialty Gases R&amp;D Projects"/>
    <m/>
    <s v="Rename"/>
    <x v="0"/>
    <x v="0"/>
    <m/>
    <m/>
    <m/>
    <s v="John Rowie Del Rosario"/>
  </r>
  <r>
    <n v="695"/>
    <s v="F1"/>
    <x v="16"/>
    <s v="P000001020"/>
    <s v="EL-SG-I Specialty Gases R&amp;D Organization"/>
    <m/>
    <s v="Rename"/>
    <x v="0"/>
    <x v="0"/>
    <m/>
    <m/>
    <m/>
    <s v="John Rowie Del Rosario"/>
  </r>
  <r>
    <n v="696"/>
    <s v="F1"/>
    <x v="16"/>
    <s v="P000001021"/>
    <s v="EL-SG-I Specialty Gases R&amp;D Other"/>
    <m/>
    <s v="Rename"/>
    <x v="0"/>
    <x v="0"/>
    <m/>
    <m/>
    <m/>
    <s v="John Rowie Del Rosario"/>
  </r>
  <r>
    <n v="697"/>
    <s v="F1"/>
    <x v="16"/>
    <s v="P000001173"/>
    <s v="EL-SC-D IO"/>
    <m/>
    <s v="Rename"/>
    <x v="0"/>
    <x v="0"/>
    <m/>
    <m/>
    <m/>
    <s v="John Rowie Del Rosario"/>
  </r>
  <r>
    <n v="698"/>
    <s v="F1"/>
    <x v="16"/>
    <s v="P000001174"/>
    <s v="EL-SC-DO IO"/>
    <m/>
    <s v="Rename"/>
    <x v="0"/>
    <x v="0"/>
    <m/>
    <m/>
    <m/>
    <s v="John Rowie Del Rosario"/>
  </r>
  <r>
    <n v="699"/>
    <s v="F1"/>
    <x v="16"/>
    <s v="P000001175"/>
    <s v="EL-SC-DE IO"/>
    <m/>
    <s v="Rename"/>
    <x v="0"/>
    <x v="0"/>
    <m/>
    <m/>
    <m/>
    <s v="John Rowie Del Rosario"/>
  </r>
  <r>
    <n v="700"/>
    <s v="F1"/>
    <x v="16"/>
    <s v="P000001176"/>
    <s v="EL-SC-DF IO"/>
    <m/>
    <s v="Rename"/>
    <x v="0"/>
    <x v="0"/>
    <m/>
    <m/>
    <m/>
    <s v="John Rowie Del Rosario"/>
  </r>
  <r>
    <n v="701"/>
    <s v="F1"/>
    <x v="16"/>
    <s v="P000001177"/>
    <s v="EL-SC-DF IO"/>
    <m/>
    <s v="Rename"/>
    <x v="0"/>
    <x v="0"/>
    <m/>
    <m/>
    <m/>
    <s v="John Rowie Del Rosario"/>
  </r>
  <r>
    <n v="702"/>
    <s v="F1"/>
    <x v="16"/>
    <s v="P000001179"/>
    <s v="EL-SC-DX IO"/>
    <m/>
    <s v="Rename"/>
    <x v="0"/>
    <x v="0"/>
    <m/>
    <m/>
    <m/>
    <s v="John Rowie Del Rosario"/>
  </r>
  <r>
    <n v="703"/>
    <s v="F1"/>
    <x v="16"/>
    <s v="P000001180"/>
    <s v="EL-SC-DS IO"/>
    <m/>
    <s v="Rename"/>
    <x v="0"/>
    <x v="0"/>
    <m/>
    <m/>
    <m/>
    <s v="John Rowie Del Rosario"/>
  </r>
  <r>
    <n v="704"/>
    <s v="F1"/>
    <x v="16"/>
    <s v="P000001181"/>
    <s v="EL-SC-DU IO"/>
    <m/>
    <s v="Rename"/>
    <x v="0"/>
    <x v="0"/>
    <m/>
    <m/>
    <m/>
    <s v="John Rowie Del Rosario"/>
  </r>
  <r>
    <n v="705"/>
    <s v="F1"/>
    <x v="16"/>
    <s v="P000000534"/>
    <s v="EL-FO-P Patterning Solutions Head"/>
    <m/>
    <s v="Rename"/>
    <x v="0"/>
    <x v="0"/>
    <m/>
    <m/>
    <m/>
    <s v="John Rowie Del Rosario"/>
  </r>
  <r>
    <n v="706"/>
    <s v="F1"/>
    <x v="16"/>
    <s v="P000001013"/>
    <s v="EL-FO-PR Patterning R&amp;D Projects"/>
    <m/>
    <s v="Rename"/>
    <x v="0"/>
    <x v="0"/>
    <m/>
    <m/>
    <m/>
    <s v="John Rowie Del Rosario"/>
  </r>
  <r>
    <n v="707"/>
    <s v="F1"/>
    <x v="16"/>
    <s v="P000001014"/>
    <s v="EL-FO-PR Patterning R&amp;D Organization"/>
    <m/>
    <s v="Rename"/>
    <x v="0"/>
    <x v="0"/>
    <m/>
    <m/>
    <m/>
    <s v="John Rowie Del Rosario"/>
  </r>
  <r>
    <n v="708"/>
    <s v="F1"/>
    <x v="16"/>
    <s v="P000001015"/>
    <s v="EL-FO-PR Patterning R&amp;D Other"/>
    <m/>
    <s v="Rename"/>
    <x v="0"/>
    <x v="0"/>
    <m/>
    <m/>
    <m/>
    <s v="John Rowie Del Rosario"/>
  </r>
  <r>
    <n v="709"/>
    <s v="F1"/>
    <x v="16"/>
    <s v="P000001165"/>
    <s v="EL-FO-PC Patterning Silica"/>
    <m/>
    <s v="Rename"/>
    <x v="0"/>
    <x v="0"/>
    <m/>
    <m/>
    <m/>
    <s v="John Rowie Del Rosario"/>
  </r>
  <r>
    <n v="710"/>
    <s v="F1"/>
    <x v="16"/>
    <s v="P000000535"/>
    <s v="EL-FO-A Planarization Head"/>
    <m/>
    <s v="Rename"/>
    <x v="0"/>
    <x v="0"/>
    <m/>
    <m/>
    <m/>
    <s v="John Rowie Del Rosario"/>
  </r>
  <r>
    <n v="711"/>
    <s v="F1"/>
    <x v="16"/>
    <s v="P000001016"/>
    <s v="EL-FO-AR Planarization R&amp;D Projects"/>
    <m/>
    <s v="Rename"/>
    <x v="0"/>
    <x v="0"/>
    <m/>
    <m/>
    <m/>
    <s v="John Rowie Del Rosario"/>
  </r>
  <r>
    <n v="712"/>
    <s v="F1"/>
    <x v="16"/>
    <s v="P000001017"/>
    <s v="EL-FO-AR Planarization R&amp;D Organization"/>
    <m/>
    <s v="Rename"/>
    <x v="0"/>
    <x v="0"/>
    <m/>
    <m/>
    <m/>
    <s v="John Rowie Del Rosario"/>
  </r>
  <r>
    <n v="713"/>
    <s v="F1"/>
    <x v="16"/>
    <s v="P000001018"/>
    <s v="EL-FO-AR Planarization R&amp;D Other"/>
    <m/>
    <s v="Rename"/>
    <x v="0"/>
    <x v="0"/>
    <m/>
    <m/>
    <m/>
    <s v="John Rowie Del Rosario"/>
  </r>
  <r>
    <n v="714"/>
    <s v="F1"/>
    <x v="16"/>
    <s v="P000000695"/>
    <s v="EL-OP Optronics Head"/>
    <s v="P000000001"/>
    <s v="Rename/Move"/>
    <x v="0"/>
    <x v="0"/>
    <m/>
    <m/>
    <m/>
    <s v="John Rowie Del Rosario"/>
  </r>
  <r>
    <n v="715"/>
    <s v="F1"/>
    <x v="16"/>
    <s v="P000000594"/>
    <s v="EL-OP-OR OLED R&amp;D Patents"/>
    <s v="P000001126"/>
    <s v="Rename/Move"/>
    <x v="0"/>
    <x v="0"/>
    <m/>
    <m/>
    <m/>
    <s v="John Rowie Del Rosario"/>
  </r>
  <r>
    <n v="716"/>
    <s v="F1"/>
    <x v="16"/>
    <s v="P000001211"/>
    <s v="EL-OP-LR LC/DPM R&amp;D Organization"/>
    <s v="P000001117"/>
    <s v="Rename/Move"/>
    <x v="0"/>
    <x v="0"/>
    <m/>
    <m/>
    <m/>
    <s v="John Rowie Del Rosario"/>
  </r>
  <r>
    <n v="717"/>
    <s v="F1"/>
    <x v="16"/>
    <s v="P000001224"/>
    <s v="EL-OP-OR OLED R&amp;D Organization"/>
    <s v="P000001126"/>
    <s v="Rename/Move"/>
    <x v="0"/>
    <x v="0"/>
    <m/>
    <m/>
    <m/>
    <s v="John Rowie Del Rosario"/>
  </r>
  <r>
    <n v="718"/>
    <s v="F1"/>
    <x v="16"/>
    <s v="P000001244"/>
    <s v="EL-OP-BF OT R&amp;D Organization"/>
    <s v="P000001130"/>
    <s v="Rename/Move"/>
    <x v="0"/>
    <x v="0"/>
    <m/>
    <m/>
    <m/>
    <s v="John Rowie Del Rosario"/>
  </r>
  <r>
    <n v="719"/>
    <s v="F1"/>
    <x v="16"/>
    <s v="P000001325"/>
    <s v="Asia Sales"/>
    <s v="P000001276"/>
    <s v="Rename/Move"/>
    <x v="0"/>
    <x v="0"/>
    <m/>
    <m/>
    <m/>
    <s v="John Rowie Del Rosario"/>
  </r>
  <r>
    <n v="720"/>
    <s v="F1"/>
    <x v="16"/>
    <s v="P000001326"/>
    <s v="Korea Sales"/>
    <s v="P000001276"/>
    <s v="Rename/Move"/>
    <x v="0"/>
    <x v="0"/>
    <m/>
    <m/>
    <m/>
    <s v="John Rowie Del Rosario"/>
  </r>
  <r>
    <n v="721"/>
    <s v="F1"/>
    <x v="16"/>
    <s v="P000001327"/>
    <s v="NA &amp; EU Sales"/>
    <s v="P000001276"/>
    <s v="Rename/Move"/>
    <x v="0"/>
    <x v="0"/>
    <m/>
    <m/>
    <m/>
    <s v="John Rowie Del Rosario"/>
  </r>
  <r>
    <n v="722"/>
    <s v="F1"/>
    <x v="16"/>
    <s v="P000001328"/>
    <s v="NA Services"/>
    <s v="P000001276"/>
    <s v="Rename/Move"/>
    <x v="0"/>
    <x v="0"/>
    <m/>
    <m/>
    <m/>
    <s v="John Rowie Del Rosario"/>
  </r>
  <r>
    <n v="723"/>
    <s v="F1"/>
    <x v="16"/>
    <s v="P000001284"/>
    <s v="EL-ND Marketing &amp; Product Strategy"/>
    <s v="P000000554"/>
    <s v="Rename/Move"/>
    <x v="0"/>
    <x v="0"/>
    <m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m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m/>
    <m/>
    <m/>
    <s v="John Rowie Del Rosario"/>
  </r>
  <r>
    <n v="726"/>
    <s v="F1"/>
    <x v="16"/>
    <s v="P000001312"/>
    <s v="Korea Services"/>
    <s v="P000001276"/>
    <s v="Rename/Move"/>
    <x v="0"/>
    <x v="0"/>
    <m/>
    <m/>
    <m/>
    <s v="John Rowie Del Rosario"/>
  </r>
  <r>
    <n v="727"/>
    <s v="F1"/>
    <x v="16"/>
    <s v="P000001313"/>
    <s v="Asia Services"/>
    <s v="P000001276"/>
    <s v="Rename/Move"/>
    <x v="0"/>
    <x v="0"/>
    <m/>
    <m/>
    <m/>
    <s v="John Rowie Del Rosario"/>
  </r>
  <r>
    <n v="728"/>
    <s v="F1"/>
    <x v="16"/>
    <s v="P000001314"/>
    <s v="EL-ND R&amp;D / Innovation"/>
    <s v="P000000554"/>
    <s v="Rename/Move"/>
    <x v="0"/>
    <x v="0"/>
    <m/>
    <m/>
    <m/>
    <s v="John Rowie Del Rosario"/>
  </r>
  <r>
    <n v="729"/>
    <s v="F1"/>
    <x v="16"/>
    <s v="P000001287"/>
    <s v="Equipment Technology"/>
    <s v="P000001314"/>
    <s v="Rename/Move"/>
    <x v="0"/>
    <x v="0"/>
    <m/>
    <m/>
    <m/>
    <s v="John Rowie Del Rosario"/>
  </r>
  <r>
    <n v="730"/>
    <s v="F1"/>
    <x v="16"/>
    <s v="P000001315"/>
    <s v="New Product Introduction"/>
    <s v="P000001314"/>
    <s v="Rename/Move"/>
    <x v="0"/>
    <x v="0"/>
    <m/>
    <m/>
    <m/>
    <s v="John Rowie Del Rosario"/>
  </r>
  <r>
    <n v="731"/>
    <s v="F1"/>
    <x v="16"/>
    <s v="P000001316"/>
    <s v="EL-ND Korea General Management"/>
    <s v="P000000554"/>
    <s v="Rename/Move"/>
    <x v="0"/>
    <x v="0"/>
    <m/>
    <m/>
    <m/>
    <s v="John Rowie Del Rosario"/>
  </r>
  <r>
    <n v="732"/>
    <s v="F1"/>
    <x v="16"/>
    <s v="P000000533"/>
    <s v="EL-TF-S TF Global Sales Head"/>
    <s v="P000000829"/>
    <s v="Rename/Move"/>
    <x v="0"/>
    <x v="0"/>
    <m/>
    <m/>
    <m/>
    <s v="John Rowie Del Rosario"/>
  </r>
  <r>
    <n v="733"/>
    <s v="F1"/>
    <x v="16"/>
    <s v="P000000541"/>
    <s v="EL-FO-PP PAT Global Product Mgmt Head"/>
    <s v="P000000852"/>
    <s v="Rename/Move"/>
    <x v="0"/>
    <x v="0"/>
    <m/>
    <m/>
    <m/>
    <s v="John Rowie Del Rosario"/>
  </r>
  <r>
    <n v="734"/>
    <s v="F1"/>
    <x v="16"/>
    <s v="P000000853"/>
    <s v="EL-FO-PS PAT Sales Head"/>
    <s v="P000000850"/>
    <s v="Rename/Move"/>
    <x v="0"/>
    <x v="0"/>
    <m/>
    <m/>
    <m/>
    <s v="John Rowie Del Rosario"/>
  </r>
  <r>
    <n v="735"/>
    <s v="F1"/>
    <x v="16"/>
    <s v="P000000855"/>
    <s v="EL-FO-P Patterning Sales &amp; COGs"/>
    <s v="P000000642"/>
    <s v="Rename/Move"/>
    <x v="0"/>
    <x v="0"/>
    <m/>
    <m/>
    <m/>
    <s v="John Rowie Del Rosario"/>
  </r>
  <r>
    <n v="736"/>
    <s v="F1"/>
    <x v="16"/>
    <s v="P000000073"/>
    <m/>
    <s v="P000000069"/>
    <s v="Move"/>
    <x v="0"/>
    <x v="0"/>
    <m/>
    <m/>
    <m/>
    <s v="John Rowie Del Rosario"/>
  </r>
  <r>
    <n v="737"/>
    <s v="F1"/>
    <x v="16"/>
    <s v="P000000478"/>
    <m/>
    <s v="P000001395"/>
    <s v="Move"/>
    <x v="0"/>
    <x v="0"/>
    <m/>
    <m/>
    <m/>
    <s v="John Rowie Del Rosario"/>
  </r>
  <r>
    <n v="738"/>
    <s v="F1"/>
    <x v="16"/>
    <s v="P000000473"/>
    <m/>
    <s v="P000000468"/>
    <s v="Move"/>
    <x v="0"/>
    <x v="0"/>
    <m/>
    <m/>
    <m/>
    <s v="John Rowie Del Rosario"/>
  </r>
  <r>
    <n v="739"/>
    <s v="F1"/>
    <x v="16"/>
    <s v="P000000476"/>
    <m/>
    <s v="P000000468"/>
    <s v="Move"/>
    <x v="0"/>
    <x v="0"/>
    <m/>
    <m/>
    <m/>
    <s v="John Rowie Del Rosario"/>
  </r>
  <r>
    <n v="740"/>
    <s v="F1"/>
    <x v="16"/>
    <s v="P000000477"/>
    <m/>
    <s v="P000000468"/>
    <s v="Move"/>
    <x v="0"/>
    <x v="0"/>
    <m/>
    <m/>
    <m/>
    <s v="John Rowie Del Rosario"/>
  </r>
  <r>
    <n v="741"/>
    <s v="F1"/>
    <x v="16"/>
    <s v="P000000219"/>
    <m/>
    <s v="P000001381"/>
    <s v="Move"/>
    <x v="0"/>
    <x v="0"/>
    <m/>
    <m/>
    <m/>
    <s v="John Rowie Del Rosario"/>
  </r>
  <r>
    <n v="742"/>
    <s v="F1"/>
    <x v="16"/>
    <s v="P000001403"/>
    <m/>
    <s v="P000001402"/>
    <s v="Move"/>
    <x v="0"/>
    <x v="0"/>
    <m/>
    <m/>
    <m/>
    <s v="John Rowie Del Rosario"/>
  </r>
  <r>
    <n v="743"/>
    <s v="F1"/>
    <x v="16"/>
    <s v="P000000506"/>
    <m/>
    <s v="P000000468"/>
    <s v="Move"/>
    <x v="0"/>
    <x v="0"/>
    <m/>
    <m/>
    <m/>
    <s v="John Rowie Del Rosario"/>
  </r>
  <r>
    <n v="744"/>
    <s v="F1"/>
    <x v="16"/>
    <s v="P000001108"/>
    <m/>
    <s v="P000001277"/>
    <s v="Move"/>
    <x v="0"/>
    <x v="0"/>
    <m/>
    <m/>
    <m/>
    <s v="John Rowie Del Rosario"/>
  </r>
  <r>
    <n v="745"/>
    <s v="F1"/>
    <x v="16"/>
    <s v="P000000829"/>
    <m/>
    <s v="P000000641"/>
    <s v="Move"/>
    <x v="0"/>
    <x v="0"/>
    <m/>
    <m/>
    <m/>
    <s v="John Rowie Del Rosario"/>
  </r>
  <r>
    <n v="746"/>
    <s v="F1"/>
    <x v="16"/>
    <s v="P000000850"/>
    <m/>
    <s v="P000000642"/>
    <s v="Move"/>
    <x v="0"/>
    <x v="0"/>
    <m/>
    <m/>
    <m/>
    <s v="John Rowie Del Rosario"/>
  </r>
  <r>
    <n v="747"/>
    <s v="F1"/>
    <x v="16"/>
    <s v="P000000852"/>
    <m/>
    <s v="P000000642"/>
    <s v="Move"/>
    <x v="0"/>
    <x v="0"/>
    <m/>
    <m/>
    <m/>
    <s v="John Rowie Del Rosario"/>
  </r>
  <r>
    <n v="748"/>
    <s v="F1"/>
    <x v="16"/>
    <s v="P000000854"/>
    <m/>
    <s v="P000000642"/>
    <s v="Move"/>
    <x v="0"/>
    <x v="0"/>
    <m/>
    <m/>
    <m/>
    <s v="John Rowie Del Rosario"/>
  </r>
  <r>
    <n v="749"/>
    <s v="F1"/>
    <x v="16"/>
    <s v="P000000856"/>
    <m/>
    <s v="P000000642"/>
    <s v="Move"/>
    <x v="0"/>
    <x v="0"/>
    <m/>
    <m/>
    <m/>
    <s v="John Rowie Del Rosario"/>
  </r>
  <r>
    <n v="750"/>
    <s v="F1"/>
    <x v="16"/>
    <s v="P000000901"/>
    <m/>
    <s v="P000000643"/>
    <s v="Move"/>
    <x v="0"/>
    <x v="0"/>
    <m/>
    <m/>
    <m/>
    <s v="John Rowie Del Rosario"/>
  </r>
  <r>
    <n v="751"/>
    <s v="F1"/>
    <x v="16"/>
    <s v="P000000902"/>
    <m/>
    <s v="P000000643"/>
    <s v="Move"/>
    <x v="0"/>
    <x v="0"/>
    <m/>
    <m/>
    <m/>
    <s v="John Rowie Del Rosario"/>
  </r>
  <r>
    <n v="752"/>
    <s v="F1"/>
    <x v="16"/>
    <s v="P000000903"/>
    <m/>
    <s v="P000000643"/>
    <s v="Move"/>
    <x v="0"/>
    <x v="0"/>
    <m/>
    <m/>
    <m/>
    <s v="John Rowie Del Rosario"/>
  </r>
  <r>
    <n v="753"/>
    <s v="F1"/>
    <x v="16"/>
    <s v="PL_ED_CNC1"/>
    <m/>
    <s v="P000000985"/>
    <s v="Move"/>
    <x v="0"/>
    <x v="0"/>
    <m/>
    <m/>
    <m/>
    <s v="John Rowie Del Rosario"/>
  </r>
  <r>
    <n v="754"/>
    <s v="F1"/>
    <x v="16"/>
    <s v="PL_ED_KRB2"/>
    <m/>
    <s v="P000000998"/>
    <s v="Move"/>
    <x v="0"/>
    <x v="0"/>
    <m/>
    <m/>
    <m/>
    <s v="John Rowie Del Rosario"/>
  </r>
  <r>
    <n v="755"/>
    <s v="F1"/>
    <x v="16"/>
    <s v="PL_ED_USD6"/>
    <m/>
    <s v="P000000971"/>
    <s v="Move"/>
    <x v="0"/>
    <x v="0"/>
    <m/>
    <m/>
    <m/>
    <s v="John Rowie Del Rosario"/>
  </r>
  <r>
    <n v="756"/>
    <s v="F1"/>
    <x v="16"/>
    <s v="P000000967"/>
    <m/>
    <s v="P000001411"/>
    <s v="Move"/>
    <x v="0"/>
    <x v="0"/>
    <m/>
    <m/>
    <m/>
    <s v="John Rowie Del Rosario"/>
  </r>
  <r>
    <n v="757"/>
    <s v="F1"/>
    <x v="16"/>
    <s v="P000000972"/>
    <m/>
    <s v="P000001411"/>
    <s v="Move"/>
    <x v="0"/>
    <x v="0"/>
    <m/>
    <m/>
    <m/>
    <s v="John Rowie Del Rosario"/>
  </r>
  <r>
    <n v="758"/>
    <s v="F1"/>
    <x v="16"/>
    <s v="P000000994"/>
    <m/>
    <s v="P000001411"/>
    <s v="Move"/>
    <x v="0"/>
    <x v="0"/>
    <m/>
    <m/>
    <m/>
    <s v="John Rowie Del Rosario"/>
  </r>
  <r>
    <n v="759"/>
    <s v="F1"/>
    <x v="16"/>
    <s v="P000000981"/>
    <m/>
    <s v="P000001411"/>
    <s v="Move"/>
    <x v="0"/>
    <x v="0"/>
    <m/>
    <m/>
    <m/>
    <s v="John Rowie Del Rosario"/>
  </r>
  <r>
    <n v="760"/>
    <s v="F1"/>
    <x v="16"/>
    <s v="P000000986"/>
    <m/>
    <s v="P000001411"/>
    <s v="Move"/>
    <x v="0"/>
    <x v="0"/>
    <m/>
    <m/>
    <m/>
    <s v="John Rowie Del Rosario"/>
  </r>
  <r>
    <n v="761"/>
    <s v="F1"/>
    <x v="16"/>
    <s v="P000000841"/>
    <m/>
    <s v="O000000009"/>
    <s v="Remove"/>
    <x v="0"/>
    <x v="0"/>
    <m/>
    <m/>
    <m/>
    <s v="John Rowie Del Rosario"/>
  </r>
  <r>
    <n v="762"/>
    <s v="F1"/>
    <x v="16"/>
    <s v="P000000776"/>
    <m/>
    <s v="O000000009"/>
    <s v="Remove"/>
    <x v="0"/>
    <x v="0"/>
    <m/>
    <m/>
    <m/>
    <s v="John Rowie Del Rosario"/>
  </r>
  <r>
    <n v="763"/>
    <s v="F1"/>
    <x v="16"/>
    <s v="P000000088"/>
    <m/>
    <s v="O000000009"/>
    <s v="Remove"/>
    <x v="0"/>
    <x v="0"/>
    <m/>
    <m/>
    <m/>
    <s v="John Rowie Del Rosario"/>
  </r>
  <r>
    <n v="764"/>
    <s v="F1"/>
    <x v="16"/>
    <s v="P000000089"/>
    <m/>
    <s v="O000000009"/>
    <s v="Remove"/>
    <x v="0"/>
    <x v="0"/>
    <m/>
    <m/>
    <m/>
    <s v="John Rowie Del Rosario"/>
  </r>
  <r>
    <n v="765"/>
    <s v="F1"/>
    <x v="16"/>
    <s v="P000000090"/>
    <m/>
    <s v="O000000009"/>
    <s v="Remove"/>
    <x v="0"/>
    <x v="0"/>
    <m/>
    <m/>
    <m/>
    <s v="John Rowie Del Rosario"/>
  </r>
  <r>
    <n v="766"/>
    <s v="F1"/>
    <x v="16"/>
    <s v="P000000091"/>
    <m/>
    <s v="O000000009"/>
    <s v="Remove"/>
    <x v="0"/>
    <x v="0"/>
    <m/>
    <m/>
    <m/>
    <s v="John Rowie Del Rosario"/>
  </r>
  <r>
    <n v="767"/>
    <s v="F1"/>
    <x v="16"/>
    <s v="P000000092"/>
    <m/>
    <s v="O000000009"/>
    <s v="Remove"/>
    <x v="0"/>
    <x v="0"/>
    <m/>
    <m/>
    <m/>
    <s v="John Rowie Del Rosario"/>
  </r>
  <r>
    <n v="768"/>
    <s v="F1"/>
    <x v="16"/>
    <s v="P000000093"/>
    <m/>
    <s v="O000000009"/>
    <s v="Remove"/>
    <x v="0"/>
    <x v="0"/>
    <m/>
    <m/>
    <m/>
    <s v="John Rowie Del Rosario"/>
  </r>
  <r>
    <n v="769"/>
    <s v="F1"/>
    <x v="16"/>
    <s v="P000000094"/>
    <m/>
    <s v="O000000009"/>
    <s v="Remove"/>
    <x v="0"/>
    <x v="0"/>
    <m/>
    <m/>
    <m/>
    <s v="John Rowie Del Rosario"/>
  </r>
  <r>
    <n v="770"/>
    <s v="F1"/>
    <x v="16"/>
    <s v="P000000095"/>
    <m/>
    <s v="O000000009"/>
    <s v="Remove"/>
    <x v="0"/>
    <x v="0"/>
    <m/>
    <m/>
    <m/>
    <s v="John Rowie Del Rosario"/>
  </r>
  <r>
    <n v="771"/>
    <s v="F1"/>
    <x v="16"/>
    <s v="P000000096"/>
    <m/>
    <s v="O000000009"/>
    <s v="Remove"/>
    <x v="0"/>
    <x v="0"/>
    <m/>
    <m/>
    <m/>
    <s v="John Rowie Del Rosario"/>
  </r>
  <r>
    <n v="772"/>
    <s v="F1"/>
    <x v="16"/>
    <s v="P000000306"/>
    <m/>
    <s v="O000000009"/>
    <s v="Remove"/>
    <x v="0"/>
    <x v="0"/>
    <m/>
    <m/>
    <m/>
    <s v="John Rowie Del Rosario"/>
  </r>
  <r>
    <n v="773"/>
    <s v="F1"/>
    <x v="16"/>
    <s v="P000000307"/>
    <m/>
    <s v="O000000009"/>
    <s v="Remove"/>
    <x v="0"/>
    <x v="0"/>
    <m/>
    <m/>
    <m/>
    <s v="John Rowie Del Rosario"/>
  </r>
  <r>
    <n v="774"/>
    <s v="F1"/>
    <x v="16"/>
    <s v="P000000220"/>
    <m/>
    <s v="O000000009"/>
    <s v="Remove"/>
    <x v="0"/>
    <x v="0"/>
    <m/>
    <m/>
    <m/>
    <s v="John Rowie Del Rosario"/>
  </r>
  <r>
    <n v="775"/>
    <s v="F1"/>
    <x v="16"/>
    <s v="P000000221"/>
    <m/>
    <s v="O000000009"/>
    <s v="Remove"/>
    <x v="0"/>
    <x v="0"/>
    <m/>
    <m/>
    <m/>
    <s v="John Rowie Del Rosario"/>
  </r>
  <r>
    <n v="776"/>
    <s v="F1"/>
    <x v="16"/>
    <s v="P000000222"/>
    <m/>
    <s v="O000000009"/>
    <s v="Remove"/>
    <x v="0"/>
    <x v="0"/>
    <m/>
    <m/>
    <m/>
    <s v="John Rowie Del Rosario"/>
  </r>
  <r>
    <n v="777"/>
    <s v="F1"/>
    <x v="16"/>
    <s v="P000000223"/>
    <m/>
    <s v="O000000009"/>
    <s v="Remove"/>
    <x v="0"/>
    <x v="0"/>
    <m/>
    <m/>
    <m/>
    <s v="John Rowie Del Rosario"/>
  </r>
  <r>
    <n v="778"/>
    <s v="F1"/>
    <x v="16"/>
    <s v="P000000224"/>
    <m/>
    <s v="O000000009"/>
    <s v="Remove"/>
    <x v="0"/>
    <x v="0"/>
    <m/>
    <m/>
    <m/>
    <s v="John Rowie Del Rosario"/>
  </r>
  <r>
    <n v="779"/>
    <s v="F1"/>
    <x v="16"/>
    <s v="P000000225"/>
    <m/>
    <s v="O000000009"/>
    <s v="Remove"/>
    <x v="0"/>
    <x v="0"/>
    <m/>
    <m/>
    <m/>
    <s v="John Rowie Del Rosario"/>
  </r>
  <r>
    <n v="780"/>
    <s v="F1"/>
    <x v="16"/>
    <s v="P000000226"/>
    <m/>
    <s v="O000000009"/>
    <s v="Remove"/>
    <x v="0"/>
    <x v="0"/>
    <m/>
    <m/>
    <m/>
    <s v="John Rowie Del Rosario"/>
  </r>
  <r>
    <n v="781"/>
    <s v="F1"/>
    <x v="16"/>
    <s v="P000000227"/>
    <m/>
    <s v="O000000009"/>
    <s v="Remove"/>
    <x v="0"/>
    <x v="0"/>
    <m/>
    <m/>
    <m/>
    <s v="John Rowie Del Rosario"/>
  </r>
  <r>
    <n v="782"/>
    <s v="F1"/>
    <x v="16"/>
    <s v="P000000228"/>
    <m/>
    <s v="O000000009"/>
    <s v="Remove"/>
    <x v="0"/>
    <x v="0"/>
    <m/>
    <m/>
    <m/>
    <s v="John Rowie Del Rosario"/>
  </r>
  <r>
    <n v="783"/>
    <s v="F1"/>
    <x v="16"/>
    <s v="P000000841"/>
    <m/>
    <s v="O000000009"/>
    <s v="Remove"/>
    <x v="0"/>
    <x v="0"/>
    <m/>
    <m/>
    <m/>
    <s v="John Rowie Del Rosario"/>
  </r>
  <r>
    <n v="784"/>
    <s v="F1"/>
    <x v="16"/>
    <s v="P000000007"/>
    <m/>
    <s v="O000000009"/>
    <s v="Remove"/>
    <x v="0"/>
    <x v="0"/>
    <m/>
    <m/>
    <m/>
    <s v="John Rowie Del Rosario"/>
  </r>
  <r>
    <n v="785"/>
    <s v="F1"/>
    <x v="16"/>
    <s v="P000000735"/>
    <m/>
    <s v="O000000009"/>
    <s v="Remove"/>
    <x v="0"/>
    <x v="0"/>
    <m/>
    <m/>
    <m/>
    <s v="John Rowie Del Rosario"/>
  </r>
  <r>
    <n v="786"/>
    <s v="F1"/>
    <x v="16"/>
    <s v="P000001104"/>
    <m/>
    <s v="O000000009"/>
    <s v="Remove"/>
    <x v="0"/>
    <x v="0"/>
    <m/>
    <m/>
    <m/>
    <s v="John Rowie Del Rosario"/>
  </r>
  <r>
    <n v="787"/>
    <s v="F1"/>
    <x v="16"/>
    <s v="P000000705"/>
    <m/>
    <s v="O000000009"/>
    <s v="Remove"/>
    <x v="0"/>
    <x v="0"/>
    <m/>
    <m/>
    <m/>
    <s v="John Rowie Del Rosario"/>
  </r>
  <r>
    <n v="788"/>
    <s v="F1"/>
    <x v="16"/>
    <s v="P000001105"/>
    <m/>
    <s v="O000000009"/>
    <s v="Remove"/>
    <x v="0"/>
    <x v="0"/>
    <m/>
    <m/>
    <m/>
    <s v="John Rowie Del Rosario"/>
  </r>
  <r>
    <n v="789"/>
    <s v="F1"/>
    <x v="16"/>
    <s v="P000001106"/>
    <m/>
    <s v="O000000009"/>
    <s v="Remove"/>
    <x v="0"/>
    <x v="0"/>
    <m/>
    <m/>
    <m/>
    <s v="John Rowie Del Rosario"/>
  </r>
  <r>
    <n v="790"/>
    <s v="F1"/>
    <x v="16"/>
    <s v="P000001107"/>
    <m/>
    <s v="O000000009"/>
    <s v="Remove"/>
    <x v="0"/>
    <x v="0"/>
    <m/>
    <m/>
    <m/>
    <s v="John Rowie Del Rosario"/>
  </r>
  <r>
    <n v="791"/>
    <s v="F1"/>
    <x v="16"/>
    <s v="P000001317"/>
    <m/>
    <s v="O000000009"/>
    <s v="Remove"/>
    <x v="0"/>
    <x v="0"/>
    <m/>
    <m/>
    <m/>
    <s v="John Rowie Del Rosario"/>
  </r>
  <r>
    <n v="792"/>
    <s v="F1"/>
    <x v="16"/>
    <s v="P000001288"/>
    <m/>
    <s v="O000000009"/>
    <s v="Remove"/>
    <x v="0"/>
    <x v="0"/>
    <m/>
    <m/>
    <m/>
    <s v="John Rowie Del Rosario"/>
  </r>
  <r>
    <n v="793"/>
    <s v="F1"/>
    <x v="16"/>
    <s v="L000008500"/>
    <m/>
    <s v="O000000009"/>
    <s v="Remove"/>
    <x v="0"/>
    <x v="0"/>
    <m/>
    <m/>
    <m/>
    <s v="John Rowie Del Rosario"/>
  </r>
  <r>
    <n v="794"/>
    <s v="F1"/>
    <x v="16"/>
    <s v="P000001278"/>
    <m/>
    <s v="O000000009"/>
    <s v="Remove"/>
    <x v="0"/>
    <x v="0"/>
    <m/>
    <m/>
    <m/>
    <s v="John Rowie Del Rosario"/>
  </r>
  <r>
    <n v="795"/>
    <s v="F1"/>
    <x v="16"/>
    <s v="P000001289"/>
    <m/>
    <s v="O000000009"/>
    <s v="Remove"/>
    <x v="0"/>
    <x v="0"/>
    <m/>
    <m/>
    <m/>
    <s v="John Rowie Del Rosario"/>
  </r>
  <r>
    <n v="796"/>
    <s v="F1"/>
    <x v="16"/>
    <s v="P000001290"/>
    <m/>
    <s v="O000000009"/>
    <s v="Remove"/>
    <x v="0"/>
    <x v="0"/>
    <m/>
    <m/>
    <m/>
    <s v="John Rowie Del Rosario"/>
  </r>
  <r>
    <n v="797"/>
    <s v="F1"/>
    <x v="16"/>
    <s v="P000001291"/>
    <m/>
    <s v="O000000009"/>
    <s v="Remove"/>
    <x v="0"/>
    <x v="0"/>
    <m/>
    <m/>
    <m/>
    <s v="John Rowie Del Rosario"/>
  </r>
  <r>
    <n v="798"/>
    <s v="F1"/>
    <x v="16"/>
    <s v="P000001292"/>
    <m/>
    <s v="O000000009"/>
    <s v="Remove"/>
    <x v="0"/>
    <x v="0"/>
    <m/>
    <m/>
    <m/>
    <s v="John Rowie Del Rosario"/>
  </r>
  <r>
    <n v="799"/>
    <s v="F1"/>
    <x v="16"/>
    <s v="P000001293"/>
    <m/>
    <s v="O000000009"/>
    <s v="Remove"/>
    <x v="0"/>
    <x v="0"/>
    <m/>
    <m/>
    <m/>
    <s v="John Rowie Del Rosario"/>
  </r>
  <r>
    <n v="800"/>
    <s v="F1"/>
    <x v="16"/>
    <s v="P000000966"/>
    <m/>
    <s v="O000000009"/>
    <s v="Remove"/>
    <x v="0"/>
    <x v="0"/>
    <m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m/>
    <m/>
    <m/>
    <s v="Erjo Miguel Tagle"/>
  </r>
  <r>
    <n v="805"/>
    <s v="F1"/>
    <x v="18"/>
    <s v="H000004932"/>
    <s v="Rare Tumor SW"/>
    <s v="H000000688"/>
    <s v="New"/>
    <x v="0"/>
    <x v="0"/>
    <m/>
    <m/>
    <m/>
    <s v="Erjo Miguel Tagle"/>
  </r>
  <r>
    <n v="806"/>
    <s v="F1"/>
    <x v="18"/>
    <s v="H000004933"/>
    <s v="100 Nirogacestat"/>
    <s v="H000004932"/>
    <s v="New"/>
    <x v="0"/>
    <x v="0"/>
    <m/>
    <m/>
    <m/>
    <s v="Erjo Miguel Tagle"/>
  </r>
  <r>
    <n v="807"/>
    <s v="F1"/>
    <x v="18"/>
    <s v="H000004934"/>
    <s v="120 Mirdametinib"/>
    <s v="H000004932"/>
    <s v="New"/>
    <x v="0"/>
    <x v="0"/>
    <m/>
    <m/>
    <m/>
    <s v="Erjo Miguel Tagle"/>
  </r>
  <r>
    <n v="808"/>
    <s v="F1"/>
    <x v="18"/>
    <s v="H000004935"/>
    <s v="130 BGB-3245"/>
    <s v="H000004932"/>
    <s v="New"/>
    <x v="0"/>
    <x v="0"/>
    <m/>
    <m/>
    <m/>
    <s v="Erjo Miguel Tagle"/>
  </r>
  <r>
    <n v="809"/>
    <s v="F1"/>
    <x v="18"/>
    <s v="H000004936"/>
    <s v="510 TEAD Inhibitors"/>
    <s v="H000004932"/>
    <s v="New"/>
    <x v="0"/>
    <x v="0"/>
    <m/>
    <m/>
    <m/>
    <s v="Erjo Miguel Tagle"/>
  </r>
  <r>
    <n v="810"/>
    <s v="F1"/>
    <x v="18"/>
    <s v="H000004937"/>
    <s v="530 JAK2 Inhibitors"/>
    <s v="H000004932"/>
    <s v="New"/>
    <x v="0"/>
    <x v="0"/>
    <m/>
    <m/>
    <m/>
    <s v="Erjo Miguel Tagle"/>
  </r>
  <r>
    <n v="811"/>
    <s v="F1"/>
    <x v="18"/>
    <s v="H000004938"/>
    <s v="540 PP2A Inhibitors"/>
    <s v="H000004932"/>
    <s v="New"/>
    <x v="0"/>
    <x v="0"/>
    <m/>
    <m/>
    <m/>
    <s v="Erjo Miguel Tagle"/>
  </r>
  <r>
    <n v="812"/>
    <s v="F1"/>
    <x v="18"/>
    <s v="H000004939"/>
    <s v="100.00 Niro-No Program"/>
    <s v="H000004933"/>
    <s v="New"/>
    <x v="0"/>
    <x v="0"/>
    <m/>
    <m/>
    <m/>
    <s v="Erjo Miguel Tagle"/>
  </r>
  <r>
    <n v="813"/>
    <s v="F1"/>
    <x v="18"/>
    <s v="H000004940"/>
    <s v="100.10 Niro, DT"/>
    <s v="H000004933"/>
    <s v="New"/>
    <x v="0"/>
    <x v="0"/>
    <m/>
    <m/>
    <m/>
    <s v="Erjo Miguel Tagle"/>
  </r>
  <r>
    <n v="814"/>
    <s v="F1"/>
    <x v="18"/>
    <s v="H000004941"/>
    <s v="100.11 Niro, MM-GSK"/>
    <s v="H000004933"/>
    <s v="New"/>
    <x v="0"/>
    <x v="0"/>
    <m/>
    <m/>
    <m/>
    <s v="Erjo Miguel Tagle"/>
  </r>
  <r>
    <n v="815"/>
    <s v="F1"/>
    <x v="18"/>
    <s v="H000004942"/>
    <s v="100.15 Niro, MM"/>
    <s v="H000004933"/>
    <s v="New"/>
    <x v="0"/>
    <x v="0"/>
    <m/>
    <m/>
    <m/>
    <s v="Erjo Miguel Tagle"/>
  </r>
  <r>
    <n v="816"/>
    <s v="F1"/>
    <x v="18"/>
    <s v="H000004943"/>
    <s v="100.17 Niro, GCT"/>
    <s v="H000004933"/>
    <s v="New"/>
    <x v="0"/>
    <x v="0"/>
    <m/>
    <m/>
    <m/>
    <s v="Erjo Miguel Tagle"/>
  </r>
  <r>
    <n v="817"/>
    <s v="F1"/>
    <x v="18"/>
    <s v="H000004944"/>
    <s v="120.00 Mirda-No Program"/>
    <s v="H000004934"/>
    <s v="New"/>
    <x v="0"/>
    <x v="0"/>
    <m/>
    <m/>
    <m/>
    <s v="Erjo Miguel Tagle"/>
  </r>
  <r>
    <n v="818"/>
    <s v="F1"/>
    <x v="18"/>
    <s v="H000004945"/>
    <s v="120.10 Mirda, NF1-PN"/>
    <s v="H000004934"/>
    <s v="New"/>
    <x v="0"/>
    <x v="0"/>
    <m/>
    <m/>
    <m/>
    <s v="Erjo Miguel Tagle"/>
  </r>
  <r>
    <n v="819"/>
    <s v="F1"/>
    <x v="18"/>
    <s v="H000004946"/>
    <s v="120.11 Mirda+Lif"/>
    <s v="H000004934"/>
    <s v="New"/>
    <x v="0"/>
    <x v="0"/>
    <m/>
    <m/>
    <m/>
    <s v="Erjo Miguel Tagle"/>
  </r>
  <r>
    <n v="820"/>
    <s v="F1"/>
    <x v="18"/>
    <s v="H000004947"/>
    <s v="130.12 BGB-3245, AU"/>
    <s v="H000004935"/>
    <s v="New"/>
    <x v="0"/>
    <x v="0"/>
    <m/>
    <m/>
    <m/>
    <s v="Erjo Miguel Tagle"/>
  </r>
  <r>
    <n v="821"/>
    <s v="F1"/>
    <x v="18"/>
    <s v="H000004948"/>
    <s v="510.10 TEAD SW-682, AST"/>
    <s v="H000004936"/>
    <s v="New"/>
    <x v="0"/>
    <x v="0"/>
    <m/>
    <m/>
    <m/>
    <s v="Erjo Miguel Tagle"/>
  </r>
  <r>
    <n v="822"/>
    <s v="F1"/>
    <x v="18"/>
    <s v="H000004949"/>
    <s v="530.00 JAK2-No Program"/>
    <s v="H000004937"/>
    <s v="New"/>
    <x v="0"/>
    <x v="0"/>
    <m/>
    <m/>
    <m/>
    <s v="Erjo Miguel Tagle"/>
  </r>
  <r>
    <n v="823"/>
    <s v="F1"/>
    <x v="18"/>
    <s v="H000004950"/>
    <s v="540.10 PP2A SW-3431"/>
    <s v="H000004938"/>
    <s v="New"/>
    <x v="0"/>
    <x v="0"/>
    <m/>
    <m/>
    <m/>
    <s v="Erjo Miguel Tagle"/>
  </r>
  <r>
    <n v="824"/>
    <s v="F1"/>
    <x v="19"/>
    <s v="L000005617"/>
    <m/>
    <s v="L000013128"/>
    <s v="Move"/>
    <x v="0"/>
    <x v="0"/>
    <m/>
    <m/>
    <m/>
    <s v="Ruby Grace Garcia"/>
  </r>
  <r>
    <n v="825"/>
    <s v="F1"/>
    <x v="19"/>
    <s v="L000005964"/>
    <m/>
    <s v="L000013128"/>
    <s v="Move"/>
    <x v="0"/>
    <x v="0"/>
    <m/>
    <m/>
    <m/>
    <s v="Ruby Grace Garcia"/>
  </r>
  <r>
    <n v="826"/>
    <s v="F1"/>
    <x v="19"/>
    <s v="L000005842"/>
    <m/>
    <s v="L000013128"/>
    <s v="Move"/>
    <x v="0"/>
    <x v="0"/>
    <m/>
    <m/>
    <m/>
    <s v="Ruby Grace Garcia"/>
  </r>
  <r>
    <n v="827"/>
    <s v="F1"/>
    <x v="20"/>
    <s v="L000005495"/>
    <m/>
    <s v="L000013187"/>
    <s v="Move"/>
    <x v="0"/>
    <x v="0"/>
    <m/>
    <m/>
    <m/>
    <s v="Ruby Grace Garcia"/>
  </r>
  <r>
    <n v="828"/>
    <s v="F1"/>
    <x v="21"/>
    <s v="L000013693"/>
    <m/>
    <s v="L000013955"/>
    <s v="Move"/>
    <x v="0"/>
    <x v="0"/>
    <m/>
    <m/>
    <m/>
    <s v="Ruby Grace Garcia"/>
  </r>
  <r>
    <n v="829"/>
    <s v="F1"/>
    <x v="21"/>
    <s v="L000013958"/>
    <m/>
    <s v="L000013687"/>
    <s v="Remove"/>
    <x v="0"/>
    <x v="0"/>
    <m/>
    <m/>
    <m/>
    <s v="Ruby Grace Garcia"/>
  </r>
  <r>
    <n v="830"/>
    <s v="F1"/>
    <x v="22"/>
    <s v="G000001360"/>
    <s v="G7J DX - Lumina FTO"/>
    <m/>
    <s v="Rename"/>
    <x v="0"/>
    <x v="0"/>
    <m/>
    <m/>
    <m/>
    <s v="Jojeff Tagnong"/>
  </r>
  <r>
    <n v="831"/>
    <s v="F1"/>
    <x v="22"/>
    <s v="G000001361"/>
    <s v="G7K DX - Lumina Financial Steering"/>
    <m/>
    <s v="Rename"/>
    <x v="0"/>
    <x v="0"/>
    <m/>
    <m/>
    <m/>
    <s v="Jojeff Tagnong"/>
  </r>
  <r>
    <n v="832"/>
    <s v="F1"/>
    <x v="22"/>
    <s v="G000001362"/>
    <s v="G7L DX - Lumina Financial Close"/>
    <m/>
    <s v="Rename"/>
    <x v="0"/>
    <x v="0"/>
    <m/>
    <m/>
    <m/>
    <s v="Jojeff Tagnong"/>
  </r>
  <r>
    <n v="833"/>
    <s v="F1"/>
    <x v="22"/>
    <s v="G000001363"/>
    <s v="G7M DX - Lumina Data Quality"/>
    <m/>
    <s v="Rename"/>
    <x v="0"/>
    <x v="0"/>
    <m/>
    <m/>
    <m/>
    <s v="Jojeff Tagnong"/>
  </r>
  <r>
    <n v="834"/>
    <s v="F1"/>
    <x v="22"/>
    <s v="G000001364"/>
    <s v="G7N DX - Lumina Regulatory Reporting"/>
    <m/>
    <s v="Rename"/>
    <x v="0"/>
    <x v="0"/>
    <m/>
    <m/>
    <m/>
    <s v="Jojeff Tagnong"/>
  </r>
  <r>
    <n v="835"/>
    <s v="F1"/>
    <x v="22"/>
    <s v="G000000235"/>
    <m/>
    <s v="O000000009"/>
    <s v="Remove"/>
    <x v="0"/>
    <x v="0"/>
    <m/>
    <m/>
    <m/>
    <s v="Jojeff Tagnong"/>
  </r>
  <r>
    <n v="836"/>
    <s v="F1"/>
    <x v="23"/>
    <s v="L000013928"/>
    <m/>
    <s v="L000013681"/>
    <s v="Move"/>
    <x v="1"/>
    <x v="1"/>
    <s v="LS"/>
    <m/>
    <m/>
    <s v="Ruby Grace Garcia"/>
  </r>
  <r>
    <n v="837"/>
    <s v="F1"/>
    <x v="23"/>
    <s v="L000013728"/>
    <m/>
    <s v="L000009201"/>
    <s v="Move"/>
    <x v="1"/>
    <x v="1"/>
    <s v="LS"/>
    <m/>
    <m/>
    <s v="Ruby Grace Garcia"/>
  </r>
  <r>
    <n v="838"/>
    <s v="F1"/>
    <x v="24"/>
    <s v="L000013422"/>
    <s v="DS Value Stream"/>
    <m/>
    <s v="Rename"/>
    <x v="1"/>
    <x v="1"/>
    <s v="LS"/>
    <m/>
    <m/>
    <s v="Ruby Grace Garcia"/>
  </r>
  <r>
    <n v="839"/>
    <s v="F1"/>
    <x v="25"/>
    <s v="H000004861"/>
    <m/>
    <s v="H000004861"/>
    <s v="Move"/>
    <x v="1"/>
    <x v="2"/>
    <s v="HC"/>
    <m/>
    <m/>
    <s v="John Poulie Borromeo"/>
  </r>
  <r>
    <n v="840"/>
    <s v="F1"/>
    <x v="25"/>
    <s v="H000001412"/>
    <m/>
    <s v="H000001412"/>
    <s v="Move"/>
    <x v="1"/>
    <x v="2"/>
    <s v="HC"/>
    <m/>
    <m/>
    <s v="John Poulie Borromeo"/>
  </r>
  <r>
    <n v="841"/>
    <s v="F1"/>
    <x v="25"/>
    <s v="H000001412"/>
    <m/>
    <s v="H000001412"/>
    <s v="Move"/>
    <x v="1"/>
    <x v="2"/>
    <s v="HC"/>
    <m/>
    <m/>
    <s v="John Poulie Borromeo"/>
  </r>
  <r>
    <n v="842"/>
    <s v="F1"/>
    <x v="25"/>
    <s v="H000001505"/>
    <m/>
    <s v="H000001505"/>
    <s v="Move"/>
    <x v="1"/>
    <x v="2"/>
    <s v="HC"/>
    <m/>
    <m/>
    <s v="John Poulie Borromeo"/>
  </r>
  <r>
    <n v="843"/>
    <s v="F1"/>
    <x v="25"/>
    <s v="H000001412"/>
    <m/>
    <s v="H000001412"/>
    <s v="Move"/>
    <x v="1"/>
    <x v="2"/>
    <s v="HC"/>
    <m/>
    <m/>
    <s v="John Poulie Borromeo"/>
  </r>
  <r>
    <n v="844"/>
    <s v="F1"/>
    <x v="25"/>
    <s v="H000001421"/>
    <m/>
    <s v="H000001421"/>
    <s v="Move"/>
    <x v="1"/>
    <x v="2"/>
    <s v="HC"/>
    <m/>
    <m/>
    <s v="John Poulie Borromeo"/>
  </r>
  <r>
    <n v="845"/>
    <s v="F1"/>
    <x v="26"/>
    <s v="P000000259"/>
    <m/>
    <s v="P000001165"/>
    <s v="Move"/>
    <x v="1"/>
    <x v="1"/>
    <s v="EL"/>
    <m/>
    <m/>
    <s v="John Rowie Del Rosario"/>
  </r>
  <r>
    <n v="846"/>
    <s v="F1"/>
    <x v="26"/>
    <s v="P000000269"/>
    <m/>
    <s v="P000001165"/>
    <s v="Move"/>
    <x v="1"/>
    <x v="1"/>
    <s v="EL"/>
    <m/>
    <m/>
    <s v="John Rowie Del Rosario"/>
  </r>
  <r>
    <n v="847"/>
    <s v="F1"/>
    <x v="27"/>
    <s v="L000013903"/>
    <m/>
    <s v="L000013687"/>
    <s v="Move"/>
    <x v="1"/>
    <x v="1"/>
    <s v="LS"/>
    <m/>
    <m/>
    <s v="Ruby Grace Garcia"/>
  </r>
  <r>
    <n v="848"/>
    <s v="F2"/>
    <x v="28"/>
    <s v="H000000472"/>
    <m/>
    <s v="H000004891"/>
    <s v="Move"/>
    <x v="1"/>
    <x v="3"/>
    <s v="HC"/>
    <m/>
    <m/>
    <s v="Anna Maria Urbano"/>
  </r>
  <r>
    <n v="849"/>
    <s v="F2"/>
    <x v="28"/>
    <s v="H000000473"/>
    <m/>
    <s v="H000004891"/>
    <s v="Move"/>
    <x v="1"/>
    <x v="3"/>
    <s v="HC"/>
    <m/>
    <m/>
    <s v="Anna Maria Urbano"/>
  </r>
  <r>
    <n v="850"/>
    <s v="F2"/>
    <x v="28"/>
    <s v="H000000474"/>
    <m/>
    <s v="H000004891"/>
    <s v="Move"/>
    <x v="1"/>
    <x v="3"/>
    <s v="HC"/>
    <m/>
    <m/>
    <s v="Anna Maria Urbano"/>
  </r>
  <r>
    <n v="851"/>
    <s v="F2"/>
    <x v="28"/>
    <s v="H000000475"/>
    <m/>
    <s v="H000004891"/>
    <s v="Move"/>
    <x v="1"/>
    <x v="3"/>
    <s v="HC"/>
    <m/>
    <m/>
    <s v="Anna Maria Urbano"/>
  </r>
  <r>
    <n v="852"/>
    <s v="F2"/>
    <x v="28"/>
    <s v="H000000476"/>
    <m/>
    <s v="H000004891"/>
    <s v="Move"/>
    <x v="1"/>
    <x v="3"/>
    <s v="HC"/>
    <m/>
    <m/>
    <s v="Anna Maria Urbano"/>
  </r>
  <r>
    <n v="853"/>
    <s v="F2"/>
    <x v="28"/>
    <s v="H000000477"/>
    <m/>
    <s v="H000004891"/>
    <s v="Move"/>
    <x v="1"/>
    <x v="3"/>
    <s v="HC"/>
    <m/>
    <m/>
    <s v="Anna Maria Urbano"/>
  </r>
  <r>
    <n v="854"/>
    <s v="F2"/>
    <x v="28"/>
    <s v="H000000478"/>
    <m/>
    <s v="H000004891"/>
    <s v="Move"/>
    <x v="1"/>
    <x v="3"/>
    <s v="HC"/>
    <m/>
    <m/>
    <s v="Anna Maria Urbano"/>
  </r>
  <r>
    <n v="855"/>
    <s v="F2"/>
    <x v="28"/>
    <s v="H000000479"/>
    <m/>
    <s v="H000004891"/>
    <s v="Move"/>
    <x v="1"/>
    <x v="3"/>
    <s v="HC"/>
    <m/>
    <m/>
    <s v="Anna Maria Urbano"/>
  </r>
  <r>
    <n v="856"/>
    <s v="F2"/>
    <x v="28"/>
    <s v="H000000658"/>
    <m/>
    <s v="H000004891"/>
    <s v="Move"/>
    <x v="1"/>
    <x v="3"/>
    <s v="HC"/>
    <m/>
    <m/>
    <s v="Anna Maria Urba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6" firstHeaderRow="1" firstDataRow="1" firstDataCol="1" rowPageCount="1" colPageCount="1"/>
  <pivotFields count="13">
    <pivotField showAll="0"/>
    <pivotField showAll="0"/>
    <pivotField axis="axisRow" showAll="0">
      <items count="120">
        <item m="1" x="55"/>
        <item m="1" x="97"/>
        <item m="1" x="114"/>
        <item m="1" x="108"/>
        <item m="1" x="93"/>
        <item m="1" x="51"/>
        <item m="1" x="59"/>
        <item m="1" x="84"/>
        <item m="1" x="81"/>
        <item m="1" x="31"/>
        <item m="1" x="115"/>
        <item m="1" x="73"/>
        <item m="1" x="54"/>
        <item m="1" x="62"/>
        <item m="1" x="66"/>
        <item m="1" x="36"/>
        <item m="1" x="68"/>
        <item m="1" x="37"/>
        <item m="1" x="103"/>
        <item m="1" x="49"/>
        <item m="1" x="98"/>
        <item m="1" x="112"/>
        <item m="1" x="40"/>
        <item m="1" x="106"/>
        <item m="1" x="77"/>
        <item m="1" x="64"/>
        <item m="1" x="52"/>
        <item m="1" x="60"/>
        <item m="1" x="99"/>
        <item m="1" x="91"/>
        <item m="1" x="47"/>
        <item m="1" x="75"/>
        <item m="1" x="82"/>
        <item m="1" x="95"/>
        <item m="1" x="33"/>
        <item m="1" x="92"/>
        <item m="1" x="80"/>
        <item m="1" x="39"/>
        <item m="1" x="110"/>
        <item m="1" x="53"/>
        <item m="1" x="113"/>
        <item m="1" x="104"/>
        <item m="1" x="50"/>
        <item m="1" x="32"/>
        <item m="1" x="30"/>
        <item m="1" x="102"/>
        <item m="1" x="76"/>
        <item m="1" x="63"/>
        <item m="1" x="101"/>
        <item m="1" x="72"/>
        <item m="1" x="35"/>
        <item m="1" x="109"/>
        <item m="1" x="74"/>
        <item m="1" x="34"/>
        <item m="1" x="85"/>
        <item m="1" x="69"/>
        <item m="1" x="44"/>
        <item m="1" x="70"/>
        <item m="1" x="94"/>
        <item m="1" x="45"/>
        <item m="1" x="118"/>
        <item m="1" x="65"/>
        <item m="1" x="41"/>
        <item m="1" x="46"/>
        <item m="1" x="43"/>
        <item m="1" x="90"/>
        <item m="1" x="71"/>
        <item m="1" x="83"/>
        <item m="1" x="56"/>
        <item m="1" x="89"/>
        <item m="1" x="79"/>
        <item m="1" x="61"/>
        <item m="1" x="57"/>
        <item m="1" x="100"/>
        <item m="1" x="105"/>
        <item m="1" x="86"/>
        <item m="1" x="78"/>
        <item m="1" x="42"/>
        <item m="1" x="29"/>
        <item m="1" x="117"/>
        <item m="1" x="96"/>
        <item m="1" x="38"/>
        <item m="1" x="116"/>
        <item m="1" x="88"/>
        <item m="1" x="111"/>
        <item m="1" x="107"/>
        <item m="1" x="67"/>
        <item m="1" x="48"/>
        <item m="1" x="58"/>
        <item m="1" x="8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6">
        <item m="1"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3">
    <i>
      <x v="113"/>
    </i>
    <i r="1">
      <x v="2"/>
    </i>
    <i>
      <x v="114"/>
    </i>
    <i r="1">
      <x v="2"/>
    </i>
    <i>
      <x v="115"/>
    </i>
    <i r="1">
      <x v="3"/>
    </i>
    <i>
      <x v="116"/>
    </i>
    <i r="1">
      <x v="2"/>
    </i>
    <i>
      <x v="117"/>
    </i>
    <i r="1">
      <x v="2"/>
    </i>
    <i>
      <x v="118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58" totalsRowShown="0">
  <autoFilter ref="A1:M858" xr:uid="{00000000-000C-0000-FFFF-FFFF00000000}">
    <filterColumn colId="7">
      <filters blank="1"/>
    </filterColumn>
  </autoFilter>
  <tableColumns count="13">
    <tableColumn id="1" xr3:uid="{00000000-0010-0000-0000-000001000000}" name="No." dataDxfId="4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3">
      <calculatedColumnFormula>IFERROR(VLOOKUP(Table2[[#This Row], [Ticket]],Okey!A:B,2,0),"")</calculatedColumnFormula>
    </tableColumn>
    <tableColumn id="9" xr3:uid="{00000000-0010-0000-0000-000009000000}" name="STATUS Check" dataDxfId="2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1">
      <calculatedColumnFormula>VLOOKUP(Table2[[#This Row],[Node]],#REF!,2,0)=Table2[[#This Row],[Parent]]</calculatedColumnFormula>
    </tableColumn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6"/>
  <sheetViews>
    <sheetView workbookViewId="0">
      <selection activeCell="G13" sqref="G13"/>
    </sheetView>
  </sheetViews>
  <sheetFormatPr defaultRowHeight="15"/>
  <cols>
    <col min="1" max="1" width="26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8986</v>
      </c>
      <c r="B4" s="44">
        <v>2</v>
      </c>
    </row>
    <row r="5" spans="1:2">
      <c r="A5" s="67" t="s">
        <v>8999</v>
      </c>
      <c r="B5" s="44">
        <v>2</v>
      </c>
    </row>
    <row r="6" spans="1:2">
      <c r="A6" s="32" t="s">
        <v>8987</v>
      </c>
      <c r="B6" s="44">
        <v>1</v>
      </c>
    </row>
    <row r="7" spans="1:2">
      <c r="A7" s="67" t="s">
        <v>8999</v>
      </c>
      <c r="B7" s="44">
        <v>1</v>
      </c>
    </row>
    <row r="8" spans="1:2">
      <c r="A8" s="32" t="s">
        <v>8991</v>
      </c>
      <c r="B8" s="44">
        <v>6</v>
      </c>
    </row>
    <row r="9" spans="1:2">
      <c r="A9" s="67" t="s">
        <v>9000</v>
      </c>
      <c r="B9" s="44">
        <v>6</v>
      </c>
    </row>
    <row r="10" spans="1:2">
      <c r="A10" s="32" t="s">
        <v>8992</v>
      </c>
      <c r="B10" s="44">
        <v>2</v>
      </c>
    </row>
    <row r="11" spans="1:2">
      <c r="A11" s="67" t="s">
        <v>8999</v>
      </c>
      <c r="B11" s="44">
        <v>2</v>
      </c>
    </row>
    <row r="12" spans="1:2">
      <c r="A12" s="32" t="s">
        <v>8993</v>
      </c>
      <c r="B12" s="44">
        <v>1</v>
      </c>
    </row>
    <row r="13" spans="1:2">
      <c r="A13" s="67" t="s">
        <v>8999</v>
      </c>
      <c r="B13" s="44">
        <v>1</v>
      </c>
    </row>
    <row r="14" spans="1:2">
      <c r="A14" s="32" t="s">
        <v>9011</v>
      </c>
      <c r="B14" s="44">
        <v>9</v>
      </c>
    </row>
    <row r="15" spans="1:2">
      <c r="A15" s="67" t="s">
        <v>9009</v>
      </c>
      <c r="B15" s="44">
        <v>9</v>
      </c>
    </row>
    <row r="16" spans="1:2">
      <c r="A16" s="32" t="s">
        <v>10</v>
      </c>
      <c r="B16" s="44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09"/>
  <sheetViews>
    <sheetView topLeftCell="A293" workbookViewId="0">
      <selection activeCell="B307" sqref="B307:B30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58"/>
  <sheetViews>
    <sheetView tabSelected="1" zoomScale="115" zoomScaleNormal="115" workbookViewId="0">
      <selection activeCell="A858" sqref="A858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/>
      </c>
      <c r="I837" s="36" t="s">
        <v>8999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I838" s="36" t="s">
        <v>8999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/>
      </c>
      <c r="I839" s="36" t="s">
        <v>8999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/>
      </c>
      <c r="I840" s="36" t="s">
        <v>9000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/>
      </c>
      <c r="I841" s="36" t="s">
        <v>9000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/>
      </c>
      <c r="I842" s="36" t="s">
        <v>9000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/>
      </c>
      <c r="I843" s="36" t="s">
        <v>9000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/>
      </c>
      <c r="I844" s="36" t="s">
        <v>9000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I845" s="36" t="s">
        <v>9000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/>
      </c>
      <c r="I846" s="36" t="s">
        <v>8999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/>
      </c>
      <c r="I847" s="36" t="s">
        <v>8999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/>
      </c>
      <c r="I848" s="36" t="s">
        <v>8999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9011</v>
      </c>
      <c r="D849" s="9" t="s">
        <v>9001</v>
      </c>
      <c r="F849" s="9" t="s">
        <v>7971</v>
      </c>
      <c r="G849" s="36" t="s">
        <v>13</v>
      </c>
      <c r="H849" s="36" t="str">
        <f>IFERROR(VLOOKUP(Table2[[#This Row], [Ticket]],Okey!A:B,2,0),"")</f>
        <v/>
      </c>
      <c r="I849" s="36" t="s">
        <v>9009</v>
      </c>
      <c r="J849" s="36" t="s">
        <v>19</v>
      </c>
      <c r="L849" s="36"/>
      <c r="M849" s="9" t="s">
        <v>9010</v>
      </c>
    </row>
    <row r="850" spans="1:13">
      <c r="A850" s="42">
        <f t="shared" si="13"/>
        <v>849</v>
      </c>
      <c r="B850" s="36" t="s">
        <v>8</v>
      </c>
      <c r="C850" s="36" t="s">
        <v>9011</v>
      </c>
      <c r="D850" s="9" t="s">
        <v>9002</v>
      </c>
      <c r="F850" s="9" t="s">
        <v>7971</v>
      </c>
      <c r="G850" s="36" t="s">
        <v>13</v>
      </c>
      <c r="H850" s="36" t="str">
        <f>IFERROR(VLOOKUP(Table2[[#This Row], [Ticket]],Okey!A:B,2,0),"")</f>
        <v/>
      </c>
      <c r="I850" s="36" t="s">
        <v>9009</v>
      </c>
      <c r="J850" s="36" t="s">
        <v>19</v>
      </c>
      <c r="L850" s="36"/>
      <c r="M850" s="36" t="s">
        <v>9010</v>
      </c>
    </row>
    <row r="851" spans="1:13">
      <c r="A851" s="42">
        <f t="shared" si="13"/>
        <v>850</v>
      </c>
      <c r="B851" s="36" t="s">
        <v>8</v>
      </c>
      <c r="C851" s="36" t="s">
        <v>9011</v>
      </c>
      <c r="D851" s="9" t="s">
        <v>9003</v>
      </c>
      <c r="F851" s="9" t="s">
        <v>7971</v>
      </c>
      <c r="G851" s="36" t="s">
        <v>13</v>
      </c>
      <c r="H851" s="36" t="str">
        <f>IFERROR(VLOOKUP(Table2[[#This Row], [Ticket]],Okey!A:B,2,0),"")</f>
        <v/>
      </c>
      <c r="I851" s="36" t="s">
        <v>9009</v>
      </c>
      <c r="J851" s="36" t="s">
        <v>19</v>
      </c>
      <c r="L851" s="36"/>
      <c r="M851" s="36" t="s">
        <v>9010</v>
      </c>
    </row>
    <row r="852" spans="1:13">
      <c r="A852" s="42">
        <f t="shared" ref="A852:A858" si="14">1+A851</f>
        <v>851</v>
      </c>
      <c r="B852" s="36" t="s">
        <v>8</v>
      </c>
      <c r="C852" s="36" t="s">
        <v>9011</v>
      </c>
      <c r="D852" s="9" t="s">
        <v>9004</v>
      </c>
      <c r="F852" s="9" t="s">
        <v>7971</v>
      </c>
      <c r="G852" s="36" t="s">
        <v>13</v>
      </c>
      <c r="H852" s="36" t="str">
        <f>IFERROR(VLOOKUP(Table2[[#This Row], [Ticket]],Okey!A:B,2,0),"")</f>
        <v/>
      </c>
      <c r="I852" s="36" t="s">
        <v>9009</v>
      </c>
      <c r="J852" s="36" t="s">
        <v>19</v>
      </c>
      <c r="L852" s="36"/>
      <c r="M852" s="36" t="s">
        <v>9010</v>
      </c>
    </row>
    <row r="853" spans="1:13">
      <c r="A853" s="42">
        <f t="shared" si="14"/>
        <v>852</v>
      </c>
      <c r="B853" s="36" t="s">
        <v>8</v>
      </c>
      <c r="C853" s="36" t="s">
        <v>9011</v>
      </c>
      <c r="D853" s="9" t="s">
        <v>9005</v>
      </c>
      <c r="F853" s="9" t="s">
        <v>7971</v>
      </c>
      <c r="G853" s="36" t="s">
        <v>13</v>
      </c>
      <c r="H853" s="36" t="str">
        <f>IFERROR(VLOOKUP(Table2[[#This Row], [Ticket]],Okey!A:B,2,0),"")</f>
        <v/>
      </c>
      <c r="I853" s="36" t="s">
        <v>9009</v>
      </c>
      <c r="J853" s="36" t="s">
        <v>19</v>
      </c>
      <c r="L853" s="36"/>
      <c r="M853" s="36" t="s">
        <v>9010</v>
      </c>
    </row>
    <row r="854" spans="1:13">
      <c r="A854" s="42">
        <f t="shared" si="14"/>
        <v>853</v>
      </c>
      <c r="B854" s="36" t="s">
        <v>8</v>
      </c>
      <c r="C854" s="36" t="s">
        <v>9011</v>
      </c>
      <c r="D854" s="9" t="s">
        <v>9006</v>
      </c>
      <c r="F854" s="9" t="s">
        <v>7971</v>
      </c>
      <c r="G854" s="36" t="s">
        <v>13</v>
      </c>
      <c r="H854" s="36" t="str">
        <f>IFERROR(VLOOKUP(Table2[[#This Row], [Ticket]],Okey!A:B,2,0),"")</f>
        <v/>
      </c>
      <c r="I854" s="36" t="s">
        <v>9009</v>
      </c>
      <c r="J854" s="36" t="s">
        <v>19</v>
      </c>
      <c r="L854" s="36"/>
      <c r="M854" s="36" t="s">
        <v>9010</v>
      </c>
    </row>
    <row r="855" spans="1:13">
      <c r="A855" s="42">
        <f t="shared" si="14"/>
        <v>854</v>
      </c>
      <c r="B855" s="36" t="s">
        <v>8</v>
      </c>
      <c r="C855" s="36" t="s">
        <v>9011</v>
      </c>
      <c r="D855" s="9" t="s">
        <v>9007</v>
      </c>
      <c r="F855" s="9" t="s">
        <v>7971</v>
      </c>
      <c r="G855" s="36" t="s">
        <v>13</v>
      </c>
      <c r="H855" s="36" t="str">
        <f>IFERROR(VLOOKUP(Table2[[#This Row], [Ticket]],Okey!A:B,2,0),"")</f>
        <v/>
      </c>
      <c r="I855" s="36" t="s">
        <v>9009</v>
      </c>
      <c r="J855" s="36" t="s">
        <v>19</v>
      </c>
      <c r="L855" s="36"/>
      <c r="M855" s="36" t="s">
        <v>9010</v>
      </c>
    </row>
    <row r="856" spans="1:13">
      <c r="A856" s="42">
        <f t="shared" si="14"/>
        <v>855</v>
      </c>
      <c r="B856" s="36" t="s">
        <v>8</v>
      </c>
      <c r="C856" s="36" t="s">
        <v>9011</v>
      </c>
      <c r="D856" s="9" t="s">
        <v>9008</v>
      </c>
      <c r="F856" s="9" t="s">
        <v>7971</v>
      </c>
      <c r="G856" s="36" t="s">
        <v>13</v>
      </c>
      <c r="H856" s="36" t="str">
        <f>IFERROR(VLOOKUP(Table2[[#This Row], [Ticket]],Okey!A:B,2,0),"")</f>
        <v/>
      </c>
      <c r="I856" s="36" t="s">
        <v>9009</v>
      </c>
      <c r="J856" s="36" t="s">
        <v>19</v>
      </c>
      <c r="L856" s="36"/>
      <c r="M856" s="36" t="s">
        <v>9010</v>
      </c>
    </row>
    <row r="857" spans="1:13">
      <c r="A857" s="42">
        <f t="shared" si="14"/>
        <v>856</v>
      </c>
      <c r="B857" s="36" t="s">
        <v>8</v>
      </c>
      <c r="C857" s="36" t="s">
        <v>9011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/>
      </c>
      <c r="I857" s="36" t="s">
        <v>9009</v>
      </c>
      <c r="J857" s="36" t="s">
        <v>19</v>
      </c>
      <c r="L857" s="36"/>
      <c r="M857" s="36" t="s">
        <v>9010</v>
      </c>
    </row>
    <row r="858" spans="1:13">
      <c r="A858" s="42">
        <f t="shared" si="14"/>
        <v>857</v>
      </c>
      <c r="B858" s="36" t="s">
        <v>8</v>
      </c>
      <c r="C858" s="9" t="s">
        <v>9012</v>
      </c>
      <c r="D858" s="73" t="s">
        <v>413</v>
      </c>
      <c r="F858" s="74" t="s">
        <v>409</v>
      </c>
      <c r="G858" s="36" t="s">
        <v>13</v>
      </c>
      <c r="H858" s="36" t="str">
        <f>IFERROR(VLOOKUP(Table2[[#This Row], [Ticket]],Okey!A:B,2,0),"")</f>
        <v/>
      </c>
      <c r="I858" s="36" t="s">
        <v>9009</v>
      </c>
      <c r="J858" s="9" t="s">
        <v>17</v>
      </c>
      <c r="L858" s="36"/>
      <c r="M858" s="9" t="s">
        <v>3767</v>
      </c>
    </row>
  </sheetData>
  <phoneticPr fontId="23" type="noConversion"/>
  <conditionalFormatting sqref="D2:D858">
    <cfRule type="duplicateValues" dxfId="5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5389-78B5-41F8-9AB2-AF1006FE7367}">
  <dimension ref="A1:A2"/>
  <sheetViews>
    <sheetView workbookViewId="0">
      <selection activeCell="A2" sqref="A2"/>
    </sheetView>
  </sheetViews>
  <sheetFormatPr defaultRowHeight="15"/>
  <cols>
    <col min="1" max="1" width="15.5703125" customWidth="1"/>
  </cols>
  <sheetData>
    <row r="1" spans="1:1">
      <c r="A1" s="72" t="s">
        <v>8986</v>
      </c>
    </row>
    <row r="2" spans="1:1">
      <c r="A2" s="72" t="s">
        <v>8987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Okey</vt:lpstr>
      <vt:lpstr>STUCT1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2026-02-18T15:25:22Z</dcterms:modified>
</cp:coreProperties>
</file>