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D180C15F-4051-440A-95C3-53FB404509AF}" xr6:coauthVersionLast="47" xr6:coauthVersionMax="47" xr10:uidLastSave="{00000000-0000-0000-0000-000000000000}"/>
  <bookViews>
    <workbookView xWindow="9750" yWindow="2160" windowWidth="19995" windowHeight="15570" activeTab="2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People" sheetId="7" r:id="rId5"/>
    <sheet name="2023" sheetId="8" r:id="rId6"/>
    <sheet name="2024" sheetId="19" r:id="rId7"/>
    <sheet name="old" sheetId="27" state="hidden" r:id="rId8"/>
    <sheet name="Sectors" sheetId="9" r:id="rId9"/>
    <sheet name="KPI" sheetId="12" r:id="rId10"/>
  </sheets>
  <definedNames>
    <definedName name="_xlnm._FilterDatabase" localSheetId="5">'2023'!$A$1:$M$1</definedName>
    <definedName name="_xlnm._FilterDatabase" localSheetId="4">People!$A$1:$B$1</definedName>
    <definedName name="_xlnm._FilterDatabase" localSheetId="2">STUCT1!#REF!</definedName>
  </definedNames>
  <calcPr calcId="181029"/>
  <pivotCaches>
    <pivotCache cacheId="1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774" i="1" l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A3773" i="1"/>
  <c r="H3773" i="1"/>
  <c r="J3773" i="1"/>
  <c r="A3759" i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</calcChain>
</file>

<file path=xl/sharedStrings.xml><?xml version="1.0" encoding="utf-8"?>
<sst xmlns="http://schemas.openxmlformats.org/spreadsheetml/2006/main" count="68628" uniqueCount="13013">
  <si>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</si>
  <si>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</si>
  <si>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</si>
  <si>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</si>
  <si>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</si>
  <si>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</si>
  <si>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</si>
  <si>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</si>
  <si>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</si>
  <si>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</si>
  <si>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</si>
  <si>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</si>
  <si>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</si>
  <si>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</si>
  <si>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</si>
  <si>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</si>
  <si>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</si>
  <si>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</si>
  <si>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</si>
  <si>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</si>
  <si>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</si>
  <si>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</si>
  <si>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</si>
  <si>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</si>
  <si>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</si>
  <si>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</si>
  <si>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</si>
  <si>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</si>
  <si>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</si>
  <si>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</si>
  <si>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</si>
  <si>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</si>
  <si>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</si>
  <si>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</si>
  <si>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</si>
  <si>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</si>
  <si>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</si>
  <si>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</si>
  <si>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</si>
  <si>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</si>
  <si>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</si>
  <si>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</si>
  <si>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</si>
  <si>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</si>
  <si>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</si>
  <si>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</si>
  <si>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</si>
  <si>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</si>
  <si>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</si>
  <si>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</si>
  <si>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</si>
  <si>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</si>
  <si>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</si>
  <si>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</si>
  <si>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</si>
  <si>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</si>
  <si>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</si>
  <si>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</si>
  <si>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</si>
  <si>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</si>
  <si>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</si>
  <si>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</si>
  <si>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</si>
  <si>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</si>
  <si>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</si>
  <si>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</si>
  <si>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</si>
  <si>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</si>
  <si>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</si>
  <si>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</si>
  <si>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</si>
  <si>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</si>
  <si>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</si>
  <si>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</si>
  <si>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</si>
  <si>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</si>
  <si>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</si>
  <si>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</si>
  <si>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</si>
  <si>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</si>
  <si>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</si>
  <si>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</si>
  <si>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</si>
  <si>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</si>
  <si>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</si>
  <si>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</si>
  <si>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</si>
  <si>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</si>
  <si>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</si>
  <si>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</si>
  <si>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</si>
  <si>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</si>
  <si>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</si>
  <si>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</si>
  <si>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</si>
  <si>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</si>
  <si>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</si>
  <si>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</si>
  <si>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</si>
  <si>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</si>
  <si>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</si>
  <si>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</si>
  <si>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</si>
  <si>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</si>
  <si>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</si>
  <si>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</si>
  <si>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</si>
  <si>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</si>
  <si>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</si>
  <si>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</si>
  <si>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</si>
  <si>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</si>
  <si>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</si>
  <si>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</si>
  <si>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</si>
  <si>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</si>
  <si>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</si>
  <si>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</si>
  <si>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</si>
  <si>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</si>
  <si>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</si>
  <si>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</si>
  <si>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</si>
  <si>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</si>
  <si>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</si>
  <si>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</si>
  <si>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</si>
  <si>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</si>
  <si>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</si>
  <si>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</si>
  <si>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</si>
  <si>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</si>
  <si>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</si>
  <si>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</si>
  <si>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</si>
  <si>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</si>
  <si>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</si>
  <si>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</si>
  <si>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</si>
  <si>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</si>
  <si>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</si>
  <si>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</si>
  <si>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</si>
  <si>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</si>
  <si>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</si>
  <si>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</si>
  <si>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</si>
  <si>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</si>
  <si>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</si>
  <si>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</si>
  <si>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</si>
  <si>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</si>
  <si>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</si>
  <si>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</si>
  <si>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</si>
  <si>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</si>
  <si>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</si>
  <si>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</si>
  <si>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</si>
  <si>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</si>
  <si>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</si>
  <si>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</si>
  <si>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</si>
  <si>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</si>
  <si>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</si>
  <si>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</si>
  <si>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</si>
  <si>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</si>
  <si>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</si>
  <si>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</si>
  <si>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</si>
  <si>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</si>
  <si>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</si>
  <si>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</si>
  <si>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</si>
  <si>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</si>
  <si>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</si>
  <si>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</si>
  <si>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</si>
  <si>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</si>
  <si>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</si>
  <si>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</si>
  <si>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</si>
  <si>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</si>
  <si>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</si>
  <si>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</si>
  <si>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</si>
  <si>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</si>
  <si>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</si>
  <si>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</si>
  <si>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</si>
  <si>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</si>
  <si>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</si>
  <si>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</si>
  <si>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</si>
  <si>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</si>
  <si>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</si>
  <si>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</si>
  <si>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</si>
  <si>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</si>
  <si>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</si>
  <si>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</si>
  <si>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</si>
  <si>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</si>
  <si>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</si>
  <si>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</si>
  <si>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</si>
  <si>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</si>
  <si>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</si>
  <si>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</si>
  <si>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</si>
  <si>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</si>
  <si>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</si>
  <si>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</si>
  <si>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</si>
  <si>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</si>
  <si>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</si>
  <si>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</si>
  <si>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</si>
  <si>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</si>
  <si>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</si>
  <si>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</si>
  <si>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</si>
  <si>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</si>
  <si>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</si>
  <si>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</si>
  <si>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</si>
  <si>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</si>
  <si>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</si>
  <si>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</si>
  <si>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</si>
  <si>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</si>
  <si>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</si>
  <si>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</si>
  <si>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</si>
  <si>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</si>
  <si>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</si>
  <si>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</si>
  <si>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</si>
  <si>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</si>
  <si>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</si>
  <si>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</si>
  <si>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</si>
  <si>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</si>
  <si>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</si>
  <si>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</si>
  <si>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</si>
  <si>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</si>
  <si>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</si>
  <si>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</si>
  <si>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</si>
  <si>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</si>
  <si>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</si>
  <si>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</si>
  <si>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</si>
  <si>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</si>
  <si>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</si>
  <si>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</si>
  <si>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</si>
  <si>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</si>
  <si>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</si>
  <si>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</si>
  <si>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</si>
  <si>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</si>
  <si>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</si>
  <si>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</si>
  <si>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</si>
  <si>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</si>
  <si>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</si>
  <si>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</si>
  <si>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</si>
  <si>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</si>
  <si>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</si>
  <si>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</si>
  <si>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</si>
  <si>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</si>
  <si>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</si>
  <si>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</si>
  <si>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</si>
  <si>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</si>
  <si>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</si>
  <si>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</si>
  <si>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</si>
  <si>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</si>
  <si>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</si>
  <si>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</si>
  <si>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</si>
  <si>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</si>
  <si>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</si>
  <si>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</si>
  <si>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</si>
  <si>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</si>
  <si>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</si>
  <si>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</si>
  <si>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</si>
  <si>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</si>
  <si>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</si>
  <si>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</si>
  <si>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</si>
  <si>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</si>
  <si>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</si>
  <si>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</si>
  <si>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</si>
  <si>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</si>
  <si>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</si>
  <si>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</si>
  <si>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</si>
  <si>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</si>
  <si>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</si>
  <si>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</si>
  <si>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</si>
  <si>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</si>
  <si>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</si>
  <si>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</si>
  <si>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</si>
  <si>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</si>
  <si>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</si>
  <si>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</si>
  <si>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</si>
  <si>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</si>
  <si>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</si>
  <si>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</si>
  <si>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</si>
  <si>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</si>
  <si>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</si>
  <si>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</si>
  <si>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</si>
  <si>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</si>
  <si>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</si>
  <si>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</si>
  <si>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</si>
  <si>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</si>
  <si>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</si>
  <si>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</si>
  <si>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</si>
  <si>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</si>
  <si>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</si>
  <si>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</si>
  <si>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</si>
  <si>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</si>
  <si>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</si>
  <si>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</si>
  <si>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</si>
  <si>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</si>
  <si>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</si>
  <si>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</si>
  <si>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</si>
  <si>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</si>
  <si>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</si>
  <si>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</si>
  <si>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</si>
  <si>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</si>
  <si>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</si>
  <si>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</si>
  <si>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</si>
  <si>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</si>
  <si>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</si>
  <si>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</si>
  <si>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</si>
  <si>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</si>
  <si>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</si>
  <si>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</si>
  <si>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</si>
  <si>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</si>
  <si>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</si>
  <si>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</si>
  <si>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</si>
  <si>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</si>
  <si>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</si>
  <si>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</si>
  <si>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</si>
  <si>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</si>
  <si>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</si>
  <si>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</si>
  <si>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</si>
  <si>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</si>
  <si>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</si>
  <si>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</si>
  <si>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</si>
  <si>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</si>
  <si>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</si>
  <si>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</si>
  <si>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</si>
  <si>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</si>
  <si>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</si>
  <si>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</si>
  <si>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</si>
  <si>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</si>
  <si>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</si>
  <si>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</si>
  <si>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</si>
  <si>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</si>
  <si>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</si>
  <si>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</si>
  <si>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</si>
  <si>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</si>
  <si>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</si>
  <si>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</si>
  <si>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</si>
  <si>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</si>
  <si>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</si>
  <si>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</si>
  <si>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</si>
  <si>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</si>
  <si>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</si>
  <si>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</si>
  <si>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</si>
  <si>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</si>
  <si>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</si>
  <si>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</si>
  <si>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</si>
  <si>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</si>
  <si>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</si>
  <si>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</si>
  <si>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</si>
  <si>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</si>
  <si>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</si>
  <si>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</si>
  <si>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</si>
  <si>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</si>
  <si>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</si>
  <si>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</si>
  <si>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</si>
  <si>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</si>
  <si>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</si>
  <si>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</si>
  <si>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</si>
  <si>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</si>
  <si>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</si>
  <si>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</si>
  <si>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</si>
  <si>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</si>
  <si>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</si>
  <si>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</si>
  <si>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</si>
  <si>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</si>
  <si>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</si>
  <si>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</si>
  <si>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</si>
  <si>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</si>
  <si>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</si>
  <si>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</si>
  <si>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</si>
  <si>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</si>
  <si>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</si>
  <si>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</si>
  <si>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</si>
  <si>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</si>
  <si>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</si>
  <si>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</si>
  <si>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</si>
  <si>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</si>
  <si>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</si>
  <si>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</si>
  <si>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</si>
  <si>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</si>
  <si>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</si>
  <si>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</si>
  <si>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</si>
  <si>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</si>
  <si>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</si>
  <si>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</si>
  <si>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</si>
  <si>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</si>
  <si>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</si>
  <si>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</si>
  <si>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</si>
  <si>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</si>
  <si>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</si>
  <si>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</si>
  <si>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</si>
  <si>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</si>
  <si>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</si>
  <si>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</si>
  <si>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</si>
  <si>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</si>
  <si>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</si>
  <si>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</si>
  <si>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</si>
  <si>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</si>
  <si>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</si>
  <si>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</si>
  <si>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</si>
  <si>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</si>
  <si>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</si>
  <si>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</si>
  <si>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</si>
  <si>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</si>
  <si>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</si>
  <si>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</si>
  <si>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</si>
  <si>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</si>
  <si>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</si>
  <si>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</si>
  <si>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</si>
  <si>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</si>
  <si>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</si>
  <si>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</si>
  <si>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</si>
  <si>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</si>
  <si>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</si>
  <si>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</si>
  <si>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</si>
  <si>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</si>
  <si>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</si>
  <si>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</si>
  <si>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</si>
  <si>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</si>
  <si>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</si>
  <si>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</si>
  <si>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</si>
  <si>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</si>
  <si>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</si>
  <si>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</si>
  <si>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</si>
  <si>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</si>
  <si>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</si>
  <si>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</si>
  <si>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</si>
  <si>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</si>
  <si>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</si>
  <si>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</si>
  <si>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</si>
  <si>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</si>
  <si>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</si>
  <si>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</si>
  <si>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</si>
  <si>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</si>
  <si>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</si>
  <si>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</si>
  <si>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</si>
  <si>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</si>
  <si>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</si>
  <si>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</si>
  <si>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</si>
  <si>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</si>
  <si>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</si>
  <si>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</si>
  <si>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</si>
  <si>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</si>
  <si>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</si>
  <si>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</si>
  <si>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</si>
  <si>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</si>
  <si>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</si>
  <si>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</si>
  <si>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</si>
  <si>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</si>
  <si>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</si>
  <si>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</si>
  <si>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</si>
  <si>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</si>
  <si>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</si>
  <si>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</si>
  <si>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</si>
  <si>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</si>
  <si>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</si>
  <si>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</si>
  <si>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</si>
  <si>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</si>
  <si>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</si>
  <si>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</si>
  <si>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</si>
  <si>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</si>
  <si>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</si>
  <si>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</si>
  <si>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</si>
  <si>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</si>
  <si>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</si>
  <si>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</si>
  <si>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</si>
  <si>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</si>
  <si>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</si>
  <si>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</si>
  <si>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</si>
  <si>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</si>
  <si>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</si>
  <si>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</si>
  <si>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</si>
  <si>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</si>
  <si>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</si>
  <si>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</si>
  <si>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</si>
  <si>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</si>
  <si>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</si>
  <si>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</si>
  <si>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</si>
  <si>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</si>
  <si>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</si>
  <si>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</si>
  <si>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</si>
  <si>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</si>
  <si>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</si>
  <si>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</si>
  <si>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</si>
  <si>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</si>
  <si>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</si>
  <si>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</si>
  <si>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</si>
  <si>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</si>
  <si>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</si>
  <si>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</si>
  <si>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</si>
  <si>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</si>
  <si>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</si>
  <si>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</si>
  <si>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</si>
  <si>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</si>
  <si>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</si>
  <si>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</si>
  <si>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</si>
  <si>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</si>
  <si>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</si>
  <si>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</si>
  <si>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</si>
  <si>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</si>
  <si>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</si>
  <si>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</si>
  <si>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</si>
  <si>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</si>
  <si>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</si>
  <si>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</si>
  <si>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</si>
  <si>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</si>
  <si>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</si>
  <si>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</si>
  <si>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</si>
  <si>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</si>
  <si>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</si>
  <si>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</si>
  <si>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</si>
  <si>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</si>
  <si>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</si>
  <si>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</si>
  <si>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</si>
  <si>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</si>
  <si>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</si>
  <si>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</si>
  <si>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</si>
  <si>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</si>
  <si>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</si>
  <si>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</si>
  <si>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</si>
  <si>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</si>
  <si>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</si>
  <si>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</si>
  <si>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</si>
  <si>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</si>
  <si>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</si>
  <si>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</si>
  <si>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</si>
  <si>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</si>
  <si>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</si>
  <si>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</si>
  <si>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</si>
  <si>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</si>
  <si>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</si>
  <si>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</si>
  <si>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</si>
  <si>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</si>
  <si>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</si>
  <si>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</si>
  <si>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</si>
  <si>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</si>
  <si>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</si>
  <si>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</si>
  <si>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</si>
  <si>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</si>
  <si>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</si>
  <si>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</si>
  <si>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</si>
  <si>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</si>
  <si>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</si>
  <si>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</si>
  <si>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</si>
  <si>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</si>
  <si>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</si>
  <si>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</si>
  <si>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</si>
  <si>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</si>
  <si>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</si>
  <si>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</si>
  <si>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</si>
  <si>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</si>
  <si>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</si>
  <si>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</si>
  <si>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</si>
  <si>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</si>
  <si>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</si>
  <si>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</si>
  <si>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</si>
  <si>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</si>
  <si>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</si>
  <si>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</si>
  <si>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</si>
  <si>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</si>
  <si>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</si>
  <si>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</si>
  <si>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</si>
  <si>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</si>
  <si>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</si>
  <si>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</si>
  <si>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</si>
  <si>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</si>
  <si>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</si>
  <si>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</si>
  <si>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</si>
  <si>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</si>
  <si>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</si>
  <si>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</si>
  <si>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</si>
  <si>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</si>
  <si>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</si>
  <si>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</si>
  <si>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</si>
  <si>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</si>
  <si>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</si>
  <si>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</si>
  <si>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</si>
  <si>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</si>
  <si>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</si>
  <si>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</si>
  <si>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</si>
  <si>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</si>
  <si>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</si>
  <si>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</si>
  <si>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</si>
  <si>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</si>
  <si>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</si>
  <si>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</si>
  <si>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</si>
  <si>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</si>
  <si>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</si>
  <si>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</si>
  <si>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</si>
  <si>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</si>
  <si>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</si>
  <si>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</si>
  <si>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</si>
  <si>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</si>
  <si>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</si>
  <si>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</si>
  <si>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</si>
  <si>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</si>
  <si>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</si>
  <si>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</si>
  <si>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</si>
  <si>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</si>
  <si>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</si>
  <si>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</si>
  <si>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</si>
  <si>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</si>
  <si>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</si>
  <si>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</si>
  <si>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</si>
  <si>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</si>
  <si>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</si>
  <si>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</si>
  <si>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</si>
  <si>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</si>
  <si>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</si>
  <si>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</si>
  <si>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</si>
  <si>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</si>
  <si>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</si>
  <si>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</si>
  <si>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</si>
  <si>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</si>
  <si>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</si>
  <si>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</si>
  <si>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</si>
  <si>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</si>
  <si>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</si>
  <si>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</si>
  <si>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</si>
  <si>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</si>
  <si>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</si>
  <si>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</si>
  <si>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</si>
  <si>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</si>
  <si>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</si>
  <si>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</si>
  <si>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</si>
  <si>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</si>
  <si>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</si>
  <si>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</si>
  <si>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</si>
  <si>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</si>
  <si>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</si>
  <si>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</si>
  <si>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</si>
  <si>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</si>
  <si>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</si>
  <si>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</si>
  <si>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</si>
  <si>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</si>
  <si>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</si>
  <si>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</si>
  <si>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</si>
  <si>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</si>
  <si>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</si>
  <si>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</si>
  <si>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</si>
  <si>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</si>
  <si>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</si>
  <si>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</si>
  <si>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</si>
  <si>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</si>
  <si>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</si>
  <si>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</si>
  <si>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</si>
  <si>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</si>
  <si>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</si>
  <si>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</si>
  <si>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</si>
  <si>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</si>
  <si>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</si>
  <si>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</si>
  <si>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</si>
  <si>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</si>
  <si>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</si>
  <si>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</si>
  <si>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</si>
  <si>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</si>
  <si>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</si>
  <si>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</si>
  <si>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</si>
  <si>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</si>
  <si>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</si>
  <si>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</si>
  <si>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</si>
  <si>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</si>
  <si>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</si>
  <si>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</si>
  <si>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</si>
  <si>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</si>
  <si>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</si>
  <si>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</si>
  <si>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</si>
  <si>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</si>
  <si>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</si>
  <si>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</si>
  <si>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</si>
  <si>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</si>
  <si>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</si>
  <si>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</si>
  <si>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</si>
  <si>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</si>
  <si>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</si>
  <si>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</si>
  <si>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</si>
  <si>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</si>
  <si>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</si>
  <si>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</si>
  <si>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</si>
  <si>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</si>
  <si>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</si>
  <si>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</si>
  <si>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</si>
  <si>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</si>
  <si>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</si>
  <si>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</si>
  <si>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</si>
  <si>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</si>
  <si>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</si>
  <si>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</si>
  <si>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</si>
  <si>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</si>
  <si>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</si>
  <si>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</si>
  <si>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</si>
  <si>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</si>
  <si>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</si>
  <si>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</si>
  <si>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</si>
  <si>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</si>
  <si>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</si>
  <si>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</si>
  <si>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</si>
  <si>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</si>
  <si>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</si>
  <si>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</si>
  <si>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</si>
  <si>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</si>
  <si>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</si>
  <si>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</si>
  <si>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</si>
  <si>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</si>
  <si>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</si>
  <si>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</si>
  <si>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</si>
  <si>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</si>
  <si>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</si>
  <si>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</si>
  <si>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</si>
  <si>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</si>
  <si>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</si>
  <si>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</si>
  <si>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</si>
  <si>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</si>
  <si>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</si>
  <si>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</si>
  <si>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</si>
  <si>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</si>
  <si>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</si>
  <si>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</si>
  <si>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</si>
  <si>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</si>
  <si>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</si>
  <si>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</si>
  <si>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</si>
  <si>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</si>
  <si>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</si>
  <si>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</si>
  <si>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</si>
  <si>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</si>
  <si>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</si>
  <si>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</si>
  <si>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</si>
  <si>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</si>
  <si>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</si>
  <si>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</si>
  <si>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</si>
  <si>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</si>
  <si>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</si>
  <si>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</si>
  <si>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</si>
  <si>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</si>
  <si>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</si>
  <si>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</si>
  <si>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</si>
  <si>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</si>
  <si>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</si>
  <si>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</si>
  <si>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</si>
  <si>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</si>
  <si>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</si>
  <si>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</si>
  <si>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</si>
  <si>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</si>
  <si>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</si>
  <si>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</si>
  <si>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</si>
  <si>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</si>
  <si>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</si>
  <si>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</si>
  <si>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</si>
  <si>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</si>
  <si>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</si>
  <si>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</si>
  <si>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</si>
  <si>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</si>
  <si>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</si>
  <si>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</si>
  <si>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</si>
  <si>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</si>
  <si>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</si>
  <si>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</si>
  <si>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</si>
  <si>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</si>
  <si>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</si>
  <si>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</si>
  <si>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</si>
  <si>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</si>
  <si>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</si>
  <si>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</si>
  <si>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</si>
  <si>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</si>
  <si>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</si>
  <si>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</si>
  <si>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</si>
  <si>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</si>
  <si>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</si>
  <si>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</si>
  <si>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</si>
  <si>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</si>
  <si>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</si>
  <si>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</si>
  <si>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</si>
  <si>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</si>
  <si>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</si>
  <si>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</si>
  <si>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</si>
  <si>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</si>
  <si>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</si>
  <si>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</si>
  <si>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</si>
  <si>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</si>
  <si>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</si>
  <si>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</si>
  <si>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</si>
  <si>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</si>
  <si>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</si>
  <si>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</si>
  <si>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</si>
  <si>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</si>
  <si>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</si>
  <si>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</si>
  <si>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</si>
  <si>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</si>
  <si>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</si>
  <si>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</si>
  <si>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</si>
  <si>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</si>
  <si>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</si>
  <si>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</si>
  <si>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</si>
  <si>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</si>
  <si>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</si>
  <si>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</si>
  <si>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</si>
  <si>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</si>
  <si>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</si>
  <si>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</si>
  <si>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</si>
  <si>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</si>
  <si>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</si>
  <si>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</si>
  <si>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</si>
  <si>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</si>
  <si>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</si>
  <si>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</si>
  <si>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</si>
  <si>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</si>
  <si>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</si>
  <si>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</si>
  <si>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</si>
  <si>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</si>
  <si>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</si>
  <si>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</si>
  <si>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</si>
  <si>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</si>
  <si>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</si>
  <si>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</si>
  <si>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</si>
  <si>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</si>
  <si>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</si>
  <si>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</si>
  <si>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</si>
  <si>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</si>
  <si>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</si>
  <si>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</si>
  <si>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</si>
  <si>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</si>
  <si>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</si>
  <si>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</si>
  <si>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</si>
  <si>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</si>
  <si>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</si>
  <si>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</si>
  <si>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</si>
  <si>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</si>
  <si>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</si>
  <si>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</si>
  <si>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</si>
  <si>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</si>
  <si>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</si>
  <si>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</si>
  <si>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</si>
  <si>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</si>
  <si>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</si>
  <si>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</si>
  <si>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</si>
  <si>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</si>
  <si>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</si>
  <si>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</si>
  <si>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</si>
  <si>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</si>
  <si>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</si>
  <si>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</si>
  <si>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</si>
  <si>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</si>
  <si>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</si>
  <si>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</si>
  <si>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</si>
  <si>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</si>
  <si>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</si>
  <si>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</si>
  <si>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</si>
  <si>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</si>
  <si>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</si>
  <si>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</si>
  <si>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</si>
  <si>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</si>
  <si>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</si>
  <si>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</si>
  <si>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</si>
  <si>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</si>
  <si>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</si>
  <si>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</si>
  <si>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</si>
  <si>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</si>
  <si>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</si>
  <si>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</si>
  <si>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</si>
  <si>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</si>
  <si>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</si>
  <si>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</si>
  <si>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</si>
  <si>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</si>
  <si>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</si>
  <si>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</si>
  <si>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</si>
  <si>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</si>
  <si>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</si>
  <si>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</si>
  <si>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</si>
  <si>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</si>
  <si>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</si>
  <si>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</si>
  <si>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</si>
  <si>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</si>
  <si>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</si>
  <si>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</si>
  <si>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</si>
  <si>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</si>
  <si>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</si>
  <si>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</si>
  <si>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</si>
  <si>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</si>
  <si>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</si>
  <si>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</si>
  <si>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</si>
  <si>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</si>
  <si>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</si>
  <si>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</si>
  <si>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</si>
  <si>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</si>
  <si>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</si>
  <si>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</si>
  <si>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</si>
  <si>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</si>
  <si>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</si>
  <si>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</si>
  <si>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</si>
  <si>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</si>
  <si>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</si>
  <si>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</si>
  <si>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</si>
  <si>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</si>
  <si>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</si>
  <si>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</si>
  <si>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</si>
  <si>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</si>
  <si>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</si>
  <si>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</si>
  <si>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</si>
  <si>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</si>
  <si>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</si>
  <si>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</si>
  <si>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</si>
  <si>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</si>
  <si>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</si>
  <si>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</si>
  <si>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</si>
  <si>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</si>
  <si>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</si>
  <si>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</si>
  <si>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</si>
  <si>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</si>
  <si>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</si>
  <si>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</si>
  <si>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</si>
  <si>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</si>
  <si>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</si>
  <si>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</si>
  <si>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</si>
  <si>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</si>
  <si>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</si>
  <si>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</si>
  <si>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</si>
  <si>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</si>
  <si>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</si>
  <si>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</si>
  <si>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</si>
  <si>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</si>
  <si>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</si>
  <si>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</si>
  <si>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</si>
  <si>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</si>
  <si>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</si>
  <si>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</si>
  <si>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</si>
  <si>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</si>
  <si>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</si>
  <si>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</si>
  <si>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</si>
  <si>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</si>
  <si>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</si>
  <si>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</si>
  <si>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</si>
  <si>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</si>
  <si>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</si>
  <si>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</si>
  <si>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</si>
  <si>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</si>
  <si>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</si>
  <si>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</si>
  <si>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</si>
  <si>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</si>
  <si>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</si>
  <si>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</si>
  <si>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</si>
  <si>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</si>
  <si>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</si>
  <si>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</si>
  <si>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</si>
  <si>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</si>
  <si>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</si>
  <si>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</si>
  <si>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</si>
  <si>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</si>
  <si>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</si>
  <si>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</si>
  <si>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</si>
  <si>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</si>
  <si>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</si>
  <si>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</si>
  <si>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</si>
  <si>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</si>
  <si>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</si>
  <si>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</si>
  <si>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</si>
  <si>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</si>
  <si>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</si>
  <si>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</si>
  <si>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</si>
  <si>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</si>
  <si>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</si>
  <si>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</si>
  <si>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</si>
  <si>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</si>
  <si>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</si>
  <si>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</si>
  <si>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</si>
  <si>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</si>
  <si>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</si>
  <si>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</si>
  <si>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</si>
  <si>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</si>
  <si>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</si>
  <si>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</si>
  <si>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</si>
  <si>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</si>
  <si>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</si>
  <si>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</si>
  <si>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</si>
  <si>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</si>
  <si>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</si>
  <si>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</si>
  <si>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</si>
  <si>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</si>
  <si>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</si>
  <si>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</si>
  <si>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</si>
  <si>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</si>
  <si>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</si>
  <si>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</si>
  <si>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</si>
  <si>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</si>
  <si>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</si>
  <si>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</si>
  <si>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</si>
  <si>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</si>
  <si>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</si>
  <si>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</si>
  <si>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</si>
  <si>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</si>
  <si>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</si>
  <si>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</si>
  <si>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</si>
  <si>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</si>
  <si>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</si>
  <si>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</si>
  <si>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</si>
  <si>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</si>
  <si>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</si>
  <si>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</si>
  <si>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</si>
  <si>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</si>
  <si>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</si>
  <si>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</si>
  <si>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</si>
  <si>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</si>
  <si>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</si>
  <si>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</si>
  <si>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</si>
  <si>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</si>
  <si>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</si>
  <si>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</si>
  <si>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</si>
  <si>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</si>
  <si>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</si>
  <si>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</si>
  <si>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</si>
  <si>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</si>
  <si>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</si>
  <si>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</si>
  <si>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</si>
  <si>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</si>
  <si>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</si>
  <si>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</si>
  <si>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</si>
  <si>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</si>
  <si>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</si>
  <si>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</si>
  <si>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</si>
  <si>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</si>
  <si>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</si>
  <si>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</si>
  <si>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</si>
  <si>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</si>
  <si>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</si>
  <si>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</si>
  <si>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</si>
  <si>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</si>
  <si>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</si>
  <si>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</si>
  <si>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</si>
  <si>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</si>
  <si>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</si>
  <si>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</si>
  <si>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</si>
  <si>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</si>
  <si>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</si>
  <si>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</si>
  <si>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</si>
  <si>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</si>
  <si>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</si>
  <si>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</si>
  <si>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</si>
  <si>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</si>
  <si>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</si>
  <si>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</si>
  <si>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</si>
  <si>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</si>
  <si>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</si>
  <si>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</si>
  <si>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</si>
  <si>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</si>
  <si>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</si>
  <si>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</si>
  <si>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</si>
  <si>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</si>
  <si>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</si>
  <si>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</si>
  <si>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</si>
  <si>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</si>
  <si>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</si>
  <si>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</si>
  <si>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</si>
  <si>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</si>
  <si>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</si>
  <si>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</si>
  <si>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</si>
  <si>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</si>
  <si>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</si>
  <si>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</si>
  <si>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</si>
  <si>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</si>
  <si>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</si>
  <si>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</si>
  <si>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</si>
  <si>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</si>
  <si>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</si>
  <si>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</si>
  <si>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</si>
  <si>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</si>
  <si>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</si>
  <si>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</si>
  <si>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</si>
  <si>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</si>
  <si>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</si>
  <si>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</si>
  <si>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</si>
  <si>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</si>
  <si>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</si>
  <si>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</si>
  <si>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</si>
  <si>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</si>
  <si>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</si>
  <si>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</si>
  <si>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</si>
  <si>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</si>
  <si>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</si>
  <si>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</si>
  <si>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</si>
  <si>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</si>
  <si>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</si>
  <si>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</si>
  <si>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</si>
  <si>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</si>
  <si>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</si>
  <si>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</si>
  <si>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</si>
  <si>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</si>
  <si>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</si>
  <si>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</si>
  <si>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</si>
  <si>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</si>
  <si>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</si>
  <si>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</si>
  <si>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</si>
  <si>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</si>
  <si>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</si>
  <si>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</si>
  <si>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</si>
  <si>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</si>
  <si>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</si>
  <si>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</si>
  <si>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</si>
  <si>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</si>
  <si>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</si>
  <si>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</si>
  <si>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</si>
  <si>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</si>
  <si>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</si>
  <si>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</si>
  <si>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</si>
  <si>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</si>
  <si>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</si>
  <si>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</si>
  <si>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</si>
  <si>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</si>
  <si>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</si>
  <si>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</si>
  <si>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</si>
  <si>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</si>
  <si>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</si>
  <si>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</si>
  <si>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</si>
  <si>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</si>
  <si>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</si>
  <si>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</si>
  <si>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</si>
  <si>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</si>
  <si>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</si>
  <si>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</si>
  <si>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</si>
  <si>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</si>
  <si>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</si>
  <si>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</si>
  <si>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</si>
  <si>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</si>
  <si>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</si>
  <si>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</si>
  <si>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</si>
  <si>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</si>
  <si>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</si>
  <si>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</si>
  <si>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</si>
  <si>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</si>
  <si>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</si>
  <si>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</si>
  <si>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</si>
  <si>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</si>
  <si>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</si>
  <si>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</si>
  <si>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</si>
  <si>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</si>
  <si>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</si>
  <si>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</si>
  <si>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</si>
  <si>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</si>
  <si>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</si>
  <si>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</si>
  <si>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</si>
  <si>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</si>
  <si>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</si>
  <si>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</si>
  <si>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</si>
  <si>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</si>
  <si>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</si>
  <si>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</si>
  <si>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</si>
  <si>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</si>
  <si>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</si>
  <si>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</si>
  <si>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</si>
  <si>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</si>
  <si>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</si>
  <si>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</si>
  <si>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</si>
  <si>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</si>
  <si>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</si>
  <si>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</si>
  <si>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</si>
  <si>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</si>
  <si>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</si>
  <si>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</si>
  <si>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</si>
  <si>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</si>
  <si>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</si>
  <si>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</si>
  <si>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</si>
  <si>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</si>
  <si>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</si>
  <si>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</si>
  <si>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</si>
  <si>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</si>
  <si>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</si>
  <si>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</si>
  <si>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</si>
  <si>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</si>
  <si>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</si>
  <si>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</si>
  <si>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</si>
  <si>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</si>
  <si>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</si>
  <si>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</si>
  <si>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</si>
  <si>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</si>
  <si>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</si>
  <si>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</si>
  <si>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</si>
  <si>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</si>
  <si>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</si>
  <si>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</si>
  <si>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</si>
  <si>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</si>
  <si>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</si>
  <si>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</si>
  <si>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</si>
  <si>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</si>
  <si>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</si>
  <si>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</si>
  <si>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</si>
  <si>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</si>
  <si>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</si>
  <si>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</si>
  <si>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</si>
  <si>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</si>
  <si>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</si>
  <si>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</si>
  <si>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</si>
  <si>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</si>
  <si>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</si>
  <si>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</si>
  <si>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</si>
  <si>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</si>
  <si>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</si>
  <si>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</si>
  <si>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</si>
  <si>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</si>
  <si>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</si>
  <si>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</si>
  <si>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</si>
  <si>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</si>
  <si>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</si>
  <si>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</si>
  <si>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</si>
  <si>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</si>
  <si>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</si>
  <si>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</si>
  <si>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</si>
  <si>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</si>
  <si>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</si>
  <si>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</si>
  <si>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</si>
  <si>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</si>
  <si>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</si>
  <si>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</si>
  <si>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</si>
  <si>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</si>
  <si>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</si>
  <si>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</si>
  <si>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</si>
  <si>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</si>
  <si>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</si>
  <si>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</si>
  <si>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</si>
  <si>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</si>
  <si>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</si>
  <si>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</si>
  <si>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</si>
  <si>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</si>
  <si>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</si>
  <si>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</si>
  <si>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</si>
  <si>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</si>
  <si>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</si>
  <si>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</si>
  <si>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</si>
  <si>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</si>
  <si>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</si>
  <si>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</si>
  <si>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</si>
  <si>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</si>
  <si>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</si>
  <si>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</si>
  <si>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</si>
  <si>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</si>
  <si>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</si>
  <si>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</si>
  <si>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</si>
  <si>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</si>
  <si>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</si>
  <si>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</si>
  <si>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</si>
  <si>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</si>
  <si>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</si>
  <si>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</si>
  <si>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</si>
  <si>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</si>
  <si>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</si>
  <si>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</si>
  <si>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</si>
  <si>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</si>
  <si>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</si>
  <si>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</si>
  <si>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</si>
  <si>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</si>
  <si>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</si>
  <si>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</si>
  <si>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</si>
  <si>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</si>
  <si>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</si>
  <si>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</si>
  <si>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</si>
  <si>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</si>
  <si>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</si>
  <si>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</si>
  <si>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</si>
  <si>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</si>
  <si>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</si>
  <si>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</si>
  <si>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</si>
  <si>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</si>
  <si>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</si>
  <si>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</si>
  <si>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</si>
  <si>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</si>
  <si>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</si>
  <si>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</si>
  <si>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</si>
  <si>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</si>
  <si>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</si>
  <si>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</si>
  <si>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</si>
  <si>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</si>
  <si>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</si>
  <si>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</si>
  <si>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</si>
  <si>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</si>
  <si>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</si>
  <si>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</si>
  <si>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</si>
  <si>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</si>
  <si>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</si>
  <si>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</si>
  <si>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</si>
  <si>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</si>
  <si>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</si>
  <si>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</si>
  <si>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</si>
  <si>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</si>
  <si>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</si>
  <si>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</si>
  <si>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</si>
  <si>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</si>
  <si>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</si>
  <si>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</si>
  <si>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</si>
  <si>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</si>
  <si>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</si>
  <si>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</si>
  <si>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</si>
  <si>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</si>
  <si>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</si>
  <si>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</si>
  <si>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</si>
  <si>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</si>
  <si>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</si>
  <si>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</si>
  <si>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</si>
  <si>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</si>
  <si>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</si>
  <si>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</si>
  <si>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</si>
  <si>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</si>
  <si>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</si>
  <si>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</si>
  <si>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</si>
  <si>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</si>
  <si>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</si>
  <si>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</si>
  <si>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</si>
  <si>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</si>
  <si>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</si>
  <si>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</si>
  <si>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</si>
  <si>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</si>
  <si>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</si>
  <si>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</si>
  <si>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</si>
  <si>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</si>
  <si>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</si>
  <si>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</si>
  <si>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</si>
  <si>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</si>
  <si>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</si>
  <si>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</si>
  <si>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</si>
  <si>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</si>
  <si>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</si>
  <si>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</si>
  <si>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</si>
  <si>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</si>
  <si>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</si>
  <si>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</si>
  <si>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</si>
  <si>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</si>
  <si>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</si>
  <si>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</si>
  <si>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</si>
  <si>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</si>
  <si>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</si>
  <si>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</si>
  <si>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</si>
  <si>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</si>
  <si>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</si>
  <si>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</si>
  <si>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</si>
  <si>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</si>
  <si>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</si>
  <si>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</si>
  <si>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</si>
  <si>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</si>
  <si>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</si>
  <si>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</si>
  <si>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</si>
  <si>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</si>
  <si>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</si>
  <si>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</si>
  <si>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</si>
  <si>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</si>
  <si>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</si>
  <si>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</si>
  <si>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</si>
  <si>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</si>
  <si>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</si>
  <si>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</si>
  <si>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</si>
  <si>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</si>
  <si>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</si>
  <si>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</si>
  <si>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</si>
  <si>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</si>
  <si>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</si>
  <si>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</si>
  <si>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</si>
  <si>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</si>
  <si>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</si>
  <si>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</si>
  <si>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</si>
  <si>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</si>
  <si>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</si>
  <si>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</si>
  <si>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</si>
  <si>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</si>
  <si>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</si>
  <si>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</si>
  <si>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</si>
  <si>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</si>
  <si>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</si>
  <si>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</si>
  <si>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</si>
  <si>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</si>
  <si>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</si>
  <si>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</si>
  <si>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</si>
  <si>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</si>
  <si>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</si>
  <si>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</si>
  <si>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</si>
  <si>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</si>
  <si>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</si>
  <si>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</si>
  <si>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</si>
  <si>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</si>
  <si>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</si>
  <si>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</si>
  <si>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</si>
  <si>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</si>
  <si>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</si>
  <si>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</si>
  <si>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</si>
  <si>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</si>
  <si>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</si>
  <si>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</si>
  <si>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</si>
  <si>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</si>
  <si>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</si>
  <si>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</si>
  <si>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</si>
  <si>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</si>
  <si>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</si>
  <si>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</si>
  <si>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</si>
  <si>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</si>
  <si>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</si>
  <si>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</si>
  <si>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</si>
  <si>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</si>
  <si>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</si>
  <si>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</si>
  <si>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</si>
  <si>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</si>
  <si>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</si>
  <si>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</si>
  <si>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</si>
  <si>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</si>
  <si>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</si>
  <si>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</si>
  <si>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</si>
  <si>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</si>
  <si>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</si>
  <si>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</si>
  <si>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</si>
  <si>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</si>
  <si>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</si>
  <si>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</si>
  <si>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</si>
  <si>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</si>
  <si>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</si>
  <si>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</si>
  <si>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</si>
  <si>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</si>
  <si>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</si>
  <si>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</si>
  <si>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</si>
  <si>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</si>
  <si>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</si>
  <si>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</si>
  <si>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</si>
  <si>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</si>
  <si>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</si>
  <si>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</si>
  <si>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</si>
  <si>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</si>
  <si>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</si>
  <si>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</si>
  <si>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</si>
  <si>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</si>
  <si>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</si>
  <si>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</si>
  <si>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</si>
  <si>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</si>
  <si>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</si>
  <si>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</si>
  <si>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</si>
  <si>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</si>
  <si>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</si>
  <si>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</si>
  <si>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</si>
  <si>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</si>
  <si>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</si>
  <si>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</si>
  <si>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</si>
  <si>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</si>
  <si>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</si>
  <si>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</si>
  <si>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</si>
  <si>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</si>
  <si>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</si>
  <si>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</si>
  <si>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</si>
  <si>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</si>
  <si>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</si>
  <si>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</si>
  <si>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</si>
  <si>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</si>
  <si>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</si>
  <si>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</si>
  <si>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</si>
  <si>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</si>
  <si>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</si>
  <si>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</si>
  <si>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</si>
  <si>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</si>
  <si>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</si>
  <si>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</si>
  <si>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</si>
  <si>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</si>
  <si>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</si>
  <si>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</si>
  <si>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</si>
  <si>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</si>
  <si>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</si>
  <si>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</si>
  <si>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</si>
  <si>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</si>
  <si>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</si>
  <si>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</si>
  <si>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</si>
  <si>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</si>
  <si>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</si>
  <si>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</si>
  <si>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</si>
  <si>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</si>
  <si>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</si>
  <si>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</si>
  <si>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</si>
  <si>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</si>
  <si>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</si>
  <si>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</si>
  <si>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</si>
  <si>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</si>
  <si>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</si>
  <si>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</si>
  <si>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</si>
  <si>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</si>
  <si>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</si>
  <si>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</si>
  <si>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</si>
  <si>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</si>
  <si>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</si>
  <si>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</si>
  <si>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</si>
  <si>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</si>
  <si>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</si>
  <si>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</si>
  <si>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</si>
  <si>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</si>
  <si>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</si>
  <si>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</si>
  <si>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</si>
  <si>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</si>
  <si>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</si>
  <si>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</si>
  <si>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</si>
  <si>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</si>
  <si>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</si>
  <si>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</si>
  <si>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</si>
  <si>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</si>
  <si>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</si>
  <si>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</si>
  <si>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</si>
  <si>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</si>
  <si>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</si>
  <si>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</si>
  <si>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</si>
  <si>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</si>
  <si>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</si>
  <si>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</si>
  <si>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</si>
  <si>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</si>
  <si>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</si>
  <si>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</si>
  <si>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</si>
  <si>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</si>
  <si>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</si>
  <si>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</si>
  <si>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</si>
  <si>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</si>
  <si>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</si>
  <si>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</si>
  <si>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</si>
  <si>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</si>
  <si>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</si>
  <si>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</si>
  <si>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</si>
  <si>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</si>
  <si>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</si>
  <si>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</si>
  <si>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</si>
  <si>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</si>
  <si>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</si>
  <si>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</si>
  <si>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</si>
  <si>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</si>
  <si>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</si>
  <si>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</si>
  <si>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</si>
  <si>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</si>
  <si>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</si>
  <si>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</si>
  <si>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</si>
  <si>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</si>
  <si>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</si>
  <si>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</si>
  <si>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</si>
  <si>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</si>
  <si>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</si>
  <si>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</si>
  <si>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</si>
  <si>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</si>
  <si>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</si>
  <si>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</si>
  <si>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</si>
  <si>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</si>
  <si>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</si>
  <si>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</si>
  <si>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</si>
  <si>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</si>
  <si>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</si>
  <si>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</si>
  <si>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</si>
  <si>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</si>
  <si>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</si>
  <si>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</si>
  <si>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</si>
  <si>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</si>
  <si>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</si>
  <si>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</si>
  <si>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</si>
  <si>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</si>
  <si>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</si>
  <si>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</si>
  <si>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</si>
  <si>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</si>
  <si>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</si>
  <si>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</si>
  <si>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</si>
  <si>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</si>
  <si>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</si>
  <si>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</si>
  <si>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</si>
  <si>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</si>
  <si>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</si>
  <si>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</si>
  <si>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</si>
  <si>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</si>
  <si>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</si>
  <si>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</si>
  <si>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</si>
  <si>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</si>
  <si>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</si>
  <si>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</si>
  <si>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</si>
  <si>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</si>
  <si>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</si>
  <si>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</si>
  <si>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</si>
  <si>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</si>
  <si>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</si>
  <si>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</si>
  <si>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</si>
  <si>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</si>
  <si>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</si>
  <si>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</si>
  <si>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</si>
  <si>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</si>
  <si>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</si>
  <si>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</si>
  <si>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</si>
  <si>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</si>
  <si>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</si>
  <si>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</si>
  <si>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</si>
  <si>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</si>
  <si>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</si>
  <si>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</si>
  <si>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</si>
  <si>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</si>
  <si>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</si>
  <si>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</si>
  <si>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</si>
  <si>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</si>
  <si>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</si>
  <si>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</si>
  <si>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</si>
  <si>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</si>
  <si>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</si>
  <si>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</si>
  <si>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</si>
  <si>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</si>
  <si>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</si>
  <si>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</si>
  <si>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</si>
  <si>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</si>
  <si>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</si>
  <si>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</si>
  <si>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</si>
  <si>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</si>
  <si>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</si>
  <si>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</si>
  <si>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</si>
  <si>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</si>
  <si>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</si>
  <si>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</si>
  <si>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</si>
  <si>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</si>
  <si>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</si>
  <si>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</si>
  <si>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</si>
  <si>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</si>
  <si>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</si>
  <si>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</si>
  <si>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</si>
  <si>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</si>
  <si>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</si>
  <si>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</si>
  <si>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</si>
  <si>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</si>
  <si>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</si>
  <si>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</si>
  <si>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</si>
  <si>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</si>
  <si>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</si>
  <si>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</si>
  <si>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</si>
  <si>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</si>
  <si>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</si>
  <si>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</si>
  <si>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</si>
  <si>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</si>
  <si>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</si>
  <si>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</si>
  <si>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</si>
  <si>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</si>
  <si>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</si>
  <si>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</si>
  <si>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</si>
  <si>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</si>
  <si>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</si>
  <si>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</si>
  <si>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</si>
  <si>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</si>
  <si>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</si>
  <si>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</si>
  <si>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</si>
  <si>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</si>
  <si>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</si>
  <si>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</si>
  <si>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</si>
  <si>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</si>
  <si>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</si>
  <si>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</si>
  <si>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</si>
  <si>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</si>
  <si>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</si>
  <si>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</si>
  <si>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</si>
  <si>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</si>
  <si>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</si>
  <si>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</si>
  <si>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</si>
  <si>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</si>
  <si>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</si>
  <si>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</si>
  <si>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</si>
  <si>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</si>
  <si>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</si>
  <si>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</si>
  <si>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</si>
  <si>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</si>
  <si>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</si>
  <si>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</si>
  <si>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</si>
  <si>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</si>
  <si>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</si>
  <si>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</si>
  <si>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</si>
  <si>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</si>
  <si>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</si>
  <si>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</si>
  <si>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</si>
  <si>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</si>
  <si>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</si>
  <si>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</si>
  <si>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</si>
  <si>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</si>
  <si>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</si>
  <si>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</si>
  <si>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</si>
  <si>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</si>
  <si>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</si>
  <si>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</si>
  <si>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</si>
  <si>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</si>
  <si>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</si>
  <si>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</si>
  <si>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</si>
  <si>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</si>
  <si>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</si>
  <si>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</si>
  <si>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</si>
  <si>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</si>
  <si>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</si>
  <si>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</si>
  <si>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</si>
  <si>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</si>
  <si>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</si>
  <si>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</si>
  <si>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</si>
  <si>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</si>
  <si>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</si>
  <si>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</si>
  <si>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</si>
  <si>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</si>
  <si>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</si>
  <si>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</si>
  <si>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</si>
  <si>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</si>
  <si>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</si>
  <si>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</si>
  <si>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</si>
  <si>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</si>
  <si>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</si>
  <si>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</si>
  <si>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</si>
  <si>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</si>
  <si>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</si>
  <si>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</si>
  <si>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</si>
  <si>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</si>
  <si>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</si>
  <si>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</si>
  <si>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</si>
  <si>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</si>
  <si>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</si>
  <si>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</si>
  <si>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</si>
  <si>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</si>
  <si>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</si>
  <si>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</si>
  <si>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</si>
  <si>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</si>
  <si>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</si>
  <si>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</si>
  <si>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</si>
  <si>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</si>
  <si>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</si>
  <si>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</si>
  <si>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</si>
  <si>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</si>
  <si>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</si>
  <si>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</si>
  <si>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</si>
  <si>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</si>
  <si>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</si>
  <si>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</si>
  <si>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</si>
  <si>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</si>
  <si>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</si>
  <si>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</si>
  <si>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</si>
  <si>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</si>
  <si>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</si>
  <si>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</si>
  <si>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</si>
  <si>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</si>
  <si>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</si>
  <si>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</si>
  <si>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</si>
  <si>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</si>
  <si>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</si>
  <si>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</si>
  <si>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</si>
  <si>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</si>
  <si>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</si>
  <si>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</si>
  <si>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</si>
  <si>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</si>
  <si>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</si>
  <si>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</si>
  <si>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</si>
  <si>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</si>
  <si>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</si>
  <si>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</si>
  <si>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</si>
  <si>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</si>
  <si>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</si>
  <si>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</si>
  <si>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</si>
  <si>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</si>
  <si>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</si>
  <si>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</si>
  <si>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</si>
  <si>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</si>
  <si>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</si>
  <si>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</si>
  <si>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</si>
  <si>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</si>
  <si>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</si>
  <si>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</si>
  <si>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</si>
  <si>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</si>
  <si>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</si>
  <si>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</si>
  <si>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</si>
  <si>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</si>
  <si>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</si>
  <si>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</si>
  <si>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</si>
  <si>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</si>
  <si>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</si>
  <si>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</si>
  <si>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</si>
  <si>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</si>
  <si>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</si>
  <si>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</si>
  <si>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</si>
  <si>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</si>
  <si>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</si>
  <si>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</si>
  <si>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</si>
  <si>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</si>
  <si>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</si>
  <si>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</si>
  <si>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</si>
  <si>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</si>
  <si>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</si>
  <si>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</si>
  <si>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</si>
  <si>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</si>
  <si>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</si>
  <si>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</si>
  <si>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</si>
  <si>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</si>
  <si>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</si>
  <si>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</si>
  <si>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</si>
  <si>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</si>
  <si>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</si>
  <si>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</si>
  <si>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</si>
  <si>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</si>
  <si>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</si>
  <si>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</si>
  <si>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</si>
  <si>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</si>
  <si>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</si>
  <si>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</si>
  <si>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</si>
  <si>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</si>
  <si>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</si>
  <si>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</si>
  <si>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</si>
  <si>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</si>
  <si>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</si>
  <si>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</si>
  <si>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</si>
  <si>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</si>
  <si>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</si>
  <si>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</si>
  <si>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</si>
  <si>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</si>
  <si>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</si>
  <si>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</si>
  <si>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</si>
  <si>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</si>
  <si>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</si>
  <si>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</si>
  <si>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</si>
  <si>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</si>
  <si>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</si>
  <si>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</si>
  <si>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</si>
  <si>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</si>
  <si>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</si>
  <si>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</si>
  <si>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</si>
  <si>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</si>
  <si>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</si>
  <si>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</si>
  <si>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</si>
  <si>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</si>
  <si>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</si>
  <si>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</si>
  <si>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</si>
  <si>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</si>
  <si>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</si>
  <si>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</si>
  <si>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</si>
  <si>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</si>
  <si>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</si>
  <si>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</si>
  <si>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</si>
  <si>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</si>
  <si>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</si>
  <si>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</si>
  <si>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</si>
  <si>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</si>
  <si>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</si>
  <si>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</si>
  <si>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</si>
  <si>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</si>
  <si>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</si>
  <si>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</si>
  <si>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</si>
  <si>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</si>
  <si>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</si>
  <si>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</si>
  <si>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</si>
  <si>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</si>
  <si>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</si>
  <si>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</si>
  <si>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</si>
  <si>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</si>
  <si>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</si>
  <si>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</si>
  <si>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</si>
  <si>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</si>
  <si>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</si>
  <si>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</si>
  <si>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</si>
  <si>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</si>
  <si>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</si>
  <si>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</si>
  <si>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</si>
  <si>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</si>
  <si>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</si>
  <si>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</si>
  <si>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</si>
  <si>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</si>
  <si>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</si>
  <si>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</si>
  <si>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</si>
  <si>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</si>
  <si>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</si>
  <si>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</si>
  <si>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</si>
  <si>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</si>
  <si>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</si>
  <si>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</si>
  <si>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</si>
  <si>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</si>
  <si>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</si>
  <si>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</si>
  <si>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</si>
  <si>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</si>
  <si>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</si>
  <si>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</si>
  <si>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</si>
  <si>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</si>
  <si>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</si>
  <si>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</si>
  <si>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</si>
  <si>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</si>
  <si>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</si>
  <si>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</si>
  <si>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</si>
  <si>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</si>
  <si>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</si>
  <si>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</si>
  <si>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</si>
  <si>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</si>
  <si>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</si>
  <si>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</si>
  <si>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</si>
  <si>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</si>
  <si>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</si>
  <si>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</si>
  <si>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</si>
  <si>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</si>
  <si>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</si>
  <si>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</si>
  <si>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</si>
  <si>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</si>
  <si>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</si>
  <si>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</si>
  <si>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</si>
  <si>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</si>
  <si>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</si>
  <si>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</si>
  <si>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</si>
  <si>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</si>
  <si>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</si>
  <si>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</si>
  <si>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</si>
  <si>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</si>
  <si>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</si>
  <si>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</si>
  <si>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</si>
  <si>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</si>
  <si>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</si>
  <si>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</si>
  <si>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</si>
  <si>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</si>
  <si>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</si>
  <si>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</si>
  <si>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</si>
  <si>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</si>
  <si>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</si>
  <si>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</si>
  <si>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</si>
  <si>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</si>
  <si>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</si>
  <si>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</si>
  <si>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</si>
  <si>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</si>
  <si>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</si>
  <si>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</si>
  <si>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</si>
  <si>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</si>
  <si>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</si>
  <si>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</si>
  <si>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</si>
  <si>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</si>
  <si>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</si>
  <si>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</si>
  <si>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</si>
  <si>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</si>
  <si>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</si>
  <si>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</si>
  <si>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</si>
  <si>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</si>
  <si>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</si>
  <si>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</si>
  <si>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</si>
  <si>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</si>
  <si>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</si>
  <si>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</si>
  <si>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</si>
  <si>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</si>
  <si>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</si>
  <si>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</si>
  <si>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</si>
  <si>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</si>
  <si>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</si>
  <si>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</si>
  <si>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</si>
  <si>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</si>
  <si>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</si>
  <si>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</si>
  <si>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</si>
  <si>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</si>
  <si>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</si>
  <si>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</si>
  <si>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</si>
  <si>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</si>
  <si>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</si>
  <si>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</si>
  <si>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</si>
  <si>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</si>
  <si>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</si>
  <si>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</si>
  <si>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</si>
  <si>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</si>
  <si>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</si>
  <si>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</si>
  <si>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</si>
  <si>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</si>
  <si>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</si>
  <si>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</si>
  <si>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</si>
  <si>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</si>
  <si>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</si>
  <si>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</si>
  <si>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</si>
  <si>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</si>
  <si>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</si>
  <si>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</si>
  <si>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</si>
  <si>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</si>
  <si>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</si>
  <si>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</si>
  <si>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</si>
  <si>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</si>
  <si>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</si>
  <si>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</si>
  <si>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</si>
  <si>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</si>
  <si>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</si>
  <si>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</si>
  <si>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</si>
  <si>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</si>
  <si>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</si>
  <si>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</si>
  <si>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</si>
  <si>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</si>
  <si>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</si>
  <si>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</si>
  <si>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</si>
  <si>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</si>
  <si>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</si>
  <si>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</si>
  <si>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</si>
  <si>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</si>
  <si>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</si>
  <si>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</si>
  <si>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</si>
  <si>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</si>
  <si>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</si>
  <si>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</si>
  <si>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</si>
  <si>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</si>
  <si>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</si>
  <si>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</si>
  <si>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</si>
  <si>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</si>
  <si>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</si>
  <si>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</si>
  <si>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</si>
  <si>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</si>
  <si>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</si>
  <si>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</si>
  <si>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</si>
  <si>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</si>
  <si>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</si>
  <si>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</si>
  <si>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</si>
  <si>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</si>
  <si>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</si>
  <si>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</si>
  <si>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</si>
  <si>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</si>
  <si>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</si>
  <si>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</si>
  <si>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</si>
  <si>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</si>
  <si>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</si>
  <si>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</si>
  <si>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</si>
  <si>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</si>
  <si>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</si>
  <si>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</si>
  <si>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</si>
  <si>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</si>
  <si>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</si>
  <si>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</si>
  <si>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</si>
  <si>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</si>
  <si>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</si>
  <si>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</si>
  <si>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</si>
  <si>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</si>
  <si>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</si>
  <si>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</si>
  <si>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</si>
  <si>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</si>
  <si>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</si>
  <si>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</si>
  <si>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</si>
  <si>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</si>
  <si>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</si>
  <si>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</si>
  <si>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</si>
  <si>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</si>
  <si>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</si>
  <si>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</si>
  <si>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</si>
  <si>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</si>
  <si>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</si>
  <si>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</si>
  <si>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</si>
  <si>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</si>
  <si>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</si>
  <si>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</si>
  <si>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</si>
  <si>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</si>
  <si>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</si>
  <si>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</si>
  <si>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</si>
  <si>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</si>
  <si>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</si>
  <si>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</si>
  <si>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</si>
  <si>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</si>
  <si>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</si>
  <si>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</si>
  <si>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</si>
  <si>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</si>
  <si>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</si>
  <si>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</si>
  <si>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</si>
  <si>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</si>
  <si>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</si>
  <si>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</si>
  <si>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</si>
  <si>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</si>
  <si>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</si>
  <si>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</si>
  <si>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</si>
  <si>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</si>
  <si>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</si>
  <si>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</si>
  <si>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</si>
  <si>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</si>
  <si>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</si>
  <si>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</si>
  <si>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</si>
  <si>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</si>
  <si>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</si>
  <si>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</si>
  <si>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</si>
  <si>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</si>
  <si>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</si>
  <si>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</si>
  <si>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</si>
  <si>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</si>
  <si>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</si>
  <si>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</si>
  <si>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</si>
  <si>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</si>
  <si>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</si>
  <si>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</si>
  <si>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</si>
  <si>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</si>
  <si>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</si>
  <si>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</si>
  <si>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</si>
  <si>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</si>
  <si>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</si>
  <si>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</si>
  <si>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</si>
  <si>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</si>
  <si>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</si>
  <si>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</si>
  <si>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</si>
  <si>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</si>
  <si>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</si>
  <si>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</si>
  <si>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</si>
  <si>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</si>
  <si>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</si>
  <si>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</si>
  <si>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</si>
  <si>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</si>
  <si>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</si>
  <si>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</si>
  <si>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</si>
  <si>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</si>
  <si>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</si>
  <si>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</si>
  <si>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</si>
  <si>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</si>
  <si>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</si>
  <si>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</si>
  <si>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</si>
  <si>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</si>
  <si>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</si>
  <si>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</si>
  <si>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</si>
  <si>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</si>
  <si>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</si>
  <si>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</si>
  <si>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</si>
  <si>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</si>
  <si>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</si>
  <si>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</si>
  <si>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</si>
  <si>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</si>
  <si>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</si>
  <si>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</si>
  <si>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</si>
  <si>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</si>
  <si>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</si>
  <si>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</si>
  <si>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</si>
  <si>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</si>
  <si>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</si>
  <si>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</si>
  <si>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</si>
  <si>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</si>
  <si>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</si>
  <si>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</si>
  <si>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</si>
  <si>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</si>
  <si>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</si>
  <si>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</si>
  <si>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</si>
  <si>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</si>
  <si>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</si>
  <si>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</si>
  <si>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</si>
  <si>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</si>
  <si>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</si>
  <si>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</si>
  <si>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</si>
  <si>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</si>
  <si>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</si>
  <si>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</si>
  <si>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</si>
  <si>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</si>
  <si>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</si>
  <si>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</si>
  <si>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</si>
  <si>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</si>
  <si>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</si>
  <si>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</si>
  <si>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</si>
  <si>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</si>
  <si>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</si>
  <si>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</si>
  <si>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</si>
  <si>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</si>
  <si>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</si>
  <si>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</si>
  <si>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</si>
  <si>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</si>
  <si>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</si>
  <si>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</si>
  <si>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</si>
  <si>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</si>
  <si>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</si>
  <si>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</si>
  <si>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</si>
  <si>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</si>
  <si>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</si>
  <si>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</si>
  <si>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</si>
  <si>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</si>
  <si>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</si>
  <si>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</si>
  <si>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</si>
  <si>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</si>
  <si>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</si>
  <si>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</si>
  <si>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</si>
  <si>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</si>
  <si>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</si>
  <si>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</si>
  <si>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</si>
  <si>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</si>
  <si>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</si>
  <si>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</si>
  <si>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</si>
  <si>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</si>
  <si>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</si>
  <si>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</si>
  <si>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</si>
  <si>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</si>
  <si>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</si>
  <si>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</si>
  <si>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</si>
  <si>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</si>
  <si>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</si>
  <si>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</si>
  <si>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</si>
  <si>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</si>
  <si>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</si>
  <si>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</si>
  <si>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</si>
  <si>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</si>
  <si>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</si>
  <si>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</si>
  <si>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</si>
  <si>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</si>
  <si>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</si>
  <si>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</si>
  <si>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</si>
  <si>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</si>
  <si>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</si>
  <si>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</si>
  <si>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</si>
  <si>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</si>
  <si>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</si>
  <si>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</si>
  <si>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</si>
  <si>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</si>
  <si>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</si>
  <si>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</si>
  <si>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</si>
  <si>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</si>
  <si>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</si>
  <si>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</si>
  <si>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</si>
  <si>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</si>
  <si>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</si>
  <si>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</si>
  <si>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</si>
  <si>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</si>
  <si>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</si>
  <si>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</si>
  <si>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</si>
  <si>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</si>
  <si>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</si>
  <si>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</si>
  <si>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</si>
  <si>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</si>
  <si>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</si>
  <si>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</si>
  <si>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</si>
  <si>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</si>
  <si>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</si>
  <si>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</si>
  <si>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</si>
  <si>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</si>
  <si>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</si>
  <si>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</si>
  <si>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</si>
  <si>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</si>
  <si>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</si>
  <si>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</si>
  <si>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</si>
  <si>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</si>
  <si>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</si>
  <si>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</si>
  <si>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</si>
  <si>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</si>
  <si>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</si>
  <si>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</si>
  <si>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</si>
  <si>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</si>
  <si>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</si>
  <si>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</si>
  <si>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</si>
  <si>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</si>
  <si>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</si>
  <si>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</si>
  <si>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</si>
  <si>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</si>
  <si>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</si>
  <si>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</si>
  <si>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</si>
  <si>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</si>
  <si>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</si>
  <si>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</si>
  <si>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</si>
  <si>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</si>
  <si>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</si>
  <si>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</si>
  <si>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</si>
  <si>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</si>
  <si>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</si>
  <si>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</si>
  <si>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</si>
  <si>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</si>
  <si>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</si>
  <si>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</si>
  <si>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</si>
  <si>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</si>
  <si>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</si>
  <si>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</si>
  <si>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</si>
  <si>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</si>
  <si>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</si>
  <si>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</si>
  <si>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</si>
  <si>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</si>
  <si>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</si>
  <si>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</si>
  <si>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</si>
  <si>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</si>
  <si>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</si>
  <si>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</si>
  <si>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</si>
  <si>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</si>
  <si>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</si>
  <si>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</si>
  <si>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</si>
  <si>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</si>
  <si>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</si>
  <si>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</si>
  <si>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</si>
  <si>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</si>
  <si>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</si>
  <si>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</si>
  <si>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</si>
  <si>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</si>
  <si>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</si>
  <si>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</si>
  <si>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</si>
  <si>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</si>
  <si>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</si>
  <si>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</si>
  <si>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</si>
  <si>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</si>
  <si>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</si>
  <si>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</si>
  <si>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</si>
  <si>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</si>
  <si>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</si>
  <si>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</si>
  <si>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</si>
  <si>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</si>
  <si>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</si>
  <si>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</si>
  <si>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</si>
  <si>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</si>
  <si>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</si>
  <si>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</si>
  <si>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</si>
  <si>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</si>
  <si>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</si>
  <si>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</si>
  <si>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</si>
  <si>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</si>
  <si>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</si>
  <si>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</si>
  <si>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</si>
  <si>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</si>
  <si>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</si>
  <si>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</si>
  <si>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</si>
  <si>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</si>
  <si>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</si>
  <si>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</si>
  <si>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</si>
  <si>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</si>
  <si>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</si>
  <si>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</si>
  <si>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</si>
  <si>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</si>
  <si>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</si>
  <si>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</si>
  <si>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</si>
  <si>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</si>
  <si>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</si>
  <si>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</si>
  <si>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</si>
  <si>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</si>
  <si>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</si>
  <si>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</si>
  <si>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</si>
  <si>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</si>
  <si>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</si>
  <si>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</si>
  <si>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</si>
  <si>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</si>
  <si>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</si>
  <si>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</si>
  <si>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</si>
  <si>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</si>
  <si>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</si>
  <si>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</si>
  <si>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</si>
  <si>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</si>
  <si>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</si>
  <si>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</si>
  <si>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</si>
  <si>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</si>
  <si>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</si>
  <si>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</si>
  <si>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</si>
  <si>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</si>
  <si>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</si>
  <si>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</si>
  <si>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</si>
  <si>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</si>
  <si>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</si>
  <si>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</si>
  <si>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</si>
  <si>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</si>
  <si>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</si>
  <si>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</si>
  <si>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</si>
  <si>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</si>
  <si>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</si>
  <si>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</si>
  <si>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</si>
  <si>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</si>
  <si>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</si>
  <si>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</si>
  <si>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</si>
  <si>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</si>
  <si>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</si>
  <si>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</si>
  <si>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</si>
  <si>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</si>
  <si>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</si>
  <si>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</si>
  <si>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</si>
  <si>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</si>
  <si>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</si>
  <si>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</si>
  <si>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</si>
  <si>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</si>
  <si>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</si>
  <si>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</si>
  <si>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</si>
  <si>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</si>
  <si>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</si>
  <si>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</si>
  <si>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</si>
  <si>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</si>
  <si>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</si>
  <si>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</si>
  <si>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</si>
  <si>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</si>
  <si>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</si>
  <si>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</si>
  <si>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</si>
  <si>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</si>
  <si>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</si>
  <si>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</si>
  <si>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</si>
  <si>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</si>
  <si>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</si>
  <si>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</si>
  <si>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</si>
  <si>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</si>
  <si>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</si>
  <si>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</si>
  <si>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</si>
  <si>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</si>
  <si>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</si>
  <si>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</si>
  <si>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</si>
  <si>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</si>
  <si>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</si>
  <si>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</si>
  <si>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</si>
  <si>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</si>
  <si>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</si>
  <si>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</si>
  <si>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</si>
  <si>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</si>
  <si>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</si>
  <si>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</si>
  <si>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</si>
  <si>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</si>
  <si>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</si>
  <si>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</si>
  <si>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</si>
  <si>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</si>
  <si>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</si>
  <si>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</si>
  <si>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</si>
  <si>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</si>
  <si>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</si>
  <si>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</si>
  <si>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</si>
  <si>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</si>
  <si>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</si>
  <si>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</si>
  <si>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</si>
  <si>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</si>
  <si>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</si>
  <si>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</si>
  <si>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</si>
  <si>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</si>
  <si>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</si>
  <si>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</si>
  <si>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</si>
  <si>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</si>
  <si>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</si>
  <si>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</si>
  <si>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</si>
  <si>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</si>
  <si>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</si>
  <si>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</si>
  <si>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</si>
  <si>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</si>
  <si>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</si>
  <si>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</si>
  <si>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</si>
  <si>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</si>
  <si>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</si>
  <si>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</si>
  <si>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</si>
  <si>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</si>
  <si>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</si>
  <si>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</si>
  <si>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</si>
  <si>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</si>
  <si>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</si>
  <si>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</si>
  <si>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</si>
  <si>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</si>
  <si>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</si>
  <si>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</si>
  <si>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</si>
  <si>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</si>
  <si>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</si>
  <si>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</si>
  <si>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</si>
  <si>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</si>
  <si>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</si>
  <si>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</si>
  <si>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</si>
  <si>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</si>
  <si>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</si>
  <si>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</si>
  <si>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</si>
  <si>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</si>
  <si>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</si>
  <si>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</si>
  <si>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</si>
  <si>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</si>
  <si>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</si>
  <si>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</si>
  <si>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</si>
  <si>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</si>
  <si>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</si>
  <si>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</si>
  <si>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</si>
  <si>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</si>
  <si>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</si>
  <si>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</si>
  <si>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</si>
  <si>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</si>
  <si>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</si>
  <si>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</si>
  <si>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</si>
  <si>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</si>
  <si>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</si>
  <si>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</si>
  <si>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</si>
  <si>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</si>
  <si>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</si>
  <si>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</si>
  <si>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</si>
  <si>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</si>
  <si>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</si>
  <si>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</si>
  <si>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</si>
  <si>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</si>
  <si>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</si>
  <si>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</si>
  <si>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</si>
  <si>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</si>
  <si>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</si>
  <si>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</si>
  <si>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</si>
  <si>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</si>
  <si>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</si>
  <si>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</si>
  <si>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</si>
  <si>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</si>
  <si>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</si>
  <si>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</si>
  <si>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</si>
  <si>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</si>
  <si>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</si>
  <si>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</si>
  <si>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</si>
  <si>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</si>
  <si>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</si>
  <si>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</si>
  <si>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</si>
  <si>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</si>
  <si>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</si>
  <si>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</si>
  <si>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</si>
  <si>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</si>
  <si>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</si>
  <si>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</si>
  <si>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</si>
  <si>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</si>
  <si>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</si>
  <si>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</si>
  <si>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</si>
  <si>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</si>
  <si>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</si>
  <si>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</si>
  <si>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</si>
  <si>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</si>
  <si>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</si>
  <si>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</si>
  <si>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</si>
  <si>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</si>
  <si>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</si>
  <si>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</si>
  <si>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</si>
  <si>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</si>
  <si>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</si>
  <si>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</si>
  <si>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</si>
  <si>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</si>
  <si>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</si>
  <si>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</si>
  <si>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</si>
  <si>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</si>
  <si>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</si>
  <si>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</si>
  <si>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</si>
  <si>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</si>
  <si>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</si>
  <si>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</si>
  <si>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</si>
  <si>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</si>
  <si>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</si>
  <si>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</si>
  <si>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</si>
  <si>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</si>
  <si>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</si>
  <si>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</si>
  <si>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</si>
  <si>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</si>
  <si>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</si>
  <si>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</si>
  <si>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</si>
  <si>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</si>
  <si>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</si>
  <si>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</si>
  <si>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</si>
  <si>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</si>
  <si>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</si>
  <si>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</si>
  <si>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</si>
  <si>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</si>
  <si>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</si>
  <si>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</si>
  <si>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</si>
  <si>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</si>
  <si>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</si>
  <si>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</si>
  <si>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</si>
  <si>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</si>
  <si>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</si>
  <si>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</si>
  <si>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</si>
  <si>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</si>
  <si>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</si>
  <si>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</si>
  <si>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</si>
  <si>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</si>
  <si>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</si>
  <si>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</si>
  <si>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</si>
  <si>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</si>
  <si>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</si>
  <si>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</si>
  <si>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</si>
  <si>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</si>
  <si>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</si>
  <si>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</si>
  <si>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</si>
  <si>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</si>
  <si>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</si>
  <si>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</si>
  <si>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</si>
  <si>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</si>
  <si>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</si>
  <si>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</si>
  <si>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</si>
  <si>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</si>
  <si>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</si>
  <si>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</si>
  <si>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</si>
  <si>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</si>
  <si>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</si>
  <si>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</si>
  <si>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</si>
  <si>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</si>
  <si>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</si>
  <si>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</si>
  <si>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</si>
  <si>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</si>
  <si>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</si>
  <si>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</si>
  <si>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</si>
  <si>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</si>
  <si>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</si>
  <si>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</si>
  <si>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</si>
  <si>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</si>
  <si>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</si>
  <si>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</si>
  <si>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</si>
  <si>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</si>
  <si>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</si>
  <si>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</si>
  <si>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</si>
  <si>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</si>
  <si>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</si>
  <si>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</si>
  <si>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</si>
  <si>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</si>
  <si>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</si>
  <si>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</si>
  <si>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</si>
  <si>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</si>
  <si>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</si>
  <si>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</si>
  <si>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</si>
  <si>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</si>
  <si>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</si>
  <si>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</si>
  <si>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</si>
  <si>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</si>
  <si>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</si>
  <si>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</si>
  <si>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</si>
  <si>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</si>
  <si>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</si>
  <si>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</si>
  <si>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</si>
  <si>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</si>
  <si>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</si>
  <si>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</si>
  <si>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</si>
  <si>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</si>
  <si>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</si>
  <si>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</si>
  <si>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</si>
  <si>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</si>
  <si>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</si>
  <si>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</si>
  <si>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</si>
  <si>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</si>
  <si>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</si>
  <si>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</si>
  <si>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</si>
  <si>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</si>
  <si>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</si>
  <si>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</si>
  <si>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</si>
  <si>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</si>
  <si>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</si>
  <si>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</si>
  <si>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</si>
  <si>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</si>
  <si>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</si>
  <si>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</si>
  <si>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</si>
  <si>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</si>
  <si>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</si>
  <si>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</si>
  <si>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</si>
  <si>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</si>
  <si>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</si>
  <si>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</si>
  <si>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</si>
  <si>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</si>
  <si>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</si>
  <si>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</si>
  <si>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</si>
  <si>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</si>
  <si>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</si>
  <si>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</si>
  <si>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</si>
  <si>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</si>
  <si>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</si>
  <si>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</si>
  <si>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</si>
  <si>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</si>
  <si>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</si>
  <si>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</si>
  <si>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</si>
  <si>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</si>
  <si>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</si>
  <si>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</si>
  <si>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</si>
  <si>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</si>
  <si>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</si>
  <si>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</si>
  <si>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</si>
  <si>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</si>
  <si>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</si>
  <si>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</si>
  <si>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</si>
  <si>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</si>
  <si>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</si>
  <si>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</si>
  <si>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</si>
  <si>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</si>
  <si>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</si>
  <si>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</si>
  <si>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</si>
  <si>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</si>
  <si>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</si>
  <si>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</si>
  <si>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</si>
  <si>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</si>
  <si>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</si>
  <si>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</si>
  <si>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</si>
  <si>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</si>
  <si>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</si>
  <si>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</si>
  <si>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</si>
  <si>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</si>
  <si>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</si>
  <si>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</si>
  <si>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</si>
  <si>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</si>
  <si>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</si>
  <si>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</si>
  <si>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</si>
  <si>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</si>
  <si>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</si>
  <si>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</si>
  <si>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</si>
  <si>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</si>
  <si>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</si>
  <si>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</si>
  <si>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</si>
  <si>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</si>
  <si>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</si>
  <si>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</si>
  <si>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</si>
  <si>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</si>
  <si>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</si>
  <si>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</si>
  <si>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</si>
  <si>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</si>
  <si>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</si>
  <si>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</si>
  <si>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</si>
  <si>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</si>
  <si>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</si>
  <si>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</si>
  <si>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</si>
  <si>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</si>
  <si>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</si>
  <si>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</si>
  <si>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</si>
  <si>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</si>
  <si>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</si>
  <si>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</si>
  <si>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</si>
  <si>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</si>
  <si>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</si>
  <si>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</si>
  <si>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</si>
  <si>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</si>
  <si>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</si>
  <si>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</si>
  <si>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</si>
  <si>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</si>
  <si>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</si>
  <si>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</si>
  <si>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</si>
  <si>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</si>
  <si>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</si>
  <si>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</si>
  <si>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</si>
  <si>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</si>
  <si>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</si>
  <si>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</si>
  <si>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</si>
  <si>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</si>
  <si>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</si>
  <si>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</si>
  <si>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</si>
  <si>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</si>
  <si>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</si>
  <si>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</si>
  <si>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</si>
  <si>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</si>
  <si>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</si>
  <si>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</si>
  <si>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</si>
  <si>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</si>
  <si>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</si>
  <si>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</si>
  <si>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</si>
  <si>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</si>
  <si>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</si>
  <si>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</si>
  <si>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</si>
  <si>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</si>
  <si>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</si>
  <si>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</si>
  <si>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</si>
  <si>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</si>
  <si>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</si>
  <si>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</si>
  <si>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</si>
  <si>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</si>
  <si>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</si>
  <si>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</si>
  <si>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</si>
  <si>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</si>
  <si>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</si>
  <si>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</si>
  <si>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</si>
  <si>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</si>
  <si>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</si>
  <si>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</si>
  <si>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</si>
  <si>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</si>
  <si>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</si>
  <si>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</si>
  <si>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</si>
  <si>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</si>
  <si>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</si>
  <si>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</si>
  <si>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</si>
  <si>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</si>
  <si>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</si>
  <si>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</si>
  <si>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</si>
  <si>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</si>
  <si>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</si>
  <si>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</si>
  <si>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</si>
  <si>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</si>
  <si>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</si>
  <si>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</si>
  <si>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</si>
  <si>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</si>
  <si>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</si>
  <si>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</si>
  <si>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</si>
  <si>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</si>
  <si>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</si>
  <si>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</si>
  <si>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</si>
  <si>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</si>
  <si>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</si>
  <si>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</si>
  <si>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</si>
  <si>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</si>
  <si>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</si>
  <si>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</si>
  <si>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</si>
  <si>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</si>
  <si>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</si>
  <si>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</si>
  <si>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</si>
  <si>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</si>
  <si>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</si>
  <si>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</si>
  <si>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</si>
  <si>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</si>
  <si>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</si>
  <si>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</si>
  <si>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</si>
  <si>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</si>
  <si>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</si>
  <si>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</si>
  <si>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</si>
  <si>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</si>
  <si>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</si>
  <si>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</si>
  <si>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</si>
  <si>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</si>
  <si>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</si>
  <si>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</si>
  <si>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</si>
  <si>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</si>
  <si>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</si>
  <si>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</si>
  <si>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</si>
  <si>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</si>
  <si>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</si>
  <si>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</si>
  <si>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</si>
  <si>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</si>
  <si>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</si>
  <si>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</si>
  <si>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</si>
  <si>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</si>
  <si>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</si>
  <si>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</si>
  <si>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</si>
  <si>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</si>
  <si>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</si>
  <si>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</si>
  <si>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</si>
  <si>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</si>
  <si>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</si>
  <si>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</si>
  <si>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</si>
  <si>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</si>
  <si>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</si>
  <si>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</si>
  <si>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</si>
  <si>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</si>
  <si>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</si>
  <si>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</si>
  <si>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</si>
  <si>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</si>
  <si>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</si>
  <si>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</si>
  <si>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</si>
  <si>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</si>
  <si>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</si>
  <si>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</si>
  <si>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</si>
  <si>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</si>
  <si>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</si>
  <si>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</si>
  <si>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</si>
  <si>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</si>
  <si>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</si>
  <si>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</si>
  <si>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</si>
  <si>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</si>
  <si>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</si>
  <si>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</si>
  <si>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</si>
  <si>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</si>
  <si>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</si>
  <si>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</si>
  <si>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</si>
  <si>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</si>
  <si>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</si>
  <si>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</si>
  <si>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</si>
  <si>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</si>
  <si>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</si>
  <si>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</si>
  <si>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</si>
  <si>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</si>
  <si>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</si>
  <si>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</si>
  <si>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</si>
  <si>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</si>
  <si>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</si>
  <si>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</si>
  <si>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</si>
  <si>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</si>
  <si>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</si>
  <si>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</si>
  <si>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</si>
  <si>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</si>
  <si>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</si>
  <si>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</si>
  <si>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</si>
  <si>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</si>
  <si>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</si>
  <si>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</si>
  <si>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</si>
  <si>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</si>
  <si>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</si>
  <si>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</si>
  <si>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</si>
  <si>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</si>
  <si>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</si>
  <si>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</si>
  <si>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</si>
  <si>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</si>
  <si>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</si>
  <si>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</si>
  <si>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</si>
  <si>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</si>
  <si>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</si>
  <si>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</si>
  <si>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</si>
  <si>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</si>
  <si>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</si>
  <si>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</si>
  <si>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</si>
  <si>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</si>
  <si>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</si>
  <si>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</si>
  <si>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</si>
  <si>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</si>
  <si>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</si>
  <si>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</si>
  <si>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</si>
  <si>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</si>
  <si>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</si>
  <si>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</si>
  <si>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</si>
  <si>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</si>
  <si>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</si>
  <si>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</si>
  <si>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</si>
  <si>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</si>
  <si>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</si>
  <si>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</si>
  <si>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</si>
  <si>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</si>
  <si>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</si>
  <si>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</si>
  <si>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</si>
  <si>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</si>
  <si>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</si>
  <si>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</si>
  <si>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</si>
  <si>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</si>
  <si>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</si>
  <si>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</si>
  <si>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</si>
  <si>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</si>
  <si>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</si>
  <si>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</si>
  <si>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</si>
  <si>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</si>
  <si>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</si>
  <si>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</si>
  <si>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</si>
  <si>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</si>
  <si>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</si>
  <si>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</si>
  <si>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</si>
  <si>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</si>
  <si>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</si>
  <si>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</si>
  <si>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</si>
  <si>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</si>
  <si>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</si>
  <si>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</si>
  <si>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</si>
  <si>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</si>
  <si>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</si>
  <si>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</si>
  <si>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</si>
  <si>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</si>
  <si>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</si>
  <si>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</si>
  <si>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</si>
  <si>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</si>
  <si>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</si>
  <si>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</si>
  <si>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</si>
  <si>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</si>
  <si>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</si>
  <si>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</si>
  <si>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</si>
  <si>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</si>
  <si>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</si>
  <si>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</si>
  <si>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</si>
  <si>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</si>
  <si>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</si>
  <si>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</si>
  <si>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</si>
  <si>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</si>
  <si>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</si>
  <si>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</si>
  <si>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</si>
  <si>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</si>
  <si>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</si>
  <si>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</si>
  <si>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</si>
  <si>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</si>
  <si>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</si>
  <si>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</si>
  <si>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</si>
  <si>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</si>
  <si>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</si>
  <si>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</si>
  <si>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</si>
  <si>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</si>
  <si>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</si>
  <si>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</si>
  <si>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</si>
  <si>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</si>
  <si>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</si>
  <si>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</si>
  <si>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</si>
  <si>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</si>
  <si>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</si>
  <si>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</si>
  <si>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</si>
  <si>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</si>
  <si>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</si>
  <si>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</si>
  <si>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</si>
  <si>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</si>
  <si>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</si>
  <si>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</si>
  <si>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</si>
  <si>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</si>
  <si>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</si>
  <si>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</si>
  <si>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</si>
  <si>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</si>
  <si>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</si>
  <si>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</si>
  <si>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</si>
  <si>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</si>
  <si>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</si>
  <si>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</si>
  <si>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</si>
  <si>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</si>
  <si>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</si>
  <si>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</si>
  <si>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</si>
  <si>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</si>
  <si>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</si>
  <si>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</si>
  <si>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</si>
  <si>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</si>
  <si>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</si>
  <si>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</si>
  <si>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</si>
  <si>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</si>
  <si>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</si>
  <si>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</si>
  <si>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</si>
  <si>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</si>
  <si>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</si>
  <si>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</si>
  <si>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</si>
  <si>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</si>
  <si>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</si>
  <si>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</si>
  <si>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</si>
  <si>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</si>
  <si>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</si>
  <si>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</si>
  <si>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</si>
  <si>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</si>
  <si>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</si>
  <si>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</si>
  <si>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</si>
  <si>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</si>
  <si>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</si>
  <si>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</si>
  <si>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</si>
  <si>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</si>
  <si>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</si>
  <si>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</si>
  <si>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</si>
  <si>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</si>
  <si>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</si>
  <si>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</si>
  <si>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</si>
  <si>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</si>
  <si>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</si>
  <si>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</si>
  <si>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</si>
  <si>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</si>
  <si>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</si>
  <si>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</si>
  <si>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</si>
  <si>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</si>
  <si>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</si>
  <si>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</si>
  <si>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</si>
  <si>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</si>
  <si>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</si>
  <si>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</si>
  <si>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</si>
  <si>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</si>
  <si>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</si>
  <si>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</si>
  <si>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</si>
  <si>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</si>
  <si>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</si>
  <si>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</si>
  <si>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</si>
  <si>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</si>
  <si>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</si>
  <si>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</si>
  <si>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</si>
  <si>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</si>
  <si>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</si>
  <si>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</si>
  <si>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</si>
  <si>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</si>
  <si>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</si>
  <si>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</si>
  <si>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</si>
  <si>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</si>
  <si>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</si>
  <si>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</si>
  <si>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</si>
  <si>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</si>
  <si>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</si>
  <si>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</si>
  <si>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</si>
  <si>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</si>
  <si>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</si>
  <si>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</si>
  <si>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</si>
  <si>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</si>
  <si>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</si>
  <si>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</si>
  <si>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</si>
  <si>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</si>
  <si>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</si>
  <si>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</si>
  <si>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</si>
  <si>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</si>
  <si>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</si>
  <si>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</si>
  <si>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</si>
  <si>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</si>
  <si>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</si>
  <si>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</si>
  <si>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</si>
  <si>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</si>
  <si>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</si>
  <si>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</si>
  <si>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</si>
  <si>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</si>
  <si>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</si>
  <si>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</si>
  <si>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</si>
  <si>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</si>
  <si>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</si>
  <si>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</si>
  <si>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</si>
  <si>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</si>
  <si>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</si>
  <si>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</si>
  <si>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</si>
  <si>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</si>
  <si>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</si>
  <si>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</si>
  <si>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</si>
  <si>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</si>
  <si>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</si>
  <si>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</si>
  <si>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</si>
  <si>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</si>
  <si>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</si>
  <si>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</si>
  <si>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</si>
  <si>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</si>
  <si>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</si>
  <si>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</si>
  <si>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</si>
  <si>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</si>
  <si>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</si>
  <si>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</si>
  <si>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</si>
  <si>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</si>
  <si>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</si>
  <si>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</si>
  <si>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</si>
  <si>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</si>
  <si>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</si>
  <si>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</si>
  <si>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</si>
  <si>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</si>
  <si>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</si>
  <si>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</si>
  <si>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</si>
  <si>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</si>
  <si>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</si>
  <si>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</si>
  <si>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</si>
  <si>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</si>
  <si>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</si>
  <si>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</si>
  <si>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</si>
  <si>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</si>
  <si>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</si>
  <si>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</si>
  <si>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</si>
  <si>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</si>
  <si>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</si>
  <si>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</si>
  <si>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</si>
  <si>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</si>
  <si>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</si>
  <si>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</si>
  <si>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</si>
  <si>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</si>
  <si>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</si>
  <si>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</si>
  <si>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</si>
  <si>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</si>
  <si>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</si>
  <si>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</si>
  <si>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</si>
  <si>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</si>
  <si>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</si>
  <si>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</si>
  <si>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</si>
  <si>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</si>
  <si>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</si>
  <si>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</si>
  <si>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</si>
  <si>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</si>
  <si>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</si>
  <si>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</si>
  <si>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</si>
  <si>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</si>
  <si>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</si>
  <si>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</si>
  <si>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</si>
  <si>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</si>
  <si>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</si>
  <si>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</si>
  <si>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</si>
  <si>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</si>
  <si>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</si>
  <si>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</si>
  <si>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</si>
  <si>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</si>
  <si>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</si>
  <si>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</si>
  <si>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</si>
  <si>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</si>
  <si>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</si>
  <si>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</si>
  <si>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</si>
  <si>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</si>
  <si>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</si>
  <si>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</si>
  <si>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</si>
  <si>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</si>
  <si>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</si>
  <si>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</si>
  <si>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</si>
  <si>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</si>
  <si>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</si>
  <si>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</si>
  <si>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</si>
  <si>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</si>
  <si>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</si>
  <si>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</si>
  <si>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</si>
  <si>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</si>
  <si>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</si>
  <si>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</si>
  <si>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</si>
  <si>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</si>
  <si>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</si>
  <si>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</si>
  <si>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</si>
  <si>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</si>
  <si>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</si>
  <si>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</si>
  <si>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</si>
  <si>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</si>
  <si>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</si>
  <si>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</si>
  <si>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</si>
  <si>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</si>
  <si>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</si>
  <si>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</si>
  <si>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</si>
  <si>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</si>
  <si>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</si>
  <si>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</si>
  <si>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</si>
  <si>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</si>
  <si>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</si>
  <si>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</si>
  <si>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</si>
  <si>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</si>
  <si>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</si>
  <si>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</si>
  <si>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</si>
  <si>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</si>
  <si>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</si>
  <si>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</si>
  <si>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</si>
  <si>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</si>
  <si>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</si>
  <si>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</si>
  <si>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</si>
  <si>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</si>
  <si>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</si>
  <si>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</si>
  <si>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</si>
  <si>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</si>
  <si>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</si>
  <si>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</si>
  <si>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</si>
  <si>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</si>
  <si>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</si>
  <si>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</si>
  <si>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</si>
  <si>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</si>
  <si>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</si>
  <si>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</si>
  <si>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</si>
  <si>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</si>
  <si>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</si>
  <si>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</si>
  <si>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</si>
  <si>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</si>
  <si>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</si>
  <si>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</si>
  <si>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</si>
  <si>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</si>
  <si>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</si>
  <si>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</si>
  <si>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</si>
  <si>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</si>
  <si>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</si>
  <si>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</si>
  <si>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</si>
  <si>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</si>
  <si>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</si>
  <si>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</si>
  <si>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</si>
  <si>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</si>
  <si>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</si>
  <si>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</si>
  <si>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</si>
  <si>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</si>
  <si>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</si>
  <si>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</si>
  <si>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</si>
  <si>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</si>
  <si>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</si>
  <si>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</si>
  <si>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</si>
  <si>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</si>
  <si>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</si>
  <si>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</si>
  <si>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</si>
  <si>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</si>
  <si>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</si>
  <si>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</si>
  <si>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</si>
  <si>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</si>
  <si>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</si>
  <si>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</si>
  <si>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</si>
  <si>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</si>
  <si>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</si>
  <si>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</si>
  <si>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</si>
  <si>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</si>
  <si>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</si>
  <si>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</si>
  <si>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</si>
  <si>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</si>
  <si>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</si>
  <si>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</si>
  <si>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</si>
  <si>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</si>
  <si>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</si>
  <si>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</si>
  <si>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</si>
  <si>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</si>
  <si>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</si>
  <si>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</si>
  <si>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</si>
  <si>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</si>
  <si>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</si>
  <si>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</si>
  <si>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</si>
  <si>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</si>
  <si>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</si>
  <si>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</si>
  <si>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</si>
  <si>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</si>
  <si>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</si>
  <si>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</si>
  <si>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</si>
  <si>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</si>
  <si>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</si>
  <si>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</si>
  <si>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</si>
  <si>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</si>
  <si>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</si>
  <si>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</si>
  <si>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</si>
  <si>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</si>
  <si>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</si>
  <si>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</si>
  <si>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</si>
  <si>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</si>
  <si>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</si>
  <si>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</si>
  <si>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</si>
  <si>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</si>
  <si>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</si>
  <si>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</si>
  <si>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</si>
  <si>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</si>
  <si>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</si>
  <si>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</si>
  <si>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</si>
  <si>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</si>
  <si>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</si>
  <si>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</si>
  <si>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</si>
  <si>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</si>
  <si>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</si>
  <si>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</si>
  <si>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</si>
  <si>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</si>
  <si>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</si>
  <si>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</si>
  <si>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</si>
  <si>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</si>
  <si>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</si>
  <si>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</si>
  <si>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</si>
  <si>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</si>
  <si>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</si>
  <si>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</si>
  <si>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</si>
  <si>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</si>
  <si>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</si>
  <si>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</si>
  <si>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</si>
  <si>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</si>
  <si>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</si>
  <si>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</si>
  <si>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</si>
  <si>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</si>
  <si>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</si>
  <si>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</si>
  <si>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</si>
  <si>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</si>
  <si>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</si>
  <si>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</si>
  <si>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</si>
  <si>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</si>
  <si>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</si>
  <si>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</si>
  <si>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</si>
  <si>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</si>
  <si>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</si>
  <si>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</si>
  <si>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</si>
  <si>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</si>
  <si>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</si>
  <si>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</si>
  <si>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</si>
  <si>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</si>
  <si>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</si>
  <si>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</si>
  <si>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</si>
  <si>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</si>
  <si>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</si>
  <si>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</si>
  <si>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</si>
  <si>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</si>
  <si>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</si>
  <si>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</si>
  <si>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</si>
  <si>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</si>
  <si>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</si>
  <si>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</si>
  <si>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</si>
  <si>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</si>
  <si>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</si>
  <si>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</si>
  <si>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</si>
  <si>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</si>
  <si>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</si>
  <si>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</si>
  <si>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</si>
  <si>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</si>
  <si>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</si>
  <si>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</si>
  <si>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</si>
  <si>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</si>
  <si>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</si>
  <si>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</si>
  <si>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</si>
  <si>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</si>
  <si>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</si>
  <si>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</si>
  <si>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</si>
  <si>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</si>
  <si>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</si>
  <si>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</si>
  <si>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</si>
  <si>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</si>
  <si>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</si>
  <si>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</si>
  <si>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</si>
  <si>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</si>
  <si>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</si>
  <si>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</si>
  <si>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</si>
  <si>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</si>
  <si>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</si>
  <si>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</si>
  <si>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</si>
  <si>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</si>
  <si>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</si>
  <si>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</si>
  <si>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</si>
  <si>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</si>
  <si>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</si>
  <si>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</si>
  <si>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</si>
  <si>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</si>
  <si>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</si>
  <si>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</si>
  <si>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</si>
  <si>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</si>
  <si>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</si>
  <si>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</si>
  <si>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</si>
  <si>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</si>
  <si>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</si>
  <si>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</si>
  <si>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</si>
  <si>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</si>
  <si>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</si>
  <si>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</si>
  <si>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</si>
  <si>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</si>
  <si>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</si>
  <si>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</si>
  <si>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</si>
  <si>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</si>
  <si>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</si>
  <si>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</si>
  <si>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</si>
  <si>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</si>
  <si>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</si>
  <si>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</si>
  <si>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</si>
  <si>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</si>
  <si>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</si>
  <si>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</si>
  <si>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</si>
  <si>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</si>
  <si>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</si>
  <si>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</si>
  <si>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</si>
  <si>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</si>
  <si>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</si>
  <si>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</si>
  <si>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</si>
  <si>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</si>
  <si>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</si>
  <si>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</si>
  <si>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</si>
  <si>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</si>
  <si>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</si>
  <si>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</si>
  <si>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</si>
  <si>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</si>
  <si>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</si>
  <si>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</si>
  <si>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</si>
  <si>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</si>
  <si>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</si>
  <si>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</si>
  <si>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</si>
  <si>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</si>
  <si>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</si>
  <si>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</si>
  <si>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</si>
  <si>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</si>
  <si>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</si>
  <si>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</si>
  <si>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</si>
  <si>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</si>
  <si>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</si>
  <si>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</si>
  <si>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</si>
  <si>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</si>
  <si>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</si>
  <si>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</si>
  <si>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</si>
  <si>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</si>
  <si>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</si>
  <si>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</si>
  <si>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</si>
  <si>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</si>
  <si>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</si>
  <si>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</si>
  <si>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</si>
  <si>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</si>
  <si>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</si>
  <si>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</si>
  <si>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</si>
  <si>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</si>
  <si>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</si>
  <si>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</si>
  <si>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</si>
  <si>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</si>
  <si>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</si>
  <si>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</si>
  <si>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</si>
  <si>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</si>
  <si>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</si>
  <si>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</si>
  <si>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</si>
  <si>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</si>
  <si>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</si>
  <si>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</si>
  <si>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</si>
  <si>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</si>
  <si>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</si>
  <si>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</si>
  <si>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</si>
  <si>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</si>
  <si>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</si>
  <si>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</si>
  <si>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</si>
  <si>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</si>
  <si>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</si>
  <si>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</si>
  <si>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</si>
  <si>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</si>
  <si>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</si>
  <si>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</si>
  <si>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</si>
  <si>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</si>
  <si>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</si>
  <si>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</si>
  <si>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</si>
  <si>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</si>
  <si>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</si>
  <si>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</si>
  <si>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</si>
  <si>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</si>
  <si>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</si>
  <si>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</si>
  <si>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</si>
  <si>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</si>
  <si>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</si>
  <si>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</si>
  <si>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</si>
  <si>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</si>
  <si>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</si>
  <si>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</si>
  <si>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</si>
  <si>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</si>
  <si>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</si>
  <si>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</si>
  <si>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</si>
  <si>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</si>
  <si>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</si>
  <si>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</si>
  <si>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</si>
  <si>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</si>
  <si>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</si>
  <si>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</si>
  <si>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</si>
  <si>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</si>
  <si>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</si>
  <si>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</si>
  <si>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</si>
  <si>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</si>
  <si>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</si>
  <si>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</si>
  <si>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</si>
  <si>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</si>
  <si>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</si>
  <si>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</si>
  <si>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</si>
  <si>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</si>
  <si>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</si>
  <si>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</si>
  <si>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</si>
  <si>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</si>
  <si>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</si>
  <si>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</si>
  <si>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</si>
  <si>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</si>
  <si>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</si>
  <si>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</si>
  <si>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</si>
  <si>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</si>
  <si>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</si>
  <si>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</si>
  <si>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</si>
  <si>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</si>
  <si>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</si>
  <si>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</si>
  <si>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</si>
  <si>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</si>
  <si>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</si>
  <si>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</si>
  <si>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</si>
  <si>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</si>
  <si>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</si>
  <si>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</si>
  <si>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</si>
  <si>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</si>
  <si>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</si>
  <si>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</si>
  <si>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</si>
  <si>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</si>
  <si>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</si>
  <si>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</si>
  <si>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</si>
  <si>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</si>
  <si>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</si>
  <si>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</si>
  <si>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</si>
  <si>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</si>
  <si>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</si>
  <si>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</si>
  <si>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</si>
  <si>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</si>
  <si>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</si>
  <si>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</si>
  <si>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</si>
  <si>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</si>
  <si>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</si>
  <si>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</si>
  <si>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</si>
  <si>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</si>
  <si>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</si>
  <si>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</si>
  <si>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</si>
  <si>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</si>
  <si>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</si>
  <si>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</si>
  <si>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</si>
  <si>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</si>
  <si>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</si>
  <si>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</si>
  <si>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</si>
  <si>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</si>
  <si>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</si>
  <si>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</si>
  <si>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</si>
  <si>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</si>
  <si>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</si>
  <si>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</si>
  <si>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</si>
  <si>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</si>
  <si>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</si>
  <si>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</si>
  <si>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</si>
  <si>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</si>
  <si>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</si>
  <si>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</si>
  <si>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</si>
  <si>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</si>
  <si>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</si>
  <si>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</si>
  <si>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</si>
  <si>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</si>
  <si>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</si>
  <si>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</si>
  <si>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</si>
  <si>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</si>
  <si>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</si>
  <si>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</si>
  <si>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</si>
  <si>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</si>
  <si>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</si>
  <si>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</si>
  <si>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</si>
  <si>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</si>
  <si>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</si>
  <si>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</si>
  <si>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</si>
  <si>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</si>
  <si>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</si>
  <si>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</si>
  <si>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</si>
  <si>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</si>
  <si>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</si>
  <si>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</si>
  <si>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</si>
  <si>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</si>
  <si>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</si>
  <si>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</si>
  <si>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</si>
  <si>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</si>
  <si>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</si>
  <si>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</si>
  <si>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</si>
  <si>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</si>
  <si>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</si>
  <si>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</si>
  <si>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</si>
  <si>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</si>
  <si>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</si>
  <si>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</si>
  <si>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</si>
  <si>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</si>
  <si>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</si>
  <si>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</si>
  <si>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</si>
  <si>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</si>
  <si>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</si>
  <si>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</si>
  <si>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</si>
  <si>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</si>
  <si>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</si>
  <si>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</si>
  <si>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</si>
  <si>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</si>
  <si>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</si>
  <si>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</si>
  <si>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</si>
  <si>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</si>
  <si>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</si>
  <si>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</si>
  <si>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</si>
  <si>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</si>
  <si>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</si>
  <si>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</si>
  <si>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</si>
  <si>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</si>
  <si>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</si>
  <si>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</si>
  <si>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</si>
  <si>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</si>
  <si>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</si>
  <si>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</si>
  <si>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</si>
  <si>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</si>
  <si>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</si>
  <si>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</si>
  <si>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</si>
  <si>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</si>
  <si>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</si>
  <si>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</si>
  <si>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</si>
  <si>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</si>
  <si>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</si>
  <si>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</si>
  <si>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</si>
  <si>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</si>
  <si>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</si>
  <si>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</si>
  <si>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</si>
  <si>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</si>
  <si>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</si>
  <si>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</si>
  <si>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</si>
  <si>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</si>
  <si>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</si>
  <si>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</si>
  <si>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</si>
  <si>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</si>
  <si>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</si>
  <si>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</si>
  <si>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</si>
  <si>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</si>
  <si>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</si>
  <si>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</si>
  <si>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</si>
  <si>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</si>
  <si>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</si>
  <si>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</si>
  <si>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</si>
  <si>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</si>
  <si>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</si>
  <si>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</si>
  <si>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</si>
  <si>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</si>
  <si>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</si>
  <si>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</si>
  <si>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</si>
  <si>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</si>
  <si>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</si>
  <si>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</si>
  <si>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</si>
  <si>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</si>
  <si>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</si>
  <si>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</si>
  <si>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</si>
  <si>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</si>
  <si>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</si>
  <si>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</si>
  <si>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</si>
  <si>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</si>
  <si>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</si>
  <si>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</si>
  <si>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</si>
  <si>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</si>
  <si>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</si>
  <si>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</si>
  <si>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</si>
  <si>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</si>
  <si>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</si>
  <si>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</si>
  <si>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</si>
  <si>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</si>
  <si>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</si>
  <si>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</si>
  <si>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</si>
  <si>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</si>
  <si>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</si>
  <si>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</si>
  <si>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</si>
  <si>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</si>
  <si>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</si>
  <si>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</si>
  <si>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</si>
  <si>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</si>
  <si>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</si>
  <si>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</si>
  <si>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</si>
  <si>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</si>
  <si>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</si>
  <si>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</si>
  <si>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</si>
  <si>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</si>
  <si>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</si>
  <si>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</si>
  <si>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</si>
  <si>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</si>
  <si>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</si>
  <si>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</si>
  <si>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</si>
  <si>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</si>
  <si>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</si>
  <si>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</si>
  <si>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</si>
  <si>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</si>
  <si>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</si>
  <si>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</si>
  <si>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</si>
  <si>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</si>
  <si>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</si>
  <si>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</si>
  <si>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</si>
  <si>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</si>
  <si>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</si>
  <si>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</si>
  <si>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</si>
  <si>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</si>
  <si>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</si>
  <si>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</si>
  <si>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</si>
  <si>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</si>
  <si>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</si>
  <si>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</si>
  <si>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</si>
  <si>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</si>
  <si>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</si>
  <si>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</si>
  <si>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</si>
  <si>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</si>
  <si>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</si>
  <si>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</si>
  <si>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</si>
  <si>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</si>
  <si>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</si>
  <si>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</si>
  <si>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</si>
  <si>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</si>
  <si>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</si>
  <si>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</si>
  <si>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</si>
  <si>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</si>
  <si>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</si>
  <si>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</si>
  <si>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</si>
  <si>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</si>
  <si>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</si>
  <si>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</si>
  <si>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</si>
  <si>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</si>
  <si>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</si>
  <si>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</si>
  <si>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</si>
  <si>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</si>
  <si>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</si>
  <si>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</si>
  <si>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</si>
  <si>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</si>
  <si>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</si>
  <si>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</si>
  <si>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</si>
  <si>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</si>
  <si>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</si>
  <si>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</si>
  <si>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</si>
  <si>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</si>
  <si>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</si>
  <si>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</si>
  <si>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</si>
  <si>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</si>
  <si>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</si>
  <si>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</si>
  <si>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</si>
  <si>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</si>
  <si>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</si>
  <si>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</si>
  <si>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</si>
  <si>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</si>
  <si>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</si>
  <si>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</si>
  <si>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</si>
  <si>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</si>
  <si>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</si>
  <si>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</si>
  <si>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</si>
  <si>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</si>
  <si>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</si>
  <si>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</si>
  <si>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</si>
  <si>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</si>
  <si>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</si>
  <si>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</si>
  <si>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</si>
  <si>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</si>
  <si>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</si>
  <si>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</si>
  <si>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</si>
  <si>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</si>
  <si>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</si>
  <si>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</si>
  <si>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</si>
  <si>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</si>
  <si>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</si>
  <si>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</si>
  <si>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</si>
  <si>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</si>
  <si>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</si>
  <si>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</si>
  <si>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</si>
  <si>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</si>
  <si>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</si>
  <si>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</si>
  <si>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</si>
  <si>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</si>
  <si>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</si>
  <si>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</si>
  <si>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</si>
  <si>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</si>
  <si>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</si>
  <si>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</si>
  <si>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</si>
  <si>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</si>
  <si>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</si>
  <si>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</si>
  <si>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</si>
  <si>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</si>
  <si>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</si>
  <si>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</si>
  <si>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</si>
  <si>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</si>
  <si>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</si>
  <si>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</si>
  <si>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</si>
  <si>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</si>
  <si>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</si>
  <si>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</si>
  <si>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</si>
  <si>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</si>
  <si>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</si>
  <si>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</si>
  <si>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</si>
  <si>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</si>
  <si>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</si>
  <si>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</si>
  <si>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</si>
  <si>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</si>
  <si>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</si>
  <si>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</si>
  <si>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</si>
  <si>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</si>
  <si>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</si>
  <si>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</si>
  <si>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</si>
  <si>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</si>
  <si>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</si>
  <si>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</si>
  <si>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</si>
  <si>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</si>
  <si>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</si>
  <si>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</si>
  <si>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</si>
  <si>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</si>
  <si>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</si>
  <si>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</si>
  <si>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</si>
  <si>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</si>
  <si>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</si>
  <si>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</si>
  <si>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</si>
  <si>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</si>
  <si>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</si>
  <si>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</si>
  <si>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</si>
  <si>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</si>
  <si>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</si>
  <si>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</si>
  <si>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</si>
  <si>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</si>
  <si>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</si>
  <si>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</si>
  <si>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</si>
  <si>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</si>
  <si>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</si>
  <si>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</si>
  <si>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</si>
  <si>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</si>
  <si>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</si>
  <si>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</si>
  <si>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</si>
  <si>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</si>
  <si>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</si>
  <si>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</si>
  <si>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</si>
  <si>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</si>
  <si>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</si>
  <si>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</si>
  <si>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</si>
  <si>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</si>
  <si>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</si>
  <si>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</si>
  <si>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</si>
  <si>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</si>
  <si>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</si>
  <si>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</si>
  <si>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</si>
  <si>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</si>
  <si>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</si>
  <si>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</si>
  <si>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</si>
  <si>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</si>
  <si>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</si>
  <si>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</si>
  <si>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</si>
  <si>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</si>
  <si>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</si>
  <si>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</si>
  <si>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</si>
  <si>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</si>
  <si>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</si>
  <si>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</si>
  <si>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</si>
  <si>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</si>
  <si>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</si>
  <si>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</si>
  <si>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</si>
  <si>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</si>
  <si>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</si>
  <si>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</si>
  <si>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</si>
  <si>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</si>
  <si>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</si>
  <si>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</si>
  <si>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</si>
  <si>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</si>
  <si>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</si>
  <si>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</si>
  <si>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</si>
  <si>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</si>
  <si>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</si>
  <si>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</si>
  <si>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</si>
  <si>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</si>
  <si>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</si>
  <si>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</si>
  <si>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</si>
  <si>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</si>
  <si>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</si>
  <si>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</si>
  <si>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</si>
  <si>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</si>
  <si>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</si>
  <si>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</si>
  <si>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</si>
  <si>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</si>
  <si>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</si>
  <si>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</si>
  <si>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</si>
  <si>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</si>
  <si>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</si>
  <si>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</si>
  <si>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</si>
  <si>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</si>
  <si>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</si>
  <si>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</si>
  <si>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</si>
  <si>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</si>
  <si>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</si>
  <si>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</si>
  <si>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</si>
  <si>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</si>
  <si>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</si>
  <si>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</si>
  <si>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</si>
  <si>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</si>
  <si>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</si>
  <si>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</si>
  <si>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</si>
  <si>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</si>
  <si>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</si>
  <si>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</si>
  <si>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</si>
  <si>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</si>
  <si>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</si>
  <si>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</si>
  <si>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</si>
  <si>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</si>
  <si>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</si>
  <si>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</si>
  <si>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</si>
  <si>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</si>
  <si>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</si>
  <si>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</si>
  <si>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</si>
  <si>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</si>
  <si>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</si>
  <si>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</si>
  <si>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</si>
  <si>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</si>
  <si>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</si>
  <si>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</si>
  <si>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</si>
  <si>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</si>
  <si>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</si>
  <si>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</si>
  <si>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</si>
  <si>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</si>
  <si>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</si>
  <si>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</si>
  <si>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</si>
  <si>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</si>
  <si>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</si>
  <si>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</si>
  <si>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</si>
  <si>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</si>
  <si>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</si>
  <si>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</si>
  <si>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</si>
  <si>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</si>
  <si>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</si>
  <si>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</si>
  <si>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</si>
  <si>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</si>
  <si>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</si>
  <si>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</si>
  <si>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</si>
  <si>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</si>
  <si>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</si>
  <si>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</si>
  <si>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</si>
  <si>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</si>
  <si>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</si>
  <si>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</si>
  <si>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</si>
  <si>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</si>
  <si>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</si>
  <si>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</si>
  <si>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</si>
  <si>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</si>
  <si>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</si>
  <si>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</si>
  <si>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</si>
  <si>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</si>
  <si>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</si>
  <si>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</si>
  <si>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</si>
  <si>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</si>
  <si>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</si>
  <si>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</si>
  <si>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</si>
  <si>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</si>
  <si>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</si>
  <si>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</si>
  <si>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</si>
  <si>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</si>
  <si>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</si>
  <si>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</si>
  <si>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</si>
  <si>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</si>
  <si>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</si>
  <si>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</si>
  <si>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</si>
  <si>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</si>
  <si>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</si>
  <si>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</si>
  <si>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</si>
  <si>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</si>
  <si>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</si>
  <si>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</si>
  <si>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</si>
  <si>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</si>
  <si>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</si>
  <si>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</si>
  <si>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</si>
  <si>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</si>
  <si>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</si>
  <si>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</si>
  <si>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</si>
  <si>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</si>
  <si>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</si>
  <si>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</si>
  <si>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</si>
  <si>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</si>
  <si>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</si>
  <si>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</si>
  <si>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</si>
  <si>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</si>
  <si>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</si>
  <si>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</si>
  <si>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</si>
  <si>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</si>
  <si>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</si>
  <si>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</si>
  <si>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</si>
  <si>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</si>
  <si>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</si>
  <si>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</si>
  <si>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</si>
  <si>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</si>
  <si>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</si>
  <si>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</si>
  <si>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</si>
  <si>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</si>
  <si>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</si>
  <si>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</si>
  <si>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</si>
  <si>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</si>
  <si>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</si>
  <si>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</si>
  <si>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</si>
  <si>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</si>
  <si>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</si>
  <si>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</si>
  <si>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</si>
  <si>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</si>
  <si>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</si>
  <si>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</si>
  <si>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</si>
  <si>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</si>
  <si>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</si>
  <si>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</si>
  <si>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</si>
  <si>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</si>
  <si>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</si>
  <si>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</si>
  <si>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</si>
  <si>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</si>
  <si>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</si>
  <si>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</si>
  <si>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</si>
  <si>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</si>
  <si>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</si>
  <si>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</si>
  <si>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</si>
  <si>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</si>
  <si>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</si>
  <si>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</si>
  <si>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</si>
  <si>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</si>
  <si>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</si>
  <si>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</si>
  <si>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</si>
  <si>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</si>
  <si>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</si>
  <si>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</si>
  <si>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</si>
  <si>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</si>
  <si>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</si>
  <si>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</si>
  <si>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</si>
  <si>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</si>
  <si>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</si>
  <si>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</si>
  <si>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</si>
  <si>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</si>
  <si>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</si>
  <si>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</si>
  <si>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</si>
  <si>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</si>
  <si>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</si>
  <si>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</si>
  <si>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</si>
  <si>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</si>
  <si>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</si>
  <si>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</si>
  <si>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</si>
  <si>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</si>
  <si>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</si>
  <si>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</si>
  <si>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</si>
  <si>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</si>
  <si>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</si>
  <si>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</si>
  <si>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</si>
  <si>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</si>
  <si>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</si>
  <si>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</si>
  <si>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</si>
  <si>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</si>
  <si>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</si>
  <si>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</si>
  <si>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</si>
  <si>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</si>
  <si>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</si>
  <si>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</si>
  <si>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</si>
  <si>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</si>
  <si>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</si>
  <si>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</si>
  <si>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</si>
  <si>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</si>
  <si>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</si>
  <si>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</si>
  <si>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</si>
  <si>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</si>
  <si>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</si>
  <si>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</si>
  <si>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</si>
  <si>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</si>
  <si>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</si>
  <si>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</si>
  <si>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</si>
  <si>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</si>
  <si>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</si>
  <si>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</si>
  <si>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</si>
  <si>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</si>
  <si>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</si>
  <si>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</si>
  <si>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</si>
  <si>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</si>
  <si>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</si>
  <si>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</si>
  <si>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</si>
  <si>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</si>
  <si>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</si>
  <si>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</si>
  <si>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</si>
  <si>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</si>
  <si>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</si>
  <si>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</si>
  <si>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</si>
  <si>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</si>
  <si>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</si>
  <si>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</si>
  <si>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</si>
  <si>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</si>
  <si>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</si>
  <si>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</si>
  <si>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</si>
  <si>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</si>
  <si>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</si>
  <si>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</si>
  <si>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</si>
  <si>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</si>
  <si>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</si>
  <si>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</si>
  <si>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</si>
  <si>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</si>
  <si>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</si>
  <si>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</si>
  <si>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</si>
  <si>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</si>
  <si>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</si>
  <si>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</si>
  <si>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</si>
  <si>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</si>
  <si>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</si>
  <si>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</si>
  <si>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</si>
  <si>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</si>
  <si>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</si>
  <si>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</si>
  <si>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</si>
  <si>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</si>
  <si>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</si>
  <si>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</si>
  <si>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</si>
  <si>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</si>
  <si>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</si>
  <si>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</si>
  <si>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</si>
  <si>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</si>
  <si>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</si>
  <si>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</si>
  <si>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</si>
  <si>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</si>
  <si>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</si>
  <si>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</si>
  <si>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</si>
  <si>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</si>
  <si>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</si>
  <si>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</si>
  <si>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</si>
  <si>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</si>
  <si>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</si>
  <si>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</si>
  <si>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</si>
  <si>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</si>
  <si>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</si>
  <si>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</si>
  <si>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</si>
  <si>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</si>
  <si>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</si>
  <si>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</si>
  <si>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</si>
  <si>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</si>
  <si>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</si>
  <si>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</si>
  <si>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</si>
  <si>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</si>
  <si>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</si>
  <si>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</si>
  <si>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</si>
  <si>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</si>
  <si>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</si>
  <si>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</si>
  <si>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</si>
  <si>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</si>
  <si>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</si>
  <si>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</si>
  <si>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</si>
  <si>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</si>
  <si>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</si>
  <si>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</si>
  <si>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</si>
  <si>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</si>
  <si>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</si>
  <si>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</si>
  <si>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</si>
  <si>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</si>
  <si>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</si>
  <si>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</si>
  <si>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</si>
  <si>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</si>
  <si>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</si>
  <si>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</si>
  <si>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</si>
  <si>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</si>
  <si>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</si>
  <si>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</si>
  <si>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</si>
  <si>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</si>
  <si>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</si>
  <si>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</si>
  <si>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</si>
  <si>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</si>
  <si>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</si>
  <si>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</si>
  <si>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</si>
  <si>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</si>
  <si>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</si>
  <si>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</si>
  <si>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</si>
  <si>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</si>
  <si>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</si>
  <si>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</si>
  <si>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</si>
  <si>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</si>
  <si>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</si>
  <si>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</si>
  <si>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</si>
  <si>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</si>
  <si>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</si>
  <si>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</si>
  <si>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</si>
  <si>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</si>
  <si>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</si>
  <si>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</si>
  <si>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</si>
  <si>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</si>
  <si>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</si>
  <si>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</si>
  <si>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</si>
  <si>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</si>
  <si>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</si>
  <si>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</si>
  <si>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</si>
  <si>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</si>
  <si>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</si>
  <si>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</si>
  <si>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</si>
  <si>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</si>
  <si>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</si>
  <si>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</si>
  <si>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</si>
  <si>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</si>
  <si>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</si>
  <si>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</si>
  <si>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</si>
  <si>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</si>
  <si>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</si>
  <si>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</si>
  <si>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</si>
  <si>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</si>
  <si>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</si>
  <si>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</si>
  <si>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</si>
  <si>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</si>
  <si>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</si>
  <si>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</si>
  <si>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</si>
  <si>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</si>
  <si>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</si>
  <si>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</si>
  <si>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</si>
  <si>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</si>
  <si>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</si>
  <si>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</si>
  <si>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</si>
  <si>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</si>
  <si>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</si>
  <si>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</si>
  <si>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</si>
  <si>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</si>
  <si>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</si>
  <si>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</si>
  <si>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</si>
  <si>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</si>
  <si>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</si>
  <si>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</si>
  <si>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</si>
  <si>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</si>
  <si>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</si>
  <si>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</si>
  <si>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</si>
  <si>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</si>
  <si>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</si>
  <si>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</si>
  <si>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</si>
  <si>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</si>
  <si>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</si>
  <si>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</si>
  <si>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</si>
  <si>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</si>
  <si>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</si>
  <si>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</si>
  <si>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</si>
  <si>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</si>
  <si>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</si>
  <si>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</si>
  <si>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</si>
  <si>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</si>
  <si>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</si>
  <si>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</si>
  <si>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</si>
  <si>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</si>
  <si>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</si>
  <si>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</si>
  <si>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</si>
  <si>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</si>
  <si>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</si>
  <si>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</si>
  <si>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</si>
  <si>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</si>
  <si>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</si>
  <si>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</si>
  <si>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</si>
  <si>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</si>
  <si>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</si>
  <si>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</si>
  <si>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</si>
  <si>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</si>
  <si>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</si>
  <si>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</si>
  <si>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</si>
  <si>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</si>
  <si>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</si>
  <si>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</si>
  <si>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</si>
  <si>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</si>
  <si>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</si>
  <si>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</si>
  <si>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</si>
  <si>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</si>
  <si>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</si>
  <si>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</si>
  <si>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</si>
  <si>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</si>
  <si>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</si>
  <si>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</si>
  <si>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</si>
  <si>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</si>
  <si>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</si>
  <si>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</si>
  <si>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</si>
  <si>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</si>
  <si>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</si>
  <si>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</si>
  <si>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</si>
  <si>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</si>
  <si>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</si>
  <si>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</si>
  <si>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</si>
  <si>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</si>
  <si>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</si>
  <si>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</si>
  <si>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</si>
  <si>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</si>
  <si>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</si>
  <si>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</si>
  <si>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</si>
  <si>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</si>
  <si>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</si>
  <si>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</si>
  <si>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</si>
  <si>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</si>
  <si>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</si>
  <si>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</si>
  <si>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</si>
  <si>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</si>
  <si>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</si>
  <si>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</si>
  <si>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</si>
  <si>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</si>
  <si>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</si>
  <si>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</si>
  <si>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</si>
  <si>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</si>
  <si>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</si>
  <si>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</si>
  <si>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</si>
  <si>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</si>
  <si>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</si>
  <si>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</si>
  <si>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</si>
  <si>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</si>
  <si>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</si>
  <si>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</si>
  <si>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</si>
  <si>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</si>
  <si>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</si>
  <si>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</si>
  <si>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</si>
  <si>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</si>
  <si>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</si>
  <si>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</si>
  <si>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</si>
  <si>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</si>
  <si>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</si>
  <si>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</si>
  <si>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</si>
  <si>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</si>
  <si>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</si>
  <si>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</si>
  <si>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</si>
  <si>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</si>
  <si>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</si>
  <si>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</si>
  <si>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</si>
  <si>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</si>
  <si>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</si>
  <si>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</si>
  <si>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</si>
  <si>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</si>
  <si>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</si>
  <si>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</si>
  <si>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</si>
  <si>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</si>
  <si>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</si>
  <si>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</si>
  <si>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</si>
  <si>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</si>
  <si>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</si>
  <si>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</si>
  <si>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</si>
  <si>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</si>
  <si>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</si>
  <si>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</si>
  <si>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</si>
  <si>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</si>
  <si>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</si>
  <si>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</si>
  <si>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</si>
  <si>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</si>
  <si>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</si>
  <si>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</si>
  <si>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</si>
  <si>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</si>
  <si>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</si>
  <si>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</si>
  <si>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</si>
  <si>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</si>
  <si>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</si>
  <si>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</si>
  <si>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</si>
  <si>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</si>
  <si>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</si>
  <si>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</si>
  <si>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</si>
  <si>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</si>
  <si>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</si>
  <si>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</si>
  <si>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</si>
  <si>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</si>
  <si>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</si>
  <si>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</si>
  <si>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</si>
  <si>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</si>
  <si>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</si>
  <si>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</si>
  <si>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</si>
  <si>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</si>
  <si>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</si>
  <si>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</si>
  <si>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</si>
  <si>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</si>
  <si>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</si>
  <si>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</si>
  <si>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</si>
  <si>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</si>
  <si>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</si>
  <si>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</si>
  <si>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</si>
  <si>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</si>
  <si>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</si>
  <si>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</si>
  <si>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</si>
  <si>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</si>
  <si>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</si>
  <si>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</si>
  <si>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</si>
  <si>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</si>
  <si>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</si>
  <si>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</si>
  <si>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</si>
  <si>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</si>
  <si>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</si>
  <si>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</si>
  <si>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</si>
  <si>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</si>
  <si>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</si>
  <si>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</si>
  <si>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</si>
  <si>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</si>
  <si>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</si>
  <si>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</si>
  <si>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</si>
  <si>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</si>
  <si>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</si>
  <si>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</si>
  <si>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</si>
  <si>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</si>
  <si>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</si>
  <si>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</si>
  <si>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</si>
  <si>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</si>
  <si>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</si>
  <si>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</si>
  <si>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</si>
  <si>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</si>
  <si>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</si>
  <si>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</si>
  <si>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</si>
  <si>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</si>
  <si>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</si>
  <si>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</si>
  <si>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</si>
  <si>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</si>
  <si>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</si>
  <si>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</si>
  <si>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</si>
  <si>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</si>
  <si>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</si>
  <si>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</si>
  <si>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</si>
  <si>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</si>
  <si>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</si>
  <si>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</si>
  <si>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</si>
  <si>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</si>
  <si>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</si>
  <si>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</si>
  <si>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</si>
  <si>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</si>
  <si>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</si>
  <si>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</si>
  <si>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</si>
  <si>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</si>
  <si>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</si>
  <si>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</si>
  <si>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</si>
  <si>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</si>
  <si>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</si>
  <si>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</si>
  <si>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</si>
  <si>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</si>
  <si>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</si>
  <si>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</si>
  <si>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</si>
  <si>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</si>
  <si>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</si>
  <si>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</si>
  <si>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</si>
  <si>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</si>
  <si>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</si>
  <si>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</si>
  <si>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</si>
  <si>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</si>
  <si>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</si>
  <si>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</si>
  <si>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</si>
  <si>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</si>
  <si>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</si>
  <si>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</si>
  <si>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</si>
  <si>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</si>
  <si>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</si>
  <si>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</si>
  <si>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</si>
  <si>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</si>
  <si>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</si>
  <si>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</si>
  <si>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</si>
  <si>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</si>
  <si>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</si>
  <si>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</si>
  <si>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</si>
  <si>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</si>
  <si>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</si>
  <si>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</si>
  <si>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</si>
  <si>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</si>
  <si>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</si>
  <si>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</si>
  <si>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</si>
  <si>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</si>
  <si>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</si>
  <si>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</si>
  <si>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</si>
  <si>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</si>
  <si>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</si>
  <si>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</si>
  <si>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</si>
  <si>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</si>
  <si>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</si>
  <si>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</si>
  <si>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</si>
  <si>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</si>
  <si>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</si>
  <si>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</si>
  <si>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</si>
  <si>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</si>
  <si>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</si>
  <si>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</si>
  <si>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</si>
  <si>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</si>
  <si>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</si>
  <si>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</si>
  <si>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</si>
  <si>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</si>
  <si>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</si>
  <si>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</si>
  <si>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</si>
  <si>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</si>
  <si>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</si>
  <si>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</si>
  <si>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</si>
  <si>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</si>
  <si>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</si>
  <si>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</si>
  <si>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</si>
  <si>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</si>
  <si>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</si>
  <si>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</si>
  <si>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</si>
  <si>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</si>
  <si>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</si>
  <si>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</si>
  <si>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</si>
  <si>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</si>
  <si>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</si>
  <si>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</si>
  <si>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</si>
  <si>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</si>
  <si>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</si>
  <si>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</si>
  <si>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</si>
  <si>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</si>
  <si>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</si>
  <si>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</si>
  <si>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</si>
  <si>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</si>
  <si>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</si>
  <si>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</si>
  <si>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</si>
  <si>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</si>
  <si>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</si>
  <si>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</si>
  <si>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</si>
  <si>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</si>
  <si>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</si>
  <si>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</si>
  <si>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</si>
  <si>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</si>
  <si>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</si>
  <si>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</si>
  <si>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</si>
  <si>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</si>
  <si>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</si>
  <si>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</si>
  <si>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</si>
  <si>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</si>
  <si>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</si>
  <si>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</si>
  <si>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</si>
  <si>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</si>
  <si>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</si>
  <si>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</si>
  <si>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</si>
  <si>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</si>
  <si>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</si>
  <si>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</si>
  <si>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</si>
  <si>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</si>
  <si>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</si>
  <si>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</si>
  <si>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</si>
  <si>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</si>
  <si>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</si>
  <si>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</si>
  <si>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</si>
  <si>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</si>
  <si>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</si>
  <si>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</si>
  <si>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</si>
  <si>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</si>
  <si>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</si>
  <si>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</si>
  <si>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</si>
  <si>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</si>
  <si>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</si>
  <si>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</si>
  <si>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</si>
  <si>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</si>
  <si>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</si>
  <si>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</si>
  <si>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</si>
  <si>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</si>
  <si>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</si>
  <si>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</si>
  <si>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</si>
  <si>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</si>
  <si>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</si>
  <si>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</si>
  <si>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</si>
  <si>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</si>
  <si>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</si>
  <si>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</si>
  <si>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</si>
  <si>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</si>
  <si>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</si>
  <si>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</si>
  <si>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</si>
  <si>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</si>
  <si>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</si>
  <si>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</si>
  <si>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</si>
  <si>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</si>
  <si>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</si>
  <si>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</si>
  <si>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</si>
  <si>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</si>
  <si>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</si>
  <si>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</si>
  <si>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</si>
  <si>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</si>
  <si>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</si>
  <si>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</si>
  <si>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</si>
  <si>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</si>
  <si>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</si>
  <si>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</si>
  <si>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</si>
  <si>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</si>
  <si>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</si>
  <si>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</si>
  <si>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</si>
  <si>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</si>
  <si>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</si>
  <si>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</si>
  <si>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</si>
  <si>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</si>
  <si>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</si>
  <si>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</si>
  <si>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</si>
  <si>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</si>
  <si>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</si>
  <si>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</si>
  <si>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</si>
  <si>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</si>
  <si>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</si>
  <si>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</si>
  <si>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</si>
  <si>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</si>
  <si>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</si>
  <si>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</si>
  <si>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</si>
  <si>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</si>
  <si>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</si>
  <si>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</si>
  <si>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</si>
  <si>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</si>
  <si>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</si>
  <si>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</si>
  <si>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</si>
  <si>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</si>
  <si>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</si>
  <si>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</si>
  <si>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</si>
  <si>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</si>
  <si>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</si>
  <si>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</si>
  <si>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</si>
  <si>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</si>
  <si>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</si>
  <si>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</si>
  <si>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</si>
  <si>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</si>
  <si>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</si>
  <si>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</si>
  <si>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</si>
  <si>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</si>
  <si>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</si>
  <si>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</si>
  <si>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</si>
  <si>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</si>
  <si>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</si>
  <si>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</si>
  <si>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</si>
  <si>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</si>
  <si>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</si>
  <si>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</si>
  <si>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</si>
  <si>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</si>
  <si>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</si>
  <si>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</si>
  <si>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</si>
  <si>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</si>
  <si>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</si>
  <si>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</si>
  <si>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</si>
  <si>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</si>
  <si>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</si>
  <si>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</si>
  <si>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</si>
  <si>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</si>
  <si>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</si>
  <si>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</si>
  <si>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</si>
  <si>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</si>
  <si>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</si>
  <si>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</si>
  <si>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</si>
  <si>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</si>
  <si>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</si>
  <si>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</si>
  <si>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</si>
  <si>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</si>
  <si>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</si>
  <si>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</si>
  <si>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</si>
  <si>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</si>
  <si>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</si>
  <si>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</si>
  <si>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</si>
  <si>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</si>
  <si>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</si>
  <si>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</si>
  <si>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</si>
  <si>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</si>
  <si>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</si>
  <si>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</si>
  <si>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</si>
  <si>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</si>
  <si>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</si>
  <si>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</si>
  <si>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</si>
  <si>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</si>
  <si>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</si>
  <si>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</si>
  <si>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</si>
  <si>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</si>
  <si>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</si>
  <si>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</si>
  <si>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</si>
  <si>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</si>
  <si>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</si>
  <si>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</si>
  <si>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</si>
  <si>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</si>
  <si>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</si>
  <si>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</si>
  <si>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</si>
  <si>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</si>
  <si>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</si>
  <si>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</si>
  <si>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</si>
  <si>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</si>
  <si>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</si>
  <si>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</si>
  <si>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</si>
  <si>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</si>
  <si>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</si>
  <si>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</si>
  <si>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</si>
  <si>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</si>
  <si>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</si>
  <si>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</si>
  <si>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</si>
  <si>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</si>
  <si>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</si>
  <si>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</si>
  <si>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</si>
  <si>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</si>
  <si>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</si>
  <si>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</si>
  <si>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</si>
  <si>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</si>
  <si>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</si>
  <si>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</si>
  <si>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</si>
  <si>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</si>
  <si>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</si>
  <si>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</si>
  <si>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</si>
  <si>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</si>
  <si>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</si>
  <si>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</si>
  <si>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</si>
  <si>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</si>
  <si>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</si>
  <si>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</si>
  <si>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</si>
  <si>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</si>
  <si>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</si>
  <si>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</si>
  <si>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</si>
  <si>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</si>
  <si>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</si>
  <si>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</si>
  <si>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</si>
  <si>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</si>
  <si>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</si>
  <si>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</si>
  <si>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</si>
  <si>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</si>
  <si>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</si>
  <si>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</si>
  <si>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</si>
  <si>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</si>
  <si>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</si>
  <si>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</si>
  <si>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</si>
  <si>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</si>
  <si>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</si>
  <si>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</si>
  <si>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</si>
  <si>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</si>
  <si>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</si>
  <si>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</si>
  <si>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</si>
  <si>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</si>
  <si>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</si>
  <si>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</si>
  <si>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</si>
  <si>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</si>
  <si>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</si>
  <si>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</si>
  <si>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</si>
  <si>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</si>
  <si>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</si>
  <si>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</si>
  <si>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</si>
  <si>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</si>
  <si>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</si>
  <si>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</si>
  <si>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</si>
  <si>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</si>
  <si>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</si>
  <si>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</si>
  <si>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</si>
  <si>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</si>
  <si>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</si>
  <si>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</si>
  <si>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</si>
  <si>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</si>
  <si>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</si>
  <si>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</si>
  <si>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</si>
  <si>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</si>
  <si>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</si>
  <si>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</si>
  <si>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</si>
  <si>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</si>
  <si>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</si>
  <si>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</si>
  <si>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</si>
  <si>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</si>
  <si>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</si>
  <si>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</si>
  <si>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</si>
  <si>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</si>
  <si>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</si>
  <si>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</si>
  <si>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</si>
  <si>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</si>
  <si>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</si>
  <si>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</si>
  <si>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</si>
  <si>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</si>
  <si>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</si>
  <si>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</si>
  <si>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</si>
  <si>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</si>
  <si>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</si>
  <si>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</si>
  <si>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</si>
  <si>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</si>
  <si>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</si>
  <si>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</si>
  <si>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</si>
  <si>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</si>
  <si>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</si>
  <si>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</si>
  <si>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</si>
  <si>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</si>
  <si>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</si>
  <si>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</si>
  <si>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</si>
  <si>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</si>
  <si>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</si>
  <si>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</si>
  <si>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</si>
  <si>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</si>
  <si>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</si>
  <si>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</si>
  <si>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</si>
  <si>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</si>
  <si>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</si>
  <si>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</si>
  <si>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</si>
  <si>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</si>
  <si>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</si>
  <si>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</si>
  <si>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</si>
  <si>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</si>
  <si>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</si>
  <si>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</si>
  <si>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</si>
  <si>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</si>
  <si>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</si>
  <si>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</si>
  <si>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</si>
  <si>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</si>
  <si>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</si>
  <si>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</si>
  <si>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</si>
  <si>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</si>
  <si>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</si>
  <si>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</si>
  <si>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</si>
  <si>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</si>
  <si>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</si>
  <si>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</si>
  <si>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</si>
  <si>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</si>
  <si>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</si>
  <si>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</si>
  <si>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</si>
  <si>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</si>
  <si>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</si>
  <si>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</si>
  <si>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</si>
  <si>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</si>
  <si>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</si>
  <si>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</si>
  <si>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</si>
  <si>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</si>
  <si>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</si>
  <si>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</si>
  <si>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</si>
  <si>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</si>
  <si>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</si>
  <si>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</si>
  <si>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</si>
  <si>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</si>
  <si>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</si>
  <si>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</si>
  <si>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</si>
  <si>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</si>
  <si>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</si>
  <si>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</si>
  <si>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</si>
  <si>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</si>
  <si>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</si>
  <si>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</si>
  <si>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</si>
  <si>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</si>
  <si>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</si>
  <si>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</si>
  <si>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</si>
  <si>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</si>
  <si>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</si>
  <si>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</si>
  <si>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</si>
  <si>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</si>
  <si>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</si>
  <si>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</si>
  <si>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</si>
  <si>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</si>
  <si>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</si>
  <si>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</si>
  <si>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</si>
  <si>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</si>
  <si>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</si>
  <si>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</si>
  <si>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</si>
  <si>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</si>
  <si>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</si>
  <si>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</si>
  <si>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</si>
  <si>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</si>
  <si>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</si>
  <si>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</si>
  <si>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</si>
  <si>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</si>
  <si>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</si>
  <si>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</si>
  <si>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</si>
  <si>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</si>
  <si>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</si>
  <si>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</si>
  <si>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</si>
  <si>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</si>
  <si>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</si>
  <si>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</si>
  <si>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</si>
  <si>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</si>
  <si>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</si>
  <si>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</si>
  <si>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</si>
  <si>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</si>
  <si>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</si>
  <si>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</si>
  <si>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</si>
  <si>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</si>
  <si>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</si>
  <si>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</si>
  <si>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</si>
  <si>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</si>
  <si>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</si>
  <si>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</si>
  <si>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</si>
  <si>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</si>
  <si>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</si>
  <si>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</si>
  <si>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</si>
  <si>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</si>
  <si>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</si>
  <si>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</si>
  <si>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</si>
  <si>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</si>
  <si>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</si>
  <si>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</si>
  <si>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</si>
  <si>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</si>
  <si>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</si>
  <si>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</si>
  <si>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</si>
  <si>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</si>
  <si>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</si>
  <si>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</si>
  <si>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</si>
  <si>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</si>
  <si>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</si>
  <si>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</si>
  <si>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</si>
  <si>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</si>
  <si>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</si>
  <si>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</si>
  <si>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</si>
  <si>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</si>
  <si>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</si>
  <si>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</si>
  <si>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</si>
  <si>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</si>
  <si>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</si>
  <si>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</si>
  <si>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</si>
  <si>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</si>
  <si>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</si>
  <si>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</si>
  <si>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</si>
  <si>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</si>
  <si>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</si>
  <si>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</si>
  <si>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</si>
  <si>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</si>
  <si>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</si>
  <si>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</si>
  <si>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</si>
  <si>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</si>
  <si>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</si>
  <si>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</si>
  <si>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</si>
  <si>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</si>
  <si>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</si>
  <si>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</si>
  <si>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</si>
  <si>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</si>
  <si>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</si>
  <si>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</si>
  <si>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</si>
  <si>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</si>
  <si>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</si>
  <si>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</si>
  <si>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</si>
  <si>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</si>
  <si>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</si>
  <si>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</si>
  <si>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</si>
  <si>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</si>
  <si>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</si>
  <si>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</si>
  <si>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</si>
  <si>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</si>
  <si>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</si>
  <si>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</si>
  <si>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</si>
  <si>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</si>
  <si>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</si>
  <si>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</si>
  <si>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</si>
  <si>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</si>
  <si>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</si>
  <si>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</si>
  <si>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</si>
  <si>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</si>
  <si>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</si>
  <si>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</si>
  <si>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</si>
  <si>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</si>
  <si>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</si>
  <si>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</si>
  <si>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</si>
  <si>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</si>
  <si>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</si>
  <si>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</si>
  <si>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</si>
  <si>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</si>
  <si>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</si>
  <si>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</si>
  <si>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</si>
  <si>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</si>
  <si>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</si>
  <si>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</si>
  <si>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</si>
  <si>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</si>
  <si>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</si>
  <si>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</si>
  <si>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</si>
  <si>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</si>
  <si>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</si>
  <si>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</si>
  <si>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</si>
  <si>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</si>
  <si>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</si>
  <si>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</si>
  <si>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</si>
  <si>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</si>
  <si>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</si>
  <si>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</si>
  <si>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</si>
  <si>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</si>
  <si>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</si>
  <si>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</si>
  <si>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</si>
  <si>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</si>
  <si>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</si>
  <si>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</si>
  <si>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</si>
  <si>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</si>
  <si>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</si>
  <si>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</si>
  <si>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</si>
  <si>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</si>
  <si>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</si>
  <si>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</si>
  <si>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</si>
  <si>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</si>
  <si>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</si>
  <si>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</si>
  <si>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</si>
  <si>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</si>
  <si>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</si>
  <si>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</si>
  <si>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</si>
  <si>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</si>
  <si>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</si>
  <si>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</si>
  <si>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</si>
  <si>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</si>
  <si>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</si>
  <si>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</si>
  <si>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</si>
  <si>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</si>
  <si>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</si>
  <si>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</si>
  <si>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</si>
  <si>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</si>
  <si>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</si>
  <si>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</si>
  <si>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</si>
  <si>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</si>
  <si>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</si>
  <si>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</si>
  <si>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</si>
  <si>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</si>
  <si>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</si>
  <si>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</si>
  <si>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</si>
  <si>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</si>
  <si>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</si>
  <si>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</si>
  <si>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</si>
  <si>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</si>
  <si>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</si>
  <si>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</si>
  <si>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</si>
  <si>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</si>
  <si>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</si>
  <si>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</si>
  <si>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</si>
  <si>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</si>
  <si>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</si>
  <si>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</si>
  <si>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</si>
  <si>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</si>
  <si>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</si>
  <si>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</si>
  <si>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</si>
  <si>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</si>
  <si>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</si>
  <si>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</si>
  <si>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</si>
  <si>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</si>
  <si>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</si>
  <si>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</si>
  <si>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</si>
  <si>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</si>
  <si>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</si>
  <si>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</si>
  <si>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</si>
  <si>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</si>
  <si>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</si>
  <si>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</si>
  <si>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</si>
  <si>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</si>
  <si>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</si>
  <si>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</si>
  <si>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</si>
  <si>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</si>
  <si>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</si>
  <si>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</si>
  <si>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</si>
  <si>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</si>
  <si>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</si>
  <si>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</si>
  <si>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</si>
  <si>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</si>
  <si>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</si>
  <si>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</si>
  <si>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</si>
  <si>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</si>
  <si>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</si>
  <si>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</si>
  <si>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</si>
  <si>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</si>
  <si>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</si>
  <si>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</si>
  <si>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</si>
  <si>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</si>
  <si>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</si>
  <si>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</si>
  <si>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</si>
  <si>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</si>
  <si>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</si>
  <si>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</si>
  <si>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</si>
  <si>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</si>
  <si>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</si>
  <si>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</si>
  <si>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</si>
  <si>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</si>
  <si>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</si>
  <si>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</si>
  <si>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</si>
  <si>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</si>
  <si>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</si>
  <si>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</si>
  <si>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</si>
  <si>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</si>
  <si>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</si>
  <si>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</si>
  <si>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</si>
  <si>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</si>
  <si>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</si>
  <si>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</si>
  <si>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</si>
  <si>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</si>
  <si>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</si>
  <si>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</si>
  <si>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</si>
  <si>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</si>
  <si>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</si>
  <si>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</si>
  <si>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</si>
  <si>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</si>
  <si>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</si>
  <si>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</si>
  <si>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</si>
  <si>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</si>
  <si>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</si>
  <si>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</si>
  <si>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</si>
  <si>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</si>
  <si>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</si>
  <si>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</si>
  <si>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</si>
  <si>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</si>
  <si>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</si>
  <si>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</si>
  <si>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</si>
  <si>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</si>
  <si>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</si>
  <si>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</si>
  <si>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</si>
  <si>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</si>
  <si>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</si>
  <si>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</si>
  <si>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</si>
  <si>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</si>
  <si>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</si>
  <si>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</si>
  <si>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</si>
  <si>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</si>
  <si>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</si>
  <si>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</si>
  <si>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</si>
  <si>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</si>
  <si>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</si>
  <si>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</si>
  <si>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</si>
  <si>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</si>
  <si>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</si>
  <si>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</si>
  <si>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</si>
  <si>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</si>
  <si>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</si>
  <si>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</si>
  <si>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</si>
  <si>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</si>
  <si>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</si>
  <si>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</si>
  <si>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</si>
  <si>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</si>
  <si>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</si>
  <si>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</si>
  <si>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</si>
  <si>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</si>
  <si>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</si>
  <si>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</si>
  <si>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</si>
  <si>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</si>
  <si>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</si>
  <si>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</si>
  <si>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</si>
  <si>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</si>
  <si>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</si>
  <si>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</si>
  <si>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</si>
  <si>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</si>
  <si>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</si>
  <si>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</si>
  <si>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</si>
  <si>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</si>
  <si>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</si>
  <si>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</si>
  <si>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</si>
  <si>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</si>
  <si>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</si>
  <si>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</si>
  <si>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</si>
  <si>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</si>
  <si>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</si>
  <si>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</si>
  <si>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</si>
  <si>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</si>
  <si>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</si>
  <si>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</si>
  <si>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</si>
  <si>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</si>
  <si>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</si>
  <si>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</si>
  <si>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</si>
  <si>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</si>
  <si>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</si>
  <si>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</si>
  <si>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</si>
  <si>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</si>
  <si>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</si>
  <si>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</si>
  <si>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</si>
  <si>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</si>
  <si>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</si>
  <si>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</si>
  <si>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</si>
  <si>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</si>
  <si>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</si>
  <si>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</si>
  <si>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</si>
  <si>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</si>
  <si>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</si>
  <si>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</si>
  <si>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</si>
  <si>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</si>
  <si>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</si>
  <si>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</si>
  <si>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</si>
  <si>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</si>
  <si>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</si>
  <si>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</si>
  <si>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</si>
  <si>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</si>
  <si>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</si>
  <si>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</si>
  <si>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</si>
  <si>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</si>
  <si>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</si>
  <si>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</si>
  <si>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</si>
  <si>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</si>
  <si>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</si>
  <si>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</si>
  <si>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</si>
  <si>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</si>
  <si>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</si>
  <si>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</si>
  <si>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</si>
  <si>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</si>
  <si>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</si>
  <si>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</si>
  <si>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</si>
  <si>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</si>
  <si>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</si>
  <si>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</si>
  <si>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</si>
  <si>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</si>
  <si>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</si>
  <si>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</si>
  <si>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</si>
  <si>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</si>
  <si>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</si>
  <si>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</si>
  <si>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</si>
  <si>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</si>
  <si>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</si>
  <si>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</si>
  <si>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</si>
  <si>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</si>
  <si>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</si>
  <si>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</si>
  <si>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</si>
  <si>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</si>
  <si>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</si>
  <si>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</si>
  <si>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</si>
  <si>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</si>
  <si>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</si>
  <si>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</si>
  <si>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</si>
  <si>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</si>
  <si>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</si>
  <si>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</si>
  <si>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</si>
  <si>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</si>
  <si>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</si>
  <si>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</si>
  <si>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</si>
  <si>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</si>
  <si>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</si>
  <si>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</si>
  <si>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</si>
  <si>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</si>
  <si>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</si>
  <si>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</si>
  <si>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</si>
  <si>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</si>
  <si>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</si>
  <si>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</si>
  <si>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</si>
  <si>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</si>
  <si>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</si>
  <si>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</si>
  <si>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</si>
  <si>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</si>
  <si>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</si>
  <si>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</si>
  <si>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</si>
  <si>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</si>
  <si>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</si>
  <si>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</si>
  <si>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</si>
  <si>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</si>
  <si>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</si>
  <si>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</si>
  <si>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</si>
  <si>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</si>
  <si>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</si>
  <si>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</si>
  <si>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</si>
  <si>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</si>
  <si>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</si>
  <si>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</si>
  <si>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</si>
  <si>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</si>
  <si>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</si>
  <si>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</si>
  <si>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</si>
  <si>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</si>
  <si>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</si>
  <si>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</si>
  <si>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</si>
  <si>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</si>
  <si>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</si>
  <si>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</si>
  <si>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</si>
  <si>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</si>
  <si>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</si>
  <si>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</si>
  <si>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</si>
  <si>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</si>
  <si>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</si>
  <si>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</si>
  <si>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</si>
  <si>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</si>
  <si>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</si>
  <si>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</si>
  <si>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</si>
  <si>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</si>
  <si>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</si>
  <si>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</si>
  <si>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</si>
  <si>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</si>
  <si>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</si>
  <si>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</si>
  <si>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</si>
  <si>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</si>
  <si>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</si>
  <si>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</si>
  <si>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</si>
  <si>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</si>
  <si>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</si>
  <si>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</si>
  <si>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</si>
  <si>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</si>
  <si>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</si>
  <si>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</si>
  <si>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</si>
  <si>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</si>
  <si>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</si>
  <si>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</si>
  <si>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</si>
  <si>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</si>
  <si>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</si>
  <si>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</si>
  <si>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</si>
  <si>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</si>
  <si>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</si>
  <si>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</si>
  <si>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</si>
  <si>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</si>
  <si>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</si>
  <si>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</si>
  <si>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</si>
  <si>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</si>
  <si>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</si>
  <si>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</si>
  <si>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</si>
  <si>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</si>
  <si>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</si>
  <si>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</si>
  <si>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</si>
  <si>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</si>
  <si>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</si>
  <si>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</si>
  <si>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</si>
  <si>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</si>
  <si>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</si>
  <si>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</si>
  <si>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</si>
  <si>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</si>
  <si>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</si>
  <si>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</si>
  <si>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</si>
  <si>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</si>
  <si>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</si>
  <si>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</si>
  <si>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</si>
  <si>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</si>
  <si>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</si>
  <si>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</si>
  <si>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</si>
  <si>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</si>
  <si>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</si>
  <si>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</si>
  <si>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</si>
  <si>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</si>
  <si>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</si>
  <si>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</si>
  <si>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</si>
  <si>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</si>
  <si>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</si>
  <si>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</si>
  <si>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</si>
  <si>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</si>
  <si>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</si>
  <si>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</si>
  <si>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</si>
  <si>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</si>
  <si>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</si>
  <si>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</si>
  <si>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</si>
  <si>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</si>
  <si>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</si>
  <si>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</si>
  <si>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</si>
  <si>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</si>
  <si>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</si>
  <si>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</si>
  <si>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</si>
  <si>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</si>
  <si>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</si>
  <si>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</si>
  <si>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</si>
  <si>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</si>
  <si>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</si>
  <si>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</si>
  <si>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</si>
  <si>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</si>
  <si>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</si>
  <si>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</si>
  <si>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</si>
  <si>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</si>
  <si>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</si>
  <si>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</si>
  <si>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</si>
  <si>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</si>
  <si>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</si>
  <si>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</si>
  <si>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</si>
  <si>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</si>
  <si>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</si>
  <si>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</si>
  <si>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</si>
  <si>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</si>
  <si>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</si>
  <si>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</si>
  <si>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</si>
  <si>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</si>
  <si>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</si>
  <si>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</si>
  <si>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</si>
  <si>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</si>
  <si>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</si>
  <si>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</si>
  <si>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</si>
  <si>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</si>
  <si>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</si>
  <si>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</si>
  <si>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</si>
  <si>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</si>
  <si>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</si>
  <si>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</si>
  <si>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</si>
  <si>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</si>
  <si>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</si>
  <si>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</si>
  <si>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</si>
  <si>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</si>
  <si>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</si>
  <si>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</si>
  <si>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</si>
  <si>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</si>
  <si>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</si>
  <si>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</si>
  <si>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</si>
  <si>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</si>
  <si>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</si>
  <si>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</si>
  <si>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</si>
  <si>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</si>
  <si>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</si>
  <si>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</si>
  <si>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</si>
  <si>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</si>
  <si>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</si>
  <si>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</si>
  <si>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</si>
  <si>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</si>
  <si>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</si>
  <si>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</si>
  <si>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</si>
  <si>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</si>
  <si>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</si>
  <si>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</si>
  <si>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</si>
  <si>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</si>
  <si>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</si>
  <si>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</si>
  <si>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</si>
  <si>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</si>
  <si>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</si>
  <si>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</si>
  <si>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</si>
  <si>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</si>
  <si>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</si>
  <si>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</si>
  <si>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</si>
  <si>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</si>
  <si>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</si>
  <si>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</si>
  <si>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</si>
  <si>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</si>
  <si>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</si>
  <si>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</si>
  <si>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</si>
  <si>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</si>
  <si>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</si>
  <si>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</si>
  <si>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</si>
  <si>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</si>
  <si>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</si>
  <si>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</si>
  <si>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</si>
  <si>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</si>
  <si>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</si>
  <si>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</si>
  <si>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</si>
  <si>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</si>
  <si>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</si>
  <si>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</si>
  <si>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</si>
  <si>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</si>
  <si>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</si>
  <si>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</si>
  <si>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</si>
  <si>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</si>
  <si>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</si>
  <si>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</si>
  <si>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</si>
  <si>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</si>
  <si>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</si>
  <si>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</si>
  <si>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</si>
  <si>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</si>
  <si>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</si>
  <si>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</si>
  <si>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</si>
  <si>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</si>
  <si>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</si>
  <si>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</si>
  <si>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</si>
  <si>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</si>
  <si>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</si>
  <si>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</si>
  <si>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</si>
  <si>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</si>
  <si>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</si>
  <si>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</si>
  <si>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</si>
  <si>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</si>
  <si>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</si>
  <si>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</si>
  <si>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</si>
  <si>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</si>
  <si>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</si>
  <si>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</si>
  <si>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</si>
  <si>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</si>
  <si>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</si>
  <si>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</si>
  <si>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</si>
  <si>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</si>
  <si>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</si>
  <si>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</si>
  <si>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</si>
  <si>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</si>
  <si>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</si>
  <si>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</si>
  <si>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</si>
  <si>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</si>
  <si>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</si>
  <si>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</si>
  <si>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</si>
  <si>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</si>
  <si>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</si>
  <si>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</si>
  <si>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</si>
  <si>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</si>
  <si>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</si>
  <si>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</si>
  <si>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</si>
  <si>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</si>
  <si>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</si>
  <si>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</si>
  <si>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</si>
  <si>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</si>
  <si>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</si>
  <si>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</si>
  <si>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</si>
  <si>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</si>
  <si>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</si>
  <si>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</si>
  <si>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</si>
  <si>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</si>
  <si>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</si>
  <si>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</si>
  <si>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</si>
  <si>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</si>
  <si>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</si>
  <si>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</si>
  <si>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</si>
  <si>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</si>
  <si>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</si>
  <si>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</si>
  <si>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</si>
  <si>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</si>
  <si>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</si>
  <si>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</si>
  <si>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</si>
  <si>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</si>
  <si>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</si>
  <si>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</si>
  <si>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</si>
  <si>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</si>
  <si>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</si>
  <si>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</si>
  <si>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</si>
  <si>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</si>
  <si>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</si>
  <si>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</si>
  <si>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</si>
  <si>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</si>
  <si>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</si>
  <si>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</si>
  <si>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</si>
  <si>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</si>
  <si>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</si>
  <si>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</si>
  <si>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</si>
  <si>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</si>
  <si>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</si>
  <si>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</si>
  <si>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</si>
  <si>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</si>
  <si>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</si>
  <si>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</si>
  <si>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</si>
  <si>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</si>
  <si>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</si>
  <si>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</si>
  <si>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</si>
  <si>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</si>
  <si>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</si>
  <si>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</si>
  <si>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</si>
  <si>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</si>
  <si>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</si>
  <si>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</si>
  <si>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</si>
  <si>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</si>
  <si>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</si>
  <si>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</si>
  <si>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</si>
  <si>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</si>
  <si>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</si>
  <si>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</si>
  <si>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</si>
  <si>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</si>
  <si>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</si>
  <si>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</si>
  <si>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</si>
  <si>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</si>
  <si>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</si>
  <si>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</si>
  <si>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</si>
  <si>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</si>
  <si>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</si>
  <si>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</si>
  <si>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</si>
  <si>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</si>
  <si>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</si>
  <si>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</si>
  <si>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</si>
  <si>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</si>
  <si>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</si>
  <si>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</si>
  <si>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</si>
  <si>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</si>
  <si>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</si>
  <si>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</si>
  <si>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</si>
  <si>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</si>
  <si>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</si>
  <si>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</si>
  <si>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</si>
  <si>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</si>
  <si>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</si>
  <si>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</si>
  <si>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</si>
  <si>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</si>
  <si>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</si>
  <si>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</si>
  <si>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</si>
  <si>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</si>
  <si>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</si>
  <si>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</si>
  <si>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</si>
  <si>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</si>
  <si>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</si>
  <si>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</si>
  <si>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</si>
  <si>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</si>
  <si>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</si>
  <si>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</si>
  <si>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</si>
  <si>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</si>
  <si>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</si>
  <si>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</si>
  <si>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</si>
  <si>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</si>
  <si>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</si>
  <si>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</si>
  <si>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</si>
  <si>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</si>
  <si>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</si>
  <si>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</si>
  <si>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</si>
  <si>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</si>
  <si>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</si>
  <si>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</si>
  <si>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</si>
  <si>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</si>
  <si>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</si>
  <si>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</si>
  <si>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</si>
  <si>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</si>
  <si>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</si>
  <si>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</si>
  <si>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</si>
  <si>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</si>
  <si>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</si>
  <si>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</si>
  <si>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</si>
  <si>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</si>
  <si>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</si>
  <si>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</si>
  <si>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</si>
  <si>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</si>
  <si>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</si>
  <si>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</si>
  <si>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</si>
  <si>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</si>
  <si>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</si>
  <si>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</si>
  <si>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</si>
  <si>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</si>
  <si>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</si>
  <si>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</si>
  <si>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</si>
  <si>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</si>
  <si>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</si>
  <si>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</si>
  <si>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</si>
  <si>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</si>
  <si>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</si>
  <si>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</si>
  <si>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</si>
  <si>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</si>
  <si>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</si>
  <si>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</si>
  <si>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</si>
  <si>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</si>
  <si>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</si>
  <si>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</si>
  <si>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</si>
  <si>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</si>
  <si>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</si>
  <si>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</si>
  <si>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</si>
  <si>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</si>
  <si>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</si>
  <si>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</si>
  <si>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</si>
  <si>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</si>
  <si>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</si>
  <si>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</si>
  <si>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</si>
  <si>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</si>
  <si>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</si>
  <si>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</si>
  <si>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</si>
  <si>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</si>
  <si>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</si>
  <si>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</si>
  <si>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</si>
  <si>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</si>
  <si>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</si>
  <si>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</si>
  <si>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</si>
  <si>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</si>
  <si>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</si>
  <si>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</si>
  <si>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</si>
  <si>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</si>
  <si>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</si>
  <si>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</si>
  <si>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</si>
  <si>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</si>
  <si>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</si>
  <si>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</si>
  <si>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</si>
  <si>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</si>
  <si>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</si>
  <si>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</si>
  <si>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</si>
  <si>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</si>
  <si>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</si>
  <si>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</si>
  <si>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</si>
  <si>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</si>
  <si>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</si>
  <si>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</si>
  <si>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</si>
  <si>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</si>
  <si>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</si>
  <si>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</si>
  <si>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</si>
  <si>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</si>
  <si>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</si>
  <si>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</si>
  <si>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</si>
  <si>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</si>
  <si>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</si>
  <si>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</si>
  <si>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</si>
  <si>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</si>
  <si>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</si>
  <si>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</si>
  <si>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</si>
  <si>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</si>
  <si>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</si>
  <si>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</si>
  <si>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</si>
  <si>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</si>
  <si>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</si>
  <si>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</si>
  <si>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</si>
  <si>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</si>
  <si>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</si>
  <si>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</si>
  <si>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</si>
  <si>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</si>
  <si>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</si>
  <si>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</si>
  <si>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</si>
  <si>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</si>
  <si>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</si>
  <si>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</si>
  <si>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</si>
  <si>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</si>
  <si>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</si>
  <si>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</si>
  <si>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</si>
  <si>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</si>
  <si>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</si>
  <si>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</si>
  <si>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</si>
  <si>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</si>
  <si>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</si>
  <si>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</si>
  <si>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</si>
  <si>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</si>
  <si>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</si>
  <si>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</si>
  <si>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</si>
  <si>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</si>
  <si>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</si>
  <si>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</si>
  <si>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</si>
  <si>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</si>
  <si>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</si>
  <si>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</si>
  <si>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</si>
  <si>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</si>
  <si>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</si>
  <si>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</si>
  <si>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</si>
  <si>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</si>
  <si>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</si>
  <si>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</si>
  <si>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</si>
  <si>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</si>
  <si>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</si>
  <si>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</si>
  <si>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</si>
  <si>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</si>
  <si>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</si>
  <si>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</si>
  <si>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</si>
  <si>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</si>
  <si>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</si>
  <si>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</si>
  <si>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</si>
  <si>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</si>
  <si>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</si>
  <si>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</si>
  <si>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</si>
  <si>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</si>
  <si>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</si>
  <si>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</si>
  <si>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</si>
  <si>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</si>
  <si>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</si>
  <si>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</si>
  <si>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</si>
  <si>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</si>
  <si>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</si>
  <si>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</si>
  <si>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</si>
  <si>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</si>
  <si>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</si>
  <si>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</si>
  <si>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</si>
  <si>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</si>
  <si>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</si>
  <si>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</si>
  <si>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</si>
  <si>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</si>
  <si>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</si>
  <si>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</si>
  <si>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</si>
  <si>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</si>
  <si>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</si>
  <si>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</si>
  <si>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</si>
  <si>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</si>
  <si>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</si>
  <si>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</si>
  <si>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</si>
  <si>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</si>
  <si>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</si>
  <si>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</si>
  <si>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</si>
  <si>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</si>
  <si>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</si>
  <si>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</si>
  <si>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</si>
  <si>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</si>
  <si>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</si>
  <si>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</si>
  <si>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</si>
  <si>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</si>
  <si>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</si>
  <si>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</si>
  <si>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</si>
  <si>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</si>
  <si>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</si>
  <si>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</si>
  <si>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</si>
  <si>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</si>
  <si>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</si>
  <si>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</si>
  <si>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</si>
  <si>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</si>
  <si>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</si>
  <si>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</si>
  <si>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</si>
  <si>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</si>
  <si>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</si>
  <si>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</si>
  <si>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</si>
  <si>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</si>
  <si>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</si>
  <si>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</si>
  <si>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</si>
  <si>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</si>
  <si>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</si>
  <si>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</si>
  <si>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</si>
  <si>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</si>
  <si>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</si>
  <si>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</si>
  <si>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</si>
  <si>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</si>
  <si>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</si>
  <si>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</si>
  <si>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</si>
  <si>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</si>
  <si>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</si>
  <si>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</si>
  <si>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</si>
  <si>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</si>
  <si>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</si>
  <si>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</si>
  <si>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</si>
  <si>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</si>
  <si>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</si>
  <si>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</si>
  <si>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</si>
  <si>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</si>
  <si>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</si>
  <si>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</si>
  <si>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</si>
  <si>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</si>
  <si>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</si>
  <si>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</si>
  <si>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</si>
  <si>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</si>
  <si>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</si>
  <si>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</si>
  <si>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</si>
  <si>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</si>
  <si>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</si>
  <si>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</si>
  <si>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</si>
  <si>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</si>
  <si>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</si>
  <si>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</si>
  <si>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</si>
  <si>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</si>
  <si>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</si>
  <si>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</si>
  <si>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</si>
  <si>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</si>
  <si>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</si>
  <si>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</si>
  <si>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</si>
  <si>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</si>
  <si>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</si>
  <si>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</si>
  <si>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</si>
  <si>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</si>
  <si>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</si>
  <si>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</si>
  <si>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</si>
  <si>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</si>
  <si>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</si>
  <si>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</si>
  <si>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</si>
  <si>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</si>
  <si>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</si>
  <si>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</si>
  <si>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</si>
  <si>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</si>
  <si>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</si>
  <si>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</si>
  <si>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</si>
  <si>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</si>
  <si>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</si>
  <si>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</si>
  <si>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</si>
  <si>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</si>
  <si>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</si>
  <si>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</si>
  <si>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</si>
  <si>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</si>
  <si>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</si>
  <si>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</si>
  <si>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</si>
  <si>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</si>
  <si>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</si>
  <si>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</si>
  <si>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</si>
  <si>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</si>
  <si>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</si>
  <si>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</si>
  <si>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</si>
  <si>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</si>
  <si>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</si>
  <si>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</si>
  <si>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</si>
  <si>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</si>
  <si>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</si>
  <si>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</si>
  <si>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</si>
  <si>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</si>
  <si>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</si>
  <si>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</si>
  <si>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</si>
  <si>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</si>
  <si>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</si>
  <si>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</si>
  <si>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</si>
  <si>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</si>
  <si>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</si>
  <si>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</si>
  <si>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</si>
  <si>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</si>
  <si>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</si>
  <si>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</si>
  <si>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</si>
  <si>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</si>
  <si>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</si>
  <si>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</si>
  <si>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</si>
  <si>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</si>
  <si>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</si>
  <si>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</si>
  <si>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</si>
  <si>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</si>
  <si>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</si>
  <si>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</si>
  <si>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</si>
  <si>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</si>
  <si>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</si>
  <si>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</si>
  <si>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</si>
  <si>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</si>
  <si>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</si>
  <si>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</si>
  <si>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</si>
  <si>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</si>
  <si>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</si>
  <si>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</si>
  <si>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</si>
  <si>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</si>
  <si>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</si>
  <si>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</si>
  <si>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</si>
  <si>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</si>
  <si>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</si>
  <si>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</si>
  <si>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</si>
  <si>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</si>
  <si>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</si>
  <si>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</si>
  <si>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</si>
  <si>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</si>
  <si>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</si>
  <si>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</si>
  <si>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</si>
  <si>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</si>
  <si>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</si>
  <si>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</si>
  <si>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</si>
  <si>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</si>
  <si>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</si>
  <si>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</si>
  <si>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</si>
  <si>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</si>
  <si>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</si>
  <si>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</si>
  <si>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</si>
  <si>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</si>
  <si>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</si>
  <si>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</si>
  <si>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</si>
  <si>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</si>
  <si>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</si>
  <si>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</si>
  <si>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</si>
  <si>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</si>
  <si>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</si>
  <si>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</si>
  <si>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</si>
  <si>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</si>
  <si>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</si>
  <si>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</si>
  <si>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</si>
  <si>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</si>
  <si>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</si>
  <si>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</si>
  <si>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</si>
  <si>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</si>
  <si>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</si>
  <si>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</si>
  <si>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</si>
  <si>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</si>
  <si>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</si>
  <si>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</si>
  <si>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</si>
  <si>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</si>
  <si>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</si>
  <si>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</si>
  <si>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</si>
  <si>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</si>
  <si>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</si>
  <si>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</si>
  <si>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</si>
  <si>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</si>
  <si>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</si>
  <si>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</si>
  <si>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</si>
  <si>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</si>
  <si>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</si>
  <si>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</si>
  <si>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</si>
  <si>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</si>
  <si>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</si>
  <si>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</si>
  <si>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</si>
  <si>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</si>
  <si>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</si>
  <si>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</si>
  <si>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</si>
  <si>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</si>
  <si>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</si>
  <si>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</si>
  <si>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</si>
  <si>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</si>
  <si>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</si>
  <si>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</si>
  <si>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</si>
  <si>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</si>
  <si>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</si>
  <si>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</si>
  <si>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</si>
  <si>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</si>
  <si>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</si>
  <si>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</si>
  <si>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</si>
  <si>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</si>
  <si>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</si>
  <si>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</si>
  <si>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</si>
  <si>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</si>
  <si>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</si>
  <si>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</si>
  <si>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</si>
  <si>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</si>
  <si>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</si>
  <si>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</si>
  <si>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</si>
  <si>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</si>
  <si>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</si>
  <si>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</si>
  <si>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</si>
  <si>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</si>
  <si>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</si>
  <si>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</si>
  <si>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</si>
  <si>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</si>
  <si>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</si>
  <si>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</si>
  <si>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</si>
  <si>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</si>
  <si>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</si>
  <si>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</si>
  <si>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</si>
  <si>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</si>
  <si>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</si>
  <si>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</si>
  <si>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</si>
  <si>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</si>
  <si>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</si>
  <si>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</si>
  <si>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</si>
  <si>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</si>
  <si>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</si>
  <si>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</si>
  <si>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</si>
  <si>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</si>
  <si>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</si>
  <si>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</si>
  <si>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</si>
  <si>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</si>
  <si>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</si>
  <si>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</si>
  <si>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</si>
  <si>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</si>
  <si>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</si>
  <si>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</si>
  <si>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</si>
  <si>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</si>
  <si>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</si>
  <si>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</si>
  <si>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</si>
  <si>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</si>
  <si>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</si>
  <si>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</si>
  <si>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</si>
  <si>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</si>
  <si>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</si>
  <si>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</si>
  <si>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</si>
  <si>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</si>
  <si>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</si>
  <si>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</si>
  <si>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</si>
  <si>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</si>
  <si>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</si>
  <si>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</si>
  <si>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</si>
  <si>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</si>
  <si>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</si>
  <si>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</si>
  <si>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</si>
  <si>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</si>
  <si>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</si>
  <si>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</si>
  <si>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</si>
  <si>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</si>
  <si>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</si>
  <si>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</si>
  <si>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</si>
  <si>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</si>
  <si>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</si>
  <si>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</si>
  <si>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</si>
  <si>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</si>
  <si>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</si>
  <si>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</si>
  <si>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</si>
  <si>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</si>
  <si>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</si>
  <si>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</si>
  <si>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</si>
  <si>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</si>
  <si>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</si>
  <si>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</si>
  <si>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</si>
  <si>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</si>
  <si>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</si>
  <si>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</si>
  <si>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</si>
  <si>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</si>
  <si>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</si>
  <si>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</si>
  <si>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</si>
  <si>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</si>
  <si>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</si>
  <si>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</si>
  <si>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</si>
  <si>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</si>
  <si>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</si>
  <si>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</si>
  <si>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</si>
  <si>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</si>
  <si>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</si>
  <si>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</si>
  <si>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</si>
  <si>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</si>
  <si>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</si>
  <si>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</si>
  <si>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</si>
  <si>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</si>
  <si>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</si>
  <si>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</si>
  <si>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</si>
  <si>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</si>
  <si>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</si>
  <si>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</si>
  <si>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</si>
  <si>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</si>
  <si>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</si>
  <si>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</si>
  <si>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</si>
  <si>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</si>
  <si>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</si>
  <si>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</si>
  <si>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</si>
  <si>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</si>
  <si>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</si>
  <si>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</si>
  <si>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</si>
  <si>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</si>
  <si>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</si>
  <si>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</si>
  <si>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</si>
  <si>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</si>
  <si>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</si>
  <si>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</si>
  <si>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</si>
  <si>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</si>
  <si>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</si>
  <si>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</si>
  <si>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</si>
  <si>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</si>
  <si>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</si>
  <si>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</si>
  <si>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</si>
  <si>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</si>
  <si>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</si>
  <si>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</si>
  <si>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</si>
  <si>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</si>
  <si>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</si>
  <si>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</si>
  <si>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</si>
  <si>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</si>
  <si>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</si>
  <si>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</si>
  <si>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</si>
  <si>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</si>
  <si>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</si>
  <si>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</si>
  <si>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</si>
  <si>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</si>
  <si>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</si>
  <si>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</si>
  <si>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</si>
  <si>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</si>
  <si>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</si>
  <si>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</si>
  <si>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</si>
  <si>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</si>
  <si>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</si>
  <si>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</si>
  <si>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</si>
  <si>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</si>
  <si>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</si>
  <si>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</si>
  <si>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</si>
  <si>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</si>
  <si>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</si>
  <si>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</si>
  <si>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</si>
  <si>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</si>
  <si>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</si>
  <si>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</si>
  <si>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</si>
  <si>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</si>
  <si>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</si>
  <si>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</si>
  <si>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</si>
  <si>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</si>
  <si>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</si>
  <si>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</si>
  <si>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</si>
  <si>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</si>
  <si>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</si>
  <si>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</si>
  <si>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</si>
  <si>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</si>
  <si>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</si>
  <si>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</si>
  <si>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</si>
  <si>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</si>
  <si>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</si>
  <si>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</si>
  <si>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</si>
  <si>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</si>
  <si>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</si>
  <si>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</si>
  <si>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</si>
  <si>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</si>
  <si>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</si>
  <si>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</si>
  <si>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</si>
  <si>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</si>
  <si>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</si>
  <si>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</si>
  <si>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</si>
  <si>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</si>
  <si>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</si>
  <si>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</si>
  <si>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</si>
  <si>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</si>
  <si>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</si>
  <si>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</si>
  <si>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</si>
  <si>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</si>
  <si>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</si>
  <si>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</si>
  <si>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</si>
  <si>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</si>
  <si>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</si>
  <si>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</si>
  <si>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</si>
  <si>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</si>
  <si>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</si>
  <si>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</si>
  <si>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</si>
  <si>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</si>
  <si>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</si>
  <si>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</si>
  <si>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</si>
  <si>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</si>
  <si>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</si>
  <si>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</si>
  <si>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</si>
  <si>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</si>
  <si>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</si>
  <si>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</si>
  <si>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</si>
  <si>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</si>
  <si>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</si>
  <si>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</si>
  <si>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</si>
  <si>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</si>
  <si>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</si>
  <si>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</si>
  <si>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</si>
  <si>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</si>
  <si>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</si>
  <si>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</si>
  <si>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</si>
  <si>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</si>
  <si>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</si>
  <si>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</si>
  <si>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</si>
  <si>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</si>
  <si>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</si>
  <si>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</si>
  <si>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</si>
  <si>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</si>
  <si>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</si>
  <si>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</si>
  <si>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</si>
  <si>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</si>
  <si>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</si>
  <si>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</si>
  <si>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</si>
  <si>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</si>
  <si>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</si>
  <si>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</si>
  <si>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</si>
  <si>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</si>
  <si>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</si>
  <si>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</si>
  <si>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</si>
  <si>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</si>
  <si>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</si>
  <si>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</si>
  <si>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</si>
  <si>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</si>
  <si>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</si>
  <si>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</si>
  <si>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</si>
  <si>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</si>
  <si>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</si>
  <si>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</si>
  <si>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</si>
  <si>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</si>
  <si>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</si>
  <si>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</si>
  <si>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</si>
  <si>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</si>
  <si>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</si>
  <si>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</si>
  <si>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</si>
  <si>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</si>
  <si>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</si>
  <si>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</si>
  <si>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</si>
  <si>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</si>
  <si>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</si>
  <si>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</si>
  <si>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</si>
  <si>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</si>
  <si>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</si>
  <si>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</si>
  <si>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</si>
  <si>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</si>
  <si>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</si>
  <si>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</si>
  <si>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</si>
  <si>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</si>
  <si>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</si>
  <si>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</si>
  <si>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</si>
  <si>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</si>
  <si>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</si>
  <si>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</si>
  <si>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</si>
  <si>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</si>
  <si>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</si>
  <si>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</si>
  <si>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</si>
  <si>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</si>
  <si>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</si>
  <si>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</si>
  <si>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</si>
  <si>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</si>
  <si>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</si>
  <si>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</si>
  <si>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</si>
  <si>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</si>
  <si>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</si>
  <si>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</si>
  <si>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</si>
  <si>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</si>
  <si>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</si>
  <si>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</si>
  <si>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</si>
  <si>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</si>
  <si>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</si>
  <si>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</si>
  <si>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</si>
  <si>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</si>
  <si>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</si>
  <si>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</si>
  <si>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</si>
  <si>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</si>
  <si>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</si>
  <si>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</si>
  <si>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</si>
  <si>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</si>
  <si>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</si>
  <si>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</si>
  <si>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</si>
  <si>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</si>
  <si>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</si>
  <si>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</si>
  <si>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</si>
  <si>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</si>
  <si>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</si>
  <si>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</si>
  <si>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</si>
  <si>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</si>
  <si>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</si>
  <si>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</si>
  <si>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</si>
  <si>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</si>
  <si>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</si>
  <si>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</si>
  <si>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</si>
  <si>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</si>
  <si>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</si>
  <si>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</si>
  <si>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</si>
  <si>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</si>
  <si>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</si>
  <si>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</si>
  <si>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</si>
  <si>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</si>
  <si>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</si>
  <si>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</si>
  <si>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</si>
  <si>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</si>
  <si>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</si>
  <si>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</si>
  <si>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</si>
  <si>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</si>
  <si>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</si>
  <si>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</si>
  <si>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</si>
  <si>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</si>
  <si>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</si>
  <si>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</si>
  <si>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</si>
  <si>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</si>
  <si>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</si>
  <si>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</si>
  <si>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</si>
  <si>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</si>
  <si>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</si>
  <si>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</si>
  <si>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</si>
  <si>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</si>
  <si>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</si>
  <si>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</si>
  <si>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</si>
  <si>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</si>
  <si>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</si>
  <si>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</si>
  <si>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</si>
  <si>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</si>
  <si>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</si>
  <si>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</si>
  <si>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</si>
  <si>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</si>
  <si>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</si>
  <si>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</si>
  <si>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</si>
  <si>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</si>
  <si>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</si>
  <si>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</si>
  <si>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</si>
  <si>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</si>
  <si>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</si>
  <si>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</si>
  <si>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</si>
  <si>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</si>
  <si>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</si>
  <si>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</si>
  <si>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</si>
  <si>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</si>
  <si>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</si>
  <si>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</si>
  <si>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</si>
  <si>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</si>
  <si>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</si>
  <si>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</si>
  <si>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</si>
  <si>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</si>
  <si>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</si>
  <si>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</si>
  <si>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</si>
  <si>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</si>
  <si>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</si>
  <si>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</si>
  <si>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</si>
  <si>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</si>
  <si>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</si>
  <si>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</si>
  <si>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</si>
  <si>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</si>
  <si>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</si>
  <si>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</si>
  <si>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</si>
  <si>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</si>
  <si>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</si>
  <si>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</si>
  <si>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</si>
  <si>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</si>
  <si>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</si>
  <si>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</si>
  <si>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</si>
  <si>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</si>
  <si>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</si>
  <si>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</si>
  <si>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</si>
  <si>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</si>
  <si>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</si>
  <si>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</si>
  <si>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</si>
  <si>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</si>
  <si>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</si>
  <si>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</si>
  <si>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</si>
  <si>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</si>
  <si>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</si>
  <si>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</si>
  <si>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</si>
  <si>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</si>
  <si>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</si>
  <si>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</si>
  <si>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</si>
  <si>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</si>
  <si>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</si>
  <si>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</si>
  <si>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</si>
  <si>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</si>
  <si>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</si>
  <si>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</si>
  <si>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</si>
  <si>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</si>
  <si>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</si>
  <si>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</si>
  <si>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</si>
  <si>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</si>
  <si>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</si>
  <si>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</si>
  <si>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</si>
  <si>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</si>
  <si>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</si>
  <si>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</si>
  <si>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</si>
  <si>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</si>
  <si>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</si>
  <si>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</si>
  <si>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</si>
  <si>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</si>
  <si>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</si>
  <si>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</si>
  <si>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</si>
  <si>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</si>
  <si>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</si>
  <si>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</si>
  <si>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</si>
  <si>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</si>
  <si>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</si>
  <si>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</si>
  <si>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</si>
  <si>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</si>
  <si>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</si>
  <si>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</si>
  <si>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</si>
  <si>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</si>
  <si>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</si>
  <si>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</si>
  <si>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</si>
  <si>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</si>
  <si>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</si>
  <si>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</si>
  <si>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</si>
  <si>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</si>
  <si>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</si>
  <si>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</si>
  <si>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</si>
  <si>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</si>
  <si>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</si>
  <si>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</si>
  <si>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</si>
  <si>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</si>
  <si>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</si>
  <si>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</si>
  <si>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</si>
  <si>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</si>
  <si>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</si>
  <si>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</si>
  <si>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</si>
  <si>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</si>
  <si>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</si>
  <si>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</si>
  <si>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</si>
  <si>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</si>
  <si>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</si>
  <si>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</si>
  <si>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</si>
  <si>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</si>
  <si>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</si>
  <si>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</si>
  <si>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</si>
  <si>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</si>
  <si>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</si>
  <si>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</si>
  <si>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</si>
  <si>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</si>
  <si>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</si>
  <si>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</si>
  <si>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</si>
  <si>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</si>
  <si>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</si>
  <si>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</si>
  <si>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</si>
  <si>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</si>
  <si>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</si>
  <si>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</si>
  <si>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</si>
  <si>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</si>
  <si>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</si>
  <si>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</si>
  <si>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</si>
  <si>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</si>
  <si>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</si>
  <si>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</si>
  <si>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</si>
  <si>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</si>
  <si>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</si>
  <si>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</si>
  <si>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</si>
  <si>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</si>
  <si>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</si>
  <si>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</si>
  <si>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</si>
  <si>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</si>
  <si>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</si>
  <si>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</si>
  <si>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</si>
  <si>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</si>
  <si>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</si>
  <si>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</si>
  <si>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</si>
  <si>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</si>
  <si>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</si>
  <si>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</si>
  <si>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</si>
  <si>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</si>
  <si>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</si>
  <si>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</si>
  <si>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</si>
  <si>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</si>
  <si>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</si>
  <si>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</si>
  <si>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</si>
  <si>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</si>
  <si>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</si>
  <si>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</si>
  <si>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</si>
  <si>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</si>
  <si>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</si>
  <si>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</si>
  <si>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</si>
  <si>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</si>
  <si>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</si>
  <si>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</si>
  <si>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</si>
  <si>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</si>
  <si>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</si>
  <si>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</si>
  <si>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</si>
  <si>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</si>
  <si>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</si>
  <si>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</si>
  <si>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</si>
  <si>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</si>
  <si>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</si>
  <si>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</si>
  <si>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</si>
  <si>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</si>
  <si>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</si>
  <si>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</si>
  <si>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</si>
  <si>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</si>
  <si>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</si>
  <si>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</si>
  <si>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</si>
  <si>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</si>
  <si>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</si>
  <si>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</si>
  <si>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</si>
  <si>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</si>
  <si>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</si>
  <si>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</si>
  <si>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</si>
  <si>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</si>
  <si>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</si>
  <si>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</si>
  <si>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</si>
  <si>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</si>
  <si>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</si>
  <si>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</si>
  <si>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</si>
  <si>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</si>
  <si>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</si>
  <si>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</si>
  <si>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</si>
  <si>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</si>
  <si>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</si>
  <si>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</si>
  <si>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</si>
  <si>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</si>
  <si>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</si>
  <si>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</si>
  <si>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</si>
  <si>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</si>
  <si>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</si>
  <si>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</si>
  <si>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</si>
  <si>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</si>
  <si>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</si>
  <si>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</si>
  <si>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</si>
  <si>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</si>
  <si>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</si>
  <si>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</si>
  <si>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</si>
  <si>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</si>
  <si>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</si>
  <si>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</si>
  <si>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</si>
  <si>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</si>
  <si>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</si>
  <si>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</si>
  <si>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</si>
  <si>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</si>
  <si>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</si>
  <si>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</si>
  <si>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</si>
  <si>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</si>
  <si>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</si>
  <si>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</si>
  <si>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</si>
  <si>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</si>
  <si>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</si>
  <si>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</si>
  <si>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</si>
  <si>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</si>
  <si>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</si>
  <si>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</si>
  <si>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</si>
  <si>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</si>
  <si>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</si>
  <si>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</si>
  <si>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</si>
  <si>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</si>
  <si>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</si>
  <si>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</si>
  <si>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</si>
  <si>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</si>
  <si>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</si>
  <si>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</si>
  <si>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</si>
  <si>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</si>
  <si>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</si>
  <si>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</si>
  <si>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</si>
  <si>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</si>
  <si>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</si>
  <si>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</si>
  <si>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</si>
  <si>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</si>
  <si>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</si>
  <si>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</si>
  <si>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</si>
  <si>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</si>
  <si>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</si>
  <si>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</si>
  <si>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</si>
  <si>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</si>
  <si>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</si>
  <si>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</si>
  <si>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</si>
  <si>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</si>
  <si>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</si>
  <si>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</si>
  <si>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</si>
  <si>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</si>
  <si>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</si>
  <si>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</si>
  <si>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</si>
  <si>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</si>
  <si>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</si>
  <si>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</si>
  <si>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</si>
  <si>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</si>
  <si>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</si>
  <si>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</si>
  <si>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</si>
  <si>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</si>
  <si>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</si>
  <si>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</si>
  <si>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</si>
  <si>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</si>
  <si>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</si>
  <si>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</si>
  <si>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</si>
  <si>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</si>
  <si>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</si>
  <si>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</si>
  <si>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</si>
  <si>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</si>
  <si>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</si>
  <si>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</si>
  <si>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</si>
  <si>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</si>
  <si>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</si>
  <si>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</si>
  <si>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</si>
  <si>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</si>
  <si>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</si>
  <si>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</si>
  <si>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</si>
  <si>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</si>
  <si>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</si>
  <si>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</si>
  <si>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</si>
  <si>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</si>
  <si>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</si>
  <si>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</si>
  <si>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</si>
  <si>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</si>
  <si>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</si>
  <si>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</si>
  <si>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</si>
  <si>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</si>
  <si>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</si>
  <si>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</si>
  <si>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</si>
  <si>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</si>
  <si>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</si>
  <si>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</si>
  <si>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</si>
  <si>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</si>
  <si>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</si>
  <si>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</si>
  <si>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</si>
  <si>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</si>
  <si>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</si>
  <si>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</si>
  <si>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</si>
  <si>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</si>
  <si>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</si>
  <si>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</si>
  <si>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</si>
  <si>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</si>
  <si>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</si>
  <si>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</si>
  <si>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</si>
  <si>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</si>
  <si>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</si>
  <si>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</si>
  <si>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</si>
  <si>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</si>
  <si>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</si>
  <si>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</si>
  <si>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</si>
  <si>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</si>
  <si>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</si>
  <si>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</si>
  <si>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</si>
  <si>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</si>
  <si>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</si>
  <si>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</si>
  <si>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</si>
  <si>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</si>
  <si>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</si>
  <si>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</si>
  <si>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</si>
  <si>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</si>
  <si>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</si>
  <si>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</si>
  <si>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</si>
  <si>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</si>
  <si>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</si>
  <si>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</si>
  <si>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</si>
  <si>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</si>
  <si>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</si>
  <si>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</si>
  <si>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</si>
  <si>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</si>
  <si>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</si>
  <si>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</si>
  <si>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</si>
  <si>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</si>
  <si>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</si>
  <si>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</si>
  <si>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</si>
  <si>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</si>
  <si>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</si>
  <si>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</si>
  <si>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</si>
  <si>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</si>
  <si>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</si>
  <si>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</si>
  <si>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</si>
  <si>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</si>
  <si>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</si>
  <si>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</si>
  <si>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</si>
  <si>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</si>
  <si>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</si>
  <si>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</si>
  <si>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</si>
  <si>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</si>
  <si>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</si>
  <si>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</si>
  <si>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</si>
  <si>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</si>
  <si>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</si>
  <si>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</si>
  <si>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</si>
  <si>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</si>
  <si>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</si>
  <si>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</si>
  <si>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</si>
  <si>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</si>
  <si>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</si>
  <si>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</si>
  <si>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</si>
  <si>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</si>
  <si>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</si>
  <si>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</si>
  <si>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</si>
  <si>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</si>
  <si>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</si>
  <si>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</si>
  <si>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</si>
  <si>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</si>
  <si>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</si>
  <si>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</si>
  <si>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</si>
  <si>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</si>
  <si>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</si>
  <si>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</si>
  <si>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</si>
  <si>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</si>
  <si>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</si>
  <si>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</si>
  <si>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</si>
  <si>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</si>
  <si>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</si>
  <si>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</si>
  <si>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</si>
  <si>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</si>
  <si>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</si>
  <si>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</si>
  <si>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</si>
  <si>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</si>
  <si>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</si>
  <si>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</si>
  <si>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</si>
  <si>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</si>
  <si>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</si>
  <si>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</si>
  <si>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</si>
  <si>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</si>
  <si>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</si>
  <si>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</si>
  <si>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</si>
  <si>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</si>
  <si>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</si>
  <si>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</si>
  <si>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</si>
  <si>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</si>
  <si>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</si>
  <si>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</si>
  <si>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</si>
  <si>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</si>
  <si>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</si>
  <si>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</si>
  <si>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</si>
  <si>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</si>
  <si>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</si>
  <si>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</si>
  <si>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</si>
  <si>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</si>
  <si>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</si>
  <si>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</si>
  <si>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</si>
  <si>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</si>
  <si>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</si>
  <si>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</si>
  <si>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</si>
  <si>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</si>
  <si>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</si>
  <si>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</si>
  <si>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</si>
  <si>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</si>
  <si>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</si>
  <si>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</si>
  <si>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</si>
  <si>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</si>
  <si>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</si>
  <si>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</si>
  <si>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</si>
  <si>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</si>
  <si>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</si>
  <si>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</si>
  <si>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</si>
  <si>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</si>
  <si>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</si>
  <si>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</si>
  <si>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</si>
  <si>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</si>
  <si>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</si>
  <si>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</si>
  <si>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</si>
  <si>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</si>
  <si>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</si>
  <si>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</si>
  <si>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</si>
  <si>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</si>
  <si>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</si>
  <si>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</si>
  <si>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</si>
  <si>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</si>
  <si>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</si>
  <si>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</si>
  <si>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</si>
  <si>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</si>
  <si>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</si>
  <si>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</si>
  <si>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</si>
  <si>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</si>
  <si>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</si>
  <si>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</si>
  <si>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</si>
  <si>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</si>
  <si>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</si>
  <si>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</si>
  <si>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</si>
  <si>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</si>
  <si>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</si>
  <si>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</si>
  <si>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</si>
  <si>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</si>
  <si>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</si>
  <si>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</si>
  <si>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</si>
  <si>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</si>
  <si>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</si>
  <si>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</si>
  <si>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</si>
  <si>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</si>
  <si>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</si>
  <si>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</si>
  <si>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</si>
  <si>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</si>
  <si>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</si>
  <si>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</si>
  <si>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</si>
  <si>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</si>
  <si>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</si>
  <si>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</si>
  <si>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</si>
  <si>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</si>
  <si>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</si>
  <si>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</si>
  <si>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</si>
  <si>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</si>
  <si>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</si>
  <si>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</si>
  <si>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</si>
  <si>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</si>
  <si>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</si>
  <si>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</si>
  <si>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</si>
  <si>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</si>
  <si>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</si>
  <si>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</si>
  <si>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</si>
  <si>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</si>
  <si>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</si>
  <si>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</si>
  <si>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</si>
  <si>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</si>
  <si>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</si>
  <si>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</si>
  <si>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</si>
  <si>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</si>
  <si>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</si>
  <si>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</si>
  <si>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</si>
  <si>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</si>
  <si>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</si>
  <si>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</si>
  <si>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</si>
  <si>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</si>
  <si>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</si>
  <si>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</si>
  <si>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</si>
  <si>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</si>
  <si>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</si>
  <si>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</si>
  <si>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</si>
  <si>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</si>
  <si>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</si>
  <si>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</si>
  <si>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</si>
  <si>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</si>
  <si>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</si>
  <si>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</si>
  <si>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</si>
  <si>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</si>
  <si>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</si>
  <si>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</si>
  <si>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</si>
  <si>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</si>
  <si>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</si>
  <si>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</si>
  <si>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</si>
  <si>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</si>
  <si>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</si>
  <si>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</si>
  <si>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</si>
  <si>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</si>
  <si>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</si>
  <si>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</si>
  <si>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</si>
  <si>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</si>
  <si>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</si>
  <si>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</si>
  <si>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</si>
  <si>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</si>
  <si>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</si>
  <si>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</si>
  <si>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</si>
  <si>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</si>
  <si>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</si>
  <si>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</si>
  <si>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</si>
  <si>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</si>
  <si>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</si>
  <si>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</si>
  <si>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</si>
  <si>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</si>
  <si>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</si>
  <si>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</si>
  <si>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</si>
  <si>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</si>
  <si>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</si>
  <si>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</si>
  <si>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</si>
  <si>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</si>
  <si>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</si>
  <si>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</si>
  <si>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</si>
  <si>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</si>
  <si>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</si>
  <si>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</si>
  <si>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</si>
  <si>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</si>
  <si>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</si>
  <si>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</si>
  <si>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</si>
  <si>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</si>
  <si>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</si>
  <si>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</si>
  <si>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</si>
  <si>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</si>
  <si>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</si>
  <si>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</si>
  <si>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</si>
  <si>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</si>
  <si>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</si>
  <si>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</si>
  <si>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</si>
  <si>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</si>
  <si>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</si>
  <si>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</si>
  <si>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</si>
  <si>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</si>
  <si>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</si>
  <si>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</si>
  <si>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</si>
  <si>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</si>
  <si>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</si>
  <si>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</si>
  <si>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</si>
  <si>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</si>
  <si>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</si>
  <si>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</si>
  <si>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</si>
  <si>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</si>
  <si>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</si>
  <si>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</si>
  <si>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</si>
  <si>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</si>
  <si>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</si>
  <si>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</si>
  <si>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</si>
  <si>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</si>
  <si>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</si>
  <si>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</si>
  <si>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</si>
  <si>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</si>
  <si>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</si>
  <si>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</si>
  <si>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</si>
  <si>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</si>
  <si>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</si>
  <si>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</si>
  <si>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</si>
  <si>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</si>
  <si>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</si>
  <si>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</si>
  <si>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</si>
  <si>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</si>
  <si>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</si>
  <si>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</si>
  <si>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</si>
  <si>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</si>
  <si>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</si>
  <si>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</si>
  <si>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</si>
  <si>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</si>
  <si>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</si>
  <si>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</si>
  <si>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</si>
  <si>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</si>
  <si>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</si>
  <si>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</si>
  <si>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</si>
  <si>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</si>
  <si>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</si>
  <si>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</si>
  <si>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</si>
  <si>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</si>
  <si>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</si>
  <si>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</si>
  <si>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</si>
  <si>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</si>
  <si>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</si>
  <si>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</si>
  <si>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</si>
  <si>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</si>
  <si>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</si>
  <si>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</si>
  <si>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</si>
  <si>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</si>
  <si>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</si>
  <si>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</si>
  <si>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</si>
  <si>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</si>
  <si>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</si>
  <si>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</si>
  <si>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</si>
  <si>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</si>
  <si>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</si>
  <si>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</si>
  <si>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</si>
  <si>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</si>
  <si>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</si>
  <si>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</si>
  <si>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</si>
  <si>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</si>
  <si>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</si>
  <si>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</si>
  <si>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</si>
  <si>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</si>
  <si>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</si>
  <si>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</si>
  <si>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</si>
  <si>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</si>
  <si>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</si>
  <si>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</si>
  <si>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</si>
  <si>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</si>
  <si>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</si>
  <si>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</si>
  <si>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</si>
  <si>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</si>
  <si>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</si>
  <si>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</si>
  <si>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</si>
  <si>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</si>
  <si>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</si>
  <si>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</si>
  <si>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</si>
  <si>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</si>
  <si>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</si>
  <si>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</si>
  <si>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</si>
  <si>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</si>
  <si>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</si>
  <si>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</si>
  <si>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</si>
  <si>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</si>
  <si>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</si>
  <si>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</si>
  <si>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</si>
  <si>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</si>
  <si>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</si>
  <si>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</si>
  <si>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</si>
  <si>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</si>
  <si>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</si>
  <si>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</si>
  <si>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</si>
  <si>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</si>
  <si>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</si>
  <si>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</si>
  <si>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</si>
  <si>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</si>
  <si>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</si>
  <si>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</si>
  <si>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</si>
  <si>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</si>
  <si>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</si>
  <si>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</si>
  <si>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</si>
  <si>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</si>
  <si>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</si>
  <si>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</si>
  <si>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</si>
  <si>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</si>
  <si>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</si>
  <si>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</si>
  <si>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</si>
  <si>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</si>
  <si>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</si>
  <si>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</si>
  <si>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</si>
  <si>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</si>
  <si>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</si>
  <si>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</si>
  <si>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</si>
  <si>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</si>
  <si>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</si>
  <si>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</si>
  <si>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</si>
  <si>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</si>
  <si>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</si>
  <si>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</si>
  <si>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</si>
  <si>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</si>
  <si>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</si>
  <si>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</si>
  <si>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</si>
  <si>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</si>
  <si>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</si>
  <si>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</si>
  <si>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</si>
  <si>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</si>
  <si>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</si>
  <si>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</si>
  <si>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</si>
  <si>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</si>
  <si>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</si>
  <si>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</si>
  <si>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</si>
  <si>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</si>
  <si>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</si>
  <si>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</si>
  <si>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</si>
  <si>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</si>
  <si>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</si>
  <si>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</si>
  <si>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</si>
  <si>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</si>
  <si>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</si>
  <si>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</si>
  <si>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</si>
  <si>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</si>
  <si>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</si>
  <si>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</si>
  <si>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</si>
  <si>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</si>
  <si>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</si>
  <si>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</si>
  <si>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</si>
  <si>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</si>
  <si>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</si>
  <si>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</si>
  <si>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</si>
  <si>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</si>
  <si>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</si>
  <si>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</si>
  <si>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</si>
  <si>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</si>
  <si>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</si>
  <si>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</si>
  <si>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</si>
  <si>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</si>
  <si>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</si>
  <si>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</si>
  <si>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</si>
  <si>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</si>
  <si>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</si>
  <si>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</si>
  <si>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</si>
  <si>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</si>
  <si>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</si>
  <si>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</si>
  <si>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</si>
  <si>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</si>
  <si>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</si>
  <si>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</si>
  <si>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</si>
  <si>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</si>
  <si>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</si>
  <si>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</si>
  <si>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</si>
  <si>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</si>
  <si>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</si>
  <si>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</si>
  <si>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</si>
  <si>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</si>
  <si>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</si>
  <si>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</si>
  <si>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</si>
  <si>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</si>
  <si>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</si>
  <si>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</si>
  <si>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</si>
  <si>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</si>
  <si>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</si>
  <si>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</si>
  <si>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</si>
  <si>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</si>
  <si>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</si>
  <si>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</si>
  <si>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</si>
  <si>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</si>
  <si>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</si>
  <si>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</si>
  <si>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</si>
  <si>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</si>
  <si>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</si>
  <si>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</si>
  <si>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</si>
  <si>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</si>
  <si>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</si>
  <si>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</si>
  <si>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</si>
  <si>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</si>
  <si>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</si>
  <si>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</si>
  <si>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</si>
  <si>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</si>
  <si>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</si>
  <si>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</si>
  <si>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</si>
  <si>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</si>
  <si>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</si>
  <si>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</si>
  <si>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</si>
  <si>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</si>
  <si>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</si>
  <si>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</si>
  <si>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</si>
  <si>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</si>
  <si>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</si>
  <si>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</si>
  <si>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</si>
  <si>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</si>
  <si>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</si>
  <si>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</si>
  <si>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</si>
  <si>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</si>
  <si>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</si>
  <si>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</si>
  <si>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</si>
  <si>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</si>
  <si>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</si>
  <si>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</si>
  <si>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</si>
  <si>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</si>
  <si>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</si>
  <si>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</si>
  <si>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</si>
  <si>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</si>
  <si>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</si>
  <si>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</si>
  <si>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</si>
  <si>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</si>
  <si>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</si>
  <si>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</si>
  <si>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</si>
  <si>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</si>
  <si>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</si>
  <si>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</si>
  <si>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</si>
  <si>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</si>
  <si>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</si>
  <si>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</si>
  <si>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</si>
  <si>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</si>
  <si>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</si>
  <si>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</si>
  <si>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</si>
  <si>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</si>
  <si>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</si>
  <si>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</si>
  <si>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</si>
  <si>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</si>
  <si>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</si>
  <si>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</si>
  <si>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</si>
  <si>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</si>
  <si>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</si>
  <si>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</si>
  <si>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</si>
  <si>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</si>
  <si>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</si>
  <si>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</si>
  <si>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</si>
  <si>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</si>
  <si>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</si>
  <si>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</si>
  <si>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</si>
  <si>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</si>
  <si>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</si>
  <si>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</si>
  <si>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</si>
  <si>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</si>
  <si>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</si>
  <si>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</si>
  <si>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</si>
  <si>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</si>
  <si>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</si>
  <si>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</si>
  <si>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</si>
  <si>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</si>
  <si>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</si>
  <si>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</si>
  <si>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</si>
  <si>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</si>
  <si>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</si>
  <si>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</si>
  <si>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</si>
  <si>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</si>
  <si>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</si>
  <si>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</si>
  <si>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</si>
  <si>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</si>
  <si>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</si>
  <si>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</si>
  <si>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</si>
  <si>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</si>
  <si>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</si>
  <si>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</si>
  <si>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</si>
  <si>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</si>
  <si>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</si>
  <si>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</si>
  <si>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</si>
  <si>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</si>
  <si>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</si>
  <si>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</si>
  <si>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</si>
  <si>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</si>
  <si>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</si>
  <si>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</si>
  <si>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</si>
  <si>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</si>
  <si>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</si>
  <si>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</si>
  <si>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</si>
  <si>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</si>
  <si>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</si>
  <si>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</si>
  <si>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</si>
  <si>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</si>
  <si>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</si>
  <si>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</si>
  <si>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</si>
  <si>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</si>
  <si>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</si>
  <si>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</si>
  <si>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</si>
  <si>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</si>
  <si>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</si>
  <si>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</si>
  <si>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</si>
  <si>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</si>
  <si>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</si>
  <si>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</si>
  <si>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</si>
  <si>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</si>
  <si>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</si>
  <si>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</si>
  <si>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</si>
  <si>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</si>
  <si>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</si>
  <si>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</si>
  <si>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</si>
  <si>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</si>
  <si>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</si>
  <si>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</si>
  <si>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</si>
  <si>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</si>
  <si>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</si>
  <si>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</si>
  <si>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</si>
  <si>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</si>
  <si>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</si>
  <si>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</si>
  <si>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</si>
  <si>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</si>
  <si>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</si>
  <si>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</si>
  <si>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</si>
  <si>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</si>
  <si>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</si>
  <si>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</si>
  <si>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</si>
  <si>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</si>
  <si>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</si>
  <si>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</si>
  <si>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</si>
  <si>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</si>
  <si>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</si>
  <si>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</si>
  <si>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</si>
  <si>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</si>
  <si>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</si>
  <si>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</si>
  <si>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</si>
  <si>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</si>
  <si>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</si>
  <si>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</si>
  <si>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</si>
  <si>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</si>
  <si>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</si>
  <si>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</si>
  <si>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</si>
  <si>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</si>
  <si>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</si>
  <si>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</si>
  <si>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</si>
  <si>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</si>
  <si>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</si>
  <si>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</si>
  <si>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</si>
  <si>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</si>
  <si>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</si>
  <si>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</si>
  <si>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</si>
  <si>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</si>
  <si>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</si>
  <si>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</si>
  <si>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</si>
  <si>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</si>
  <si>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</si>
  <si>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</si>
  <si>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</si>
  <si>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</si>
  <si>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</si>
  <si>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</si>
  <si>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</si>
  <si>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</si>
  <si>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</si>
  <si>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</si>
  <si>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</si>
  <si>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</si>
  <si>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</si>
  <si>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</si>
  <si>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</si>
  <si>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</si>
  <si>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</si>
  <si>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</si>
  <si>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</si>
  <si>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</si>
  <si>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</si>
  <si>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</si>
  <si>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</si>
  <si>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</si>
  <si>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</si>
  <si>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</si>
  <si>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</si>
  <si>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</si>
  <si>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</si>
  <si>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</si>
  <si>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</si>
  <si>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</si>
  <si>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</si>
  <si>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</si>
  <si>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</si>
  <si>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</si>
  <si>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</si>
  <si>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</si>
  <si>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</si>
  <si>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</si>
  <si>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</si>
  <si>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</si>
  <si>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</si>
  <si>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</si>
  <si>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</si>
  <si>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</si>
  <si>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</si>
  <si>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</si>
  <si>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</si>
  <si>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</si>
  <si>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</si>
  <si>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</si>
  <si>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</si>
  <si>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</si>
  <si>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</si>
  <si>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</si>
  <si>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</si>
  <si>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</si>
  <si>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</si>
  <si>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</si>
  <si>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</si>
  <si>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</si>
  <si>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</si>
  <si>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</si>
  <si>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</si>
  <si>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</si>
  <si>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</si>
  <si>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</si>
  <si>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</si>
  <si>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</si>
  <si>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</si>
  <si>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</si>
  <si>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</si>
  <si>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</si>
  <si>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</si>
  <si>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</si>
  <si>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</si>
  <si>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</si>
  <si>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</si>
  <si>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</si>
  <si>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</si>
  <si>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</si>
  <si>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</si>
  <si>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</si>
  <si>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</si>
  <si>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</si>
  <si>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</si>
  <si>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</si>
  <si>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</si>
  <si>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</si>
  <si>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</si>
  <si>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</si>
  <si>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</si>
  <si>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</si>
  <si>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</si>
  <si>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</si>
  <si>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</si>
  <si>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</si>
  <si>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</si>
  <si>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</si>
  <si>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</si>
  <si>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</si>
  <si>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</si>
  <si>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</si>
  <si>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</si>
  <si>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</si>
  <si>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</si>
  <si>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</si>
  <si>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</si>
  <si>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</si>
  <si>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</si>
  <si>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</si>
  <si>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</si>
  <si>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</si>
  <si>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</si>
  <si>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</si>
  <si>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</si>
  <si>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</si>
  <si>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</si>
  <si>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</si>
  <si>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</si>
  <si>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</si>
  <si>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</si>
  <si>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</si>
  <si>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</si>
  <si>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</si>
  <si>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</si>
  <si>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</si>
  <si>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</si>
  <si>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</si>
  <si>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</si>
  <si>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</si>
  <si>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</si>
  <si>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</si>
  <si>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</si>
  <si>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</si>
  <si>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</si>
  <si>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</si>
  <si>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</si>
  <si>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</si>
  <si>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</si>
  <si>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</si>
  <si>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</si>
  <si>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</si>
  <si>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</si>
  <si>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</si>
  <si>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</si>
  <si>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</si>
  <si>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</si>
  <si>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</si>
  <si>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</si>
  <si>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</si>
  <si>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</si>
  <si>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</si>
  <si>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</si>
  <si>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</si>
  <si>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</si>
  <si>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</si>
  <si>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</si>
  <si>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</si>
  <si>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</si>
  <si>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</si>
  <si>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</si>
  <si>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</si>
  <si>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</si>
  <si>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</si>
  <si>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</si>
  <si>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</si>
  <si>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</si>
  <si>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</si>
  <si>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</si>
  <si>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</si>
  <si>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</si>
  <si>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</si>
  <si>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</si>
  <si>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</si>
  <si>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</si>
  <si>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</si>
  <si>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</si>
  <si>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</si>
  <si>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</si>
  <si>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</si>
  <si>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</si>
  <si>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</si>
  <si>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</si>
  <si>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</si>
  <si>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</si>
  <si>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</si>
  <si>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</si>
  <si>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</si>
  <si>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</si>
  <si>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</si>
  <si>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</si>
  <si>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</si>
  <si>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</si>
  <si>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</si>
  <si>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</si>
  <si>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</si>
  <si>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</si>
  <si>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</si>
  <si>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</si>
  <si>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</si>
  <si>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</si>
  <si>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</si>
  <si>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</si>
  <si>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</si>
  <si>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</si>
  <si>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</si>
  <si>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</si>
  <si>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</si>
  <si>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</si>
  <si>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</si>
  <si>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</si>
  <si>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</si>
  <si>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</si>
  <si>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</si>
  <si>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</si>
  <si>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</si>
  <si>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</si>
  <si>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</si>
  <si>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</si>
  <si>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</si>
  <si>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</si>
  <si>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</si>
  <si>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</si>
  <si>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</si>
  <si>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</si>
  <si>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</si>
  <si>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</si>
  <si>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</si>
  <si>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</si>
  <si>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</si>
  <si>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</si>
  <si>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</si>
  <si>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</si>
  <si>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</si>
  <si>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</si>
  <si>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</si>
  <si>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</si>
  <si>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</si>
  <si>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</si>
  <si>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</si>
  <si>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</si>
  <si>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</si>
  <si>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</si>
  <si>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</si>
  <si>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</si>
  <si>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</si>
  <si>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</si>
  <si>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</si>
  <si>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</si>
  <si>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</si>
  <si>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</si>
  <si>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</si>
  <si>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</si>
  <si>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</si>
  <si>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</si>
  <si>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</si>
  <si>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</si>
  <si>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</si>
  <si>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</si>
  <si>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</si>
  <si>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</si>
  <si>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</si>
  <si>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</si>
  <si>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</si>
  <si>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</si>
  <si>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</si>
  <si>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</si>
  <si>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</si>
  <si>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</si>
  <si>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</si>
  <si>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</si>
  <si>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</si>
  <si>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</si>
  <si>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</si>
  <si>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</si>
  <si>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</si>
  <si>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</si>
  <si>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</si>
  <si>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</si>
  <si>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</si>
  <si>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</si>
  <si>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</si>
  <si>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</si>
  <si>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</si>
  <si>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</si>
  <si>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</si>
  <si>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</si>
  <si>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</si>
  <si>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</si>
  <si>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</si>
  <si>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</si>
  <si>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</si>
  <si>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</si>
  <si>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</si>
  <si>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</si>
  <si>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</si>
  <si>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</si>
  <si>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</si>
  <si>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</si>
  <si>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</si>
  <si>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</si>
  <si>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</si>
  <si>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</si>
  <si>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</si>
  <si>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</si>
  <si>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</si>
  <si>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</si>
  <si>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</si>
  <si>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</si>
  <si>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</si>
  <si>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</si>
  <si>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</si>
  <si>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</si>
  <si>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</si>
  <si>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</si>
  <si>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</si>
  <si>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</si>
  <si>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</si>
  <si>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</si>
  <si>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</si>
  <si>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</si>
  <si>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</si>
  <si>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</si>
  <si>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</si>
  <si>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</si>
  <si>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</si>
  <si>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</si>
  <si>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</si>
  <si>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</si>
  <si>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</si>
  <si>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</si>
  <si>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</si>
  <si>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</si>
  <si>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</si>
  <si>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</si>
  <si>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</si>
  <si>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</si>
  <si>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</si>
  <si>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</si>
  <si>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</si>
  <si>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</si>
  <si>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</si>
  <si>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</si>
  <si>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</si>
  <si>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</si>
  <si>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</si>
  <si>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</si>
  <si>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</si>
  <si>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</si>
  <si>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</si>
  <si>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</si>
  <si>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</si>
  <si>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</si>
  <si>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</si>
  <si>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</si>
  <si>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</si>
  <si>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</si>
  <si>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</si>
  <si>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</si>
  <si>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</si>
  <si>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</si>
  <si>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</si>
  <si>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</si>
  <si>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</si>
  <si>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</si>
  <si>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</si>
  <si>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</si>
  <si>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</si>
  <si>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</si>
  <si>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</si>
  <si>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</si>
  <si>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</si>
  <si>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</si>
  <si>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</si>
  <si>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</si>
  <si>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</si>
  <si>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</si>
  <si>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</si>
  <si>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</si>
  <si>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</si>
  <si>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</si>
  <si>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</si>
  <si>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</si>
  <si>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</si>
  <si>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</si>
  <si>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</si>
  <si>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</si>
  <si>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</si>
  <si>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</si>
  <si>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</si>
  <si>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</si>
  <si>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</si>
  <si>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</si>
  <si>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</si>
  <si>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</si>
  <si>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</si>
  <si>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</si>
  <si>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</si>
  <si>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</si>
  <si>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</si>
  <si>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</si>
  <si>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</si>
  <si>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</si>
  <si>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</si>
  <si>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</si>
  <si>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</si>
  <si>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</si>
  <si>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</si>
  <si>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</si>
  <si>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</si>
  <si>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</si>
  <si>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</si>
  <si>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</si>
  <si>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</si>
  <si>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</si>
  <si>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</si>
  <si>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</si>
  <si>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</si>
  <si>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</si>
  <si>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</si>
  <si>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</si>
  <si>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</si>
  <si>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</si>
  <si>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</si>
  <si>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</si>
  <si>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</si>
  <si>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</si>
  <si>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</si>
  <si>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</si>
  <si>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</si>
  <si>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</si>
  <si>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</si>
  <si>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</si>
  <si>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</si>
  <si>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</si>
  <si>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</si>
  <si>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</si>
  <si>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</si>
  <si>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</si>
  <si>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</si>
  <si>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</si>
  <si>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</si>
  <si>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</si>
  <si>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</si>
  <si>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</si>
  <si>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</si>
  <si>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</si>
  <si>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</si>
  <si>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</si>
  <si>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</si>
  <si>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</si>
  <si>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</si>
  <si>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</si>
  <si>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</si>
  <si>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</si>
  <si>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</si>
  <si>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</si>
  <si>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</si>
  <si>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</si>
  <si>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</si>
  <si>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</si>
  <si>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</si>
  <si>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</si>
  <si>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</si>
  <si>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</si>
  <si>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</si>
  <si>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</si>
  <si>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</si>
  <si>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</si>
  <si>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</si>
  <si>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</si>
  <si>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</si>
  <si>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</si>
  <si>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</si>
  <si>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</si>
  <si>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</si>
  <si>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</si>
  <si>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</si>
  <si>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</si>
  <si>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</si>
  <si>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</si>
  <si>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</si>
  <si>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</si>
  <si>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</si>
  <si>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</si>
  <si>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</si>
  <si>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</si>
  <si>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</si>
  <si>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</si>
  <si>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</si>
  <si>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</si>
  <si>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</si>
  <si>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</si>
  <si>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</si>
  <si>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</si>
  <si>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</si>
  <si>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</si>
  <si>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</si>
  <si>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</si>
  <si>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</si>
  <si>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</si>
  <si>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</si>
  <si>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</si>
  <si>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</si>
  <si>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</si>
  <si>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</si>
  <si>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</si>
  <si>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</si>
  <si>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</si>
  <si>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</si>
  <si>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</si>
  <si>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</si>
  <si>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</si>
  <si>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</si>
  <si>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</si>
  <si>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</si>
  <si>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</si>
  <si>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</si>
  <si>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</si>
  <si>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</si>
  <si>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</si>
  <si>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</si>
  <si>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</si>
  <si>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</si>
  <si>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</si>
  <si>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</si>
  <si>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</si>
  <si>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</si>
  <si>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</si>
  <si>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</si>
  <si>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</si>
  <si>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</si>
  <si>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</si>
  <si>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</si>
  <si>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</si>
  <si>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</si>
  <si>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</si>
  <si>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</si>
  <si>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</si>
  <si>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</si>
  <si>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</si>
  <si>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</si>
  <si>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</si>
  <si>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</si>
  <si>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</si>
  <si>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</si>
  <si>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</si>
  <si>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</si>
  <si>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</si>
  <si>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</si>
  <si>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</si>
  <si>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</si>
  <si>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</si>
  <si>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</si>
  <si>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</si>
  <si>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</si>
  <si>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</si>
  <si>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</si>
  <si>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</si>
  <si>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</si>
  <si>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</si>
  <si>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</si>
  <si>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</si>
  <si>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</si>
  <si>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</si>
  <si>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</si>
  <si>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</si>
  <si>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</si>
  <si>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</si>
  <si>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</si>
  <si>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</si>
  <si>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</si>
  <si>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</si>
  <si>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</si>
  <si>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</si>
  <si>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</si>
  <si>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</si>
  <si>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</si>
  <si>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</si>
  <si>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</si>
  <si>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</si>
  <si>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</si>
  <si>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</si>
  <si>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</si>
  <si>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</si>
  <si>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</si>
  <si>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</si>
  <si>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</si>
  <si>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</si>
  <si>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</si>
  <si>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</si>
  <si>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</si>
  <si>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</si>
  <si>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</si>
  <si>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</si>
  <si>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</si>
  <si>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</si>
  <si>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</si>
  <si>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</si>
  <si>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</si>
  <si>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</si>
  <si>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</si>
  <si>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</si>
  <si>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</si>
  <si>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</si>
  <si>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</si>
  <si>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</si>
  <si>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</si>
  <si>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</si>
  <si>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</si>
  <si>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</si>
  <si>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</si>
  <si>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</si>
  <si>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</si>
  <si>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</si>
  <si>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</si>
  <si>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</si>
  <si>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</si>
  <si>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</si>
  <si>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</si>
  <si>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</si>
  <si>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</si>
  <si>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</si>
  <si>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</si>
  <si>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</si>
  <si>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</si>
  <si>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</si>
  <si>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</si>
  <si>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</si>
  <si>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</si>
  <si>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</si>
  <si>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</si>
  <si>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</si>
  <si>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</si>
  <si>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</si>
  <si>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</si>
  <si>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</si>
  <si>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</si>
  <si>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</si>
  <si>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</si>
  <si>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</si>
  <si>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</si>
  <si>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</si>
  <si>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</si>
  <si>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</si>
  <si>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</si>
  <si>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</si>
  <si>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</si>
  <si>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</si>
  <si>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</si>
  <si>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</si>
  <si>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</si>
  <si>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</si>
  <si>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</si>
  <si>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</si>
  <si>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</si>
  <si>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</si>
  <si>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</si>
  <si>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</si>
  <si>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</si>
  <si>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</si>
  <si>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</si>
  <si>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</si>
  <si>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</si>
  <si>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</si>
  <si>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</si>
  <si>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</si>
  <si>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</si>
  <si>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</si>
  <si>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</si>
  <si>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</si>
  <si>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</si>
  <si>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</si>
  <si>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</si>
  <si>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</si>
  <si>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</si>
  <si>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</si>
  <si>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</si>
  <si>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</si>
  <si>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</si>
  <si>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</si>
  <si>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</si>
  <si>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</si>
  <si>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</si>
  <si>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</si>
  <si>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</si>
  <si>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</si>
  <si>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</si>
  <si>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</si>
  <si>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</si>
  <si>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</si>
  <si>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</si>
  <si>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</si>
  <si>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</si>
  <si>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</si>
  <si>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</si>
  <si>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</si>
  <si>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</si>
  <si>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</si>
  <si>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</si>
  <si>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</si>
  <si>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</si>
  <si>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</si>
  <si>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</si>
  <si>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</si>
  <si>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</si>
  <si>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</si>
  <si>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</si>
  <si>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</si>
  <si>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</si>
  <si>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</si>
  <si>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</si>
  <si>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</si>
  <si>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</si>
  <si>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</si>
  <si>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</si>
  <si>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</si>
  <si>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</si>
  <si>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</si>
  <si>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</si>
  <si>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</si>
  <si>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</si>
  <si>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</si>
  <si>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</si>
  <si>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</si>
  <si>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</si>
  <si>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</si>
  <si>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</si>
  <si>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</si>
  <si>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</si>
  <si>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</si>
  <si>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</si>
  <si>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</si>
  <si>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</si>
  <si>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</si>
  <si>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</si>
  <si>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</si>
  <si>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</si>
  <si>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</si>
  <si>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</si>
  <si>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</si>
  <si>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</si>
  <si>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</si>
  <si>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</si>
  <si>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</si>
  <si>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</si>
  <si>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</si>
  <si>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</si>
  <si>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</si>
  <si>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</si>
  <si>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</si>
  <si>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</si>
  <si>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</si>
  <si>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</si>
  <si>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</si>
  <si>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</si>
  <si>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</si>
  <si>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</si>
  <si>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</si>
  <si>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</si>
  <si>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</si>
  <si>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</si>
  <si>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</si>
  <si>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</si>
  <si>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</si>
  <si>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</si>
  <si>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</si>
  <si>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</si>
  <si>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</si>
  <si>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</si>
  <si>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</si>
  <si>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</si>
  <si>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</si>
  <si>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</si>
  <si>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</si>
  <si>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</si>
  <si>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</si>
  <si>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</si>
  <si>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</si>
  <si>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</si>
  <si>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</si>
  <si>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</si>
  <si>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</si>
  <si>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</si>
  <si>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</si>
  <si>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</si>
  <si>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</si>
  <si>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</si>
  <si>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</si>
  <si>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</si>
  <si>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</si>
  <si>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</si>
  <si>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</si>
  <si>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</si>
  <si>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</si>
  <si>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</si>
  <si>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</si>
  <si>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</si>
  <si>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</si>
  <si>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</si>
  <si>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</si>
  <si>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</si>
  <si>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</si>
  <si>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</si>
  <si>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</si>
  <si>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</si>
  <si>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</si>
  <si>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</si>
  <si>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</si>
  <si>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</si>
  <si>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</si>
  <si>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</si>
  <si>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</si>
  <si>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</si>
  <si>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</si>
  <si>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</si>
  <si>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</si>
  <si>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</si>
  <si>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</si>
  <si>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</si>
  <si>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</si>
  <si>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</si>
  <si>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</si>
  <si>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</si>
  <si>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</si>
  <si>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</si>
  <si>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</si>
  <si>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</si>
  <si>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</si>
  <si>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</si>
  <si>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</si>
  <si>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</si>
  <si>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</si>
  <si>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</si>
  <si>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</si>
  <si>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</si>
  <si>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</si>
  <si>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</si>
  <si>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</si>
  <si>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</si>
  <si>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</si>
  <si>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</si>
  <si>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</si>
  <si>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</si>
  <si>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</si>
  <si>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</si>
  <si>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</si>
  <si>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</si>
  <si>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</si>
  <si>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</si>
  <si>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</si>
  <si>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</si>
  <si>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</si>
  <si>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</si>
  <si>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</si>
  <si>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</si>
  <si>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</si>
  <si>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</si>
  <si>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</si>
  <si>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</si>
  <si>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</si>
  <si>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</si>
  <si>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</si>
  <si>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</si>
  <si>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</si>
  <si>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</si>
  <si>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</si>
  <si>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</si>
  <si>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</si>
  <si>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</si>
  <si>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</si>
  <si>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</si>
  <si>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</si>
  <si>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</si>
  <si>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</si>
  <si>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</si>
  <si>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</si>
  <si>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</si>
  <si>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</si>
  <si>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</si>
  <si>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</si>
  <si>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</si>
  <si>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</si>
  <si>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</si>
  <si>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</si>
  <si>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</si>
  <si>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</si>
  <si>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</si>
  <si>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</si>
  <si>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</si>
  <si>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</si>
  <si>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</si>
  <si>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</si>
  <si>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</si>
  <si>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</si>
  <si>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</si>
  <si>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</si>
  <si>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</si>
  <si>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</si>
  <si>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</si>
  <si>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</si>
  <si>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</si>
  <si>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</si>
  <si>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</si>
  <si>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</si>
  <si>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</si>
  <si>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</si>
  <si>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</si>
  <si>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</si>
  <si>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</si>
  <si>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</si>
  <si>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</si>
  <si>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</si>
  <si>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</si>
  <si>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</si>
  <si>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</si>
  <si>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</si>
  <si>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</si>
  <si>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</si>
  <si>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</si>
  <si>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</si>
  <si>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</si>
  <si>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</si>
  <si>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</si>
  <si>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</si>
  <si>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</si>
  <si>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</si>
  <si>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</si>
  <si>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</si>
  <si>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</si>
  <si>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</si>
  <si>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</si>
  <si>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</si>
  <si>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</si>
  <si>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</si>
  <si>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</si>
  <si>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</si>
  <si>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</si>
  <si>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</si>
  <si>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</si>
  <si>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</si>
  <si>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</si>
  <si>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</si>
  <si>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</si>
  <si>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</si>
  <si>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</si>
  <si>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</si>
  <si>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</si>
  <si>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</si>
  <si>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</si>
  <si>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</si>
  <si>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</si>
  <si>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</si>
  <si>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</si>
  <si>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</si>
  <si>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</si>
  <si>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</si>
  <si>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</si>
  <si>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</si>
  <si>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</si>
  <si>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</si>
  <si>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</si>
  <si>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</si>
  <si>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</si>
  <si>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</si>
  <si>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</si>
  <si>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</si>
  <si>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</si>
  <si>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</si>
  <si>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</si>
  <si>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</si>
  <si>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</si>
  <si>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</si>
  <si>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</si>
  <si>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</si>
  <si>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</si>
  <si>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</si>
  <si>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</si>
  <si>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</si>
  <si>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</si>
  <si>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</si>
  <si>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</si>
  <si>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</si>
  <si>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</si>
  <si>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</si>
  <si>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</si>
  <si>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</si>
  <si>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</si>
  <si>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</si>
  <si>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</si>
  <si>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</si>
  <si>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</si>
  <si>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</si>
  <si>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</si>
  <si>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</si>
  <si>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</si>
  <si>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</si>
  <si>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</si>
  <si>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</si>
  <si>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</si>
  <si>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</si>
  <si>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</si>
  <si>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</si>
  <si>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</si>
  <si>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</si>
  <si>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</si>
  <si>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</si>
  <si>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</si>
  <si>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</si>
  <si>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</si>
  <si>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</si>
  <si>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</si>
  <si>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</si>
  <si>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</si>
  <si>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</si>
  <si>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</si>
  <si>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</si>
  <si>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</si>
  <si>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</si>
  <si>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</si>
  <si>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</si>
  <si>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</si>
  <si>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</si>
  <si>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</si>
  <si>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</si>
  <si>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</si>
  <si>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</si>
  <si>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</si>
  <si>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</si>
  <si>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</si>
  <si>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</si>
  <si>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</si>
  <si>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</si>
  <si>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</si>
  <si>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</si>
  <si>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</si>
  <si>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</si>
  <si>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</si>
  <si>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</si>
  <si>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</si>
  <si>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</si>
  <si>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</si>
  <si>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</si>
  <si>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</si>
  <si>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</si>
  <si>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</si>
  <si>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</si>
  <si>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</si>
  <si>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</si>
  <si>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</si>
  <si>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</si>
  <si>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</si>
  <si>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</si>
  <si>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</si>
  <si>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</si>
  <si>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</si>
  <si>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</si>
  <si>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</si>
  <si>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</si>
  <si>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</si>
  <si>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</si>
  <si>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</si>
  <si>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</si>
  <si>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</si>
  <si>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</si>
  <si>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</si>
  <si>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</si>
  <si>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</si>
  <si>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</si>
  <si>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</si>
  <si>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</si>
  <si>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</si>
  <si>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</si>
  <si>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</si>
  <si>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</si>
  <si>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</si>
  <si>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</si>
  <si>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</si>
  <si>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</si>
  <si>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</si>
  <si>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</si>
  <si>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</si>
  <si>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</si>
  <si>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</si>
  <si>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</si>
  <si>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</si>
  <si>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</si>
  <si>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</si>
  <si>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</si>
  <si>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</si>
  <si>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</si>
  <si>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</si>
  <si>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</si>
  <si>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</si>
  <si>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</si>
  <si>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</si>
  <si>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</si>
  <si>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</si>
  <si>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</si>
  <si>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</si>
  <si>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</si>
  <si>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</si>
  <si>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</si>
  <si>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</si>
  <si>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</si>
  <si>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</si>
  <si>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</si>
  <si>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</si>
  <si>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</si>
  <si>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</si>
  <si>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</si>
  <si>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</si>
  <si>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</si>
  <si>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</si>
  <si>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</si>
  <si>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</si>
  <si>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</si>
  <si>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</si>
  <si>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</si>
  <si>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</si>
  <si>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</si>
  <si>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</si>
  <si>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</si>
  <si>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</si>
  <si>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</si>
  <si>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</si>
  <si>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</si>
  <si>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</si>
  <si>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</si>
  <si>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</si>
  <si>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</si>
  <si>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</si>
  <si>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</si>
  <si>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</si>
  <si>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</si>
  <si>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</si>
  <si>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</si>
  <si>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</si>
  <si>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</si>
  <si>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</si>
  <si>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</si>
  <si>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</si>
  <si>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</si>
  <si>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</si>
  <si>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</si>
  <si>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</si>
  <si>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</si>
  <si>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</si>
  <si>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</si>
  <si>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</si>
  <si>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</si>
  <si>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</si>
  <si>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</si>
  <si>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</si>
  <si>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</si>
  <si>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</si>
  <si>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</si>
  <si>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</si>
  <si>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</si>
  <si>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</si>
  <si>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</si>
  <si>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</si>
  <si>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</si>
  <si>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</si>
  <si>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</si>
  <si>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</si>
  <si>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</si>
  <si>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</si>
  <si>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</si>
  <si>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</si>
  <si>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</si>
  <si>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</si>
  <si>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</si>
  <si>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</si>
  <si>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</si>
  <si>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</si>
  <si>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</si>
  <si>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</si>
  <si>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</si>
  <si>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</si>
  <si>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</si>
  <si>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</si>
  <si>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</si>
  <si>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</si>
  <si>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</si>
  <si>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</si>
  <si>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</si>
  <si>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</si>
  <si>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</si>
  <si>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</si>
  <si>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</si>
  <si>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</si>
  <si>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</si>
  <si>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</si>
  <si>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</si>
  <si>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</si>
  <si>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</si>
  <si>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</si>
  <si>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</si>
  <si>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</si>
  <si>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</si>
  <si>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</si>
  <si>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</si>
  <si>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</si>
  <si>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</si>
  <si>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</si>
  <si>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</si>
  <si>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</si>
  <si>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</si>
  <si>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</si>
  <si>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</si>
  <si>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</si>
  <si>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</si>
  <si>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</si>
  <si>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</si>
  <si>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</si>
  <si>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</si>
  <si>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</si>
  <si>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</si>
  <si>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</si>
  <si>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</si>
  <si>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</si>
  <si>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</si>
  <si>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</si>
  <si>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</si>
  <si>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</si>
  <si>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</si>
  <si>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</si>
  <si>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</si>
  <si>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</si>
  <si>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</si>
  <si>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</si>
  <si>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</si>
  <si>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</si>
  <si>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</si>
  <si>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</si>
  <si>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</si>
  <si>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</si>
  <si>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</si>
  <si>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</si>
  <si>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</si>
  <si>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</si>
  <si>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</si>
  <si>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</si>
  <si>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</si>
  <si>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</si>
  <si>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</si>
  <si>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</si>
  <si>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</si>
  <si>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</si>
  <si>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</si>
  <si>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</si>
  <si>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</si>
  <si>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</si>
  <si>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</si>
  <si>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</si>
  <si>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</si>
  <si>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</si>
  <si>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</si>
  <si>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</si>
  <si>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</si>
  <si>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</si>
  <si>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</si>
  <si>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</si>
  <si>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</si>
  <si>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</si>
  <si>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</si>
  <si>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</si>
  <si>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</si>
  <si>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</si>
  <si>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</si>
  <si>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</si>
  <si>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</si>
  <si>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</si>
  <si>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</si>
  <si>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</si>
  <si>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</si>
  <si>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</si>
  <si>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</si>
  <si>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</si>
  <si>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</si>
  <si>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</si>
  <si>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</si>
  <si>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</si>
  <si>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</si>
  <si>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</si>
  <si>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</si>
  <si>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</si>
  <si>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</si>
  <si>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</si>
  <si>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</si>
  <si>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</si>
  <si>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</si>
  <si>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</si>
  <si>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</si>
  <si>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</si>
  <si>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</si>
  <si>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</si>
  <si>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</si>
  <si>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</si>
  <si>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</si>
  <si>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</si>
  <si>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</si>
  <si>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</si>
  <si>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</si>
  <si>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</si>
  <si>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</si>
  <si>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</si>
  <si>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</si>
  <si>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</si>
  <si>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</si>
  <si>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</si>
  <si>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</si>
  <si>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</si>
  <si>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</si>
  <si>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</si>
  <si>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</si>
  <si>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</si>
  <si>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</si>
  <si>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</si>
  <si>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</si>
  <si>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</si>
  <si>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</si>
  <si>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</si>
  <si>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</si>
  <si>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</si>
  <si>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</si>
  <si>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</si>
  <si>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</si>
  <si>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</si>
  <si>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</si>
  <si>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</si>
  <si>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</si>
  <si>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</si>
  <si>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</si>
  <si>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</si>
  <si>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</si>
  <si>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</si>
  <si>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</si>
  <si>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</si>
  <si>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</si>
  <si>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</si>
  <si>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</si>
  <si>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</si>
  <si>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</si>
  <si>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</si>
  <si>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</si>
  <si>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</si>
  <si>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</si>
  <si>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</si>
  <si>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</si>
  <si>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</si>
  <si>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</si>
  <si>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</si>
  <si>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</si>
  <si>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</si>
  <si>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</si>
  <si>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</si>
  <si>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</si>
  <si>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</si>
  <si>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</si>
  <si>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</si>
  <si>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</si>
  <si>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</si>
  <si>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</si>
  <si>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</si>
  <si>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</si>
  <si>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</si>
  <si>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</si>
  <si>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</si>
  <si>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</si>
  <si>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</si>
  <si>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</si>
  <si>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</si>
  <si>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</si>
  <si>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</si>
  <si>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</si>
  <si>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</si>
  <si>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</si>
  <si>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</si>
  <si>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</si>
  <si>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</si>
  <si>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</si>
  <si>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</si>
  <si>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</si>
  <si>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</si>
  <si>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</si>
  <si>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</si>
  <si>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</si>
  <si>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</si>
  <si>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</si>
  <si>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</si>
  <si>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</si>
  <si>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</si>
  <si>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</si>
  <si>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</si>
  <si>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</si>
  <si>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</si>
  <si>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</si>
  <si>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</si>
  <si>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</si>
  <si>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</si>
  <si>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</si>
  <si>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</si>
  <si>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</si>
  <si>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</si>
  <si>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</si>
  <si>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</si>
  <si>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</si>
  <si>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</si>
  <si>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</si>
  <si>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</si>
  <si>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</si>
  <si>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</si>
  <si>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</si>
  <si>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</si>
  <si>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</si>
  <si>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</si>
  <si>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</si>
  <si>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</si>
  <si>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</si>
  <si>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</si>
  <si>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</si>
  <si>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</si>
  <si>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</si>
  <si>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</si>
  <si>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</si>
  <si>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</si>
  <si>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</si>
  <si>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</si>
  <si>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</si>
  <si>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</si>
  <si>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</si>
  <si>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</si>
  <si>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</si>
  <si>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</si>
  <si>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</si>
  <si>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</si>
  <si>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</si>
  <si>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</si>
  <si>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</si>
  <si>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</si>
  <si>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</si>
  <si>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</si>
  <si>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</si>
  <si>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</si>
  <si>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</si>
  <si>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</si>
  <si>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</si>
  <si>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</si>
  <si>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</si>
  <si>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</si>
  <si>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</si>
  <si>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</si>
  <si>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</si>
  <si>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</si>
  <si>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</si>
  <si>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</si>
  <si>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</si>
  <si>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</si>
  <si>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</si>
  <si>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</si>
  <si>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</si>
  <si>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</si>
  <si>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</si>
  <si>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</si>
  <si>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</si>
  <si>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</si>
  <si>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</si>
  <si>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</si>
  <si>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</si>
  <si>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</si>
  <si>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</si>
  <si>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</si>
  <si>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</si>
  <si>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</si>
  <si>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</si>
  <si>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</si>
  <si>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</si>
  <si>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</si>
  <si>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</si>
  <si>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</si>
  <si>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</si>
  <si>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</si>
  <si>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</si>
  <si>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</si>
  <si>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</si>
  <si>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</si>
  <si>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</si>
  <si>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</si>
  <si>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</si>
  <si>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</si>
  <si>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</si>
  <si>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</si>
  <si>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</si>
  <si>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</si>
  <si>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</si>
  <si>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</si>
  <si>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</si>
  <si>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</si>
  <si>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</si>
  <si>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</si>
  <si>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</si>
  <si>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</si>
  <si>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</si>
  <si>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</si>
  <si>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</si>
  <si>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</si>
  <si>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</si>
  <si>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</si>
  <si>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</si>
  <si>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</si>
  <si>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</si>
  <si>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</si>
  <si>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</si>
  <si>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</si>
  <si>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</si>
  <si>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</si>
  <si>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</si>
  <si>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</si>
  <si>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</si>
  <si>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</si>
  <si>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</si>
  <si>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</si>
  <si>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</si>
  <si>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</si>
  <si>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</si>
  <si>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</si>
  <si>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</si>
  <si>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</si>
  <si>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</si>
  <si>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</si>
  <si>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</si>
  <si>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</si>
  <si>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</si>
  <si>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</si>
  <si>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</si>
  <si>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</si>
  <si>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</si>
  <si>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</si>
  <si>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</si>
  <si>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</si>
  <si>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</si>
  <si>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</si>
  <si>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</si>
  <si>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</si>
  <si>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</si>
  <si>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</si>
  <si>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</si>
  <si>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</si>
  <si>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</si>
  <si>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</si>
  <si>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</si>
  <si>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</si>
  <si>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</si>
  <si>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</si>
  <si>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</si>
  <si>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</si>
  <si>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</si>
  <si>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</si>
  <si>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</si>
  <si>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</si>
  <si>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</si>
  <si>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</si>
  <si>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</si>
  <si>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</si>
  <si>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</si>
  <si>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</si>
  <si>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</si>
  <si>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</si>
  <si>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</si>
  <si>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</si>
  <si>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</si>
  <si>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</si>
  <si>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</si>
  <si>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</si>
  <si>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</si>
  <si>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</si>
  <si>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</si>
  <si>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</si>
  <si>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</si>
  <si>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</si>
  <si>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</si>
  <si>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</si>
  <si>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</si>
  <si>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</si>
  <si>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</si>
  <si>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</si>
  <si>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</si>
  <si>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</si>
  <si>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</si>
  <si>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</si>
  <si>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</si>
  <si>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</si>
  <si>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</si>
  <si>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</si>
  <si>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</si>
  <si>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</si>
  <si>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</si>
  <si>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</si>
  <si>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</si>
  <si>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</si>
  <si>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</si>
  <si>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</si>
  <si>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</si>
  <si>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</si>
  <si>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</si>
  <si>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</si>
  <si>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</si>
  <si>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</si>
  <si>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</si>
  <si>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</si>
  <si>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</si>
  <si>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</si>
  <si>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</si>
  <si>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</si>
  <si>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</si>
  <si>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</si>
  <si>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</si>
  <si>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</si>
  <si>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</si>
  <si>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</si>
  <si>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</si>
  <si>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</si>
  <si>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</si>
  <si>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</si>
  <si>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</si>
  <si>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</si>
  <si>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</si>
  <si>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</si>
  <si>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</si>
  <si>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</si>
  <si>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</si>
  <si>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</si>
  <si>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</si>
  <si>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</si>
  <si>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</si>
  <si>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</si>
  <si>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</si>
  <si>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</si>
  <si>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</si>
  <si>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</si>
  <si>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</si>
  <si>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</si>
  <si>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</si>
  <si>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</si>
  <si>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</si>
  <si>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</si>
  <si>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</si>
  <si>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</si>
  <si>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</si>
  <si>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</si>
  <si>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</si>
  <si>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</si>
  <si>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</si>
  <si>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</si>
  <si>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</si>
  <si>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</si>
  <si>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</si>
  <si>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</si>
  <si>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</si>
  <si>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</si>
  <si>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</si>
  <si>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</si>
  <si>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</si>
  <si>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</si>
  <si>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</si>
  <si>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</si>
  <si>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</si>
  <si>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</si>
  <si>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</si>
  <si>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</si>
  <si>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</si>
  <si>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</si>
  <si>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</si>
  <si>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</si>
  <si>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</si>
  <si>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</si>
  <si>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</si>
  <si>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</si>
  <si>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</si>
  <si>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</si>
  <si>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</si>
  <si>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</si>
  <si>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</si>
  <si>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</si>
  <si>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</si>
  <si>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</si>
  <si>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</si>
  <si>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</si>
  <si>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</si>
  <si>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</si>
  <si>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</si>
  <si>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</si>
  <si>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</si>
  <si>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</si>
  <si>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</si>
  <si>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</si>
  <si>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</si>
  <si>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</si>
  <si>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</si>
  <si>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</si>
  <si>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</si>
  <si>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</si>
  <si>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</si>
  <si>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</si>
  <si>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</si>
  <si>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</si>
  <si>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</si>
  <si>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</si>
  <si>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</si>
  <si>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</si>
  <si>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</si>
  <si>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</si>
  <si>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</si>
  <si>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</si>
  <si>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</si>
  <si>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</si>
  <si>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</si>
  <si>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</si>
  <si>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</si>
  <si>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</si>
  <si>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</si>
  <si>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</si>
  <si>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</si>
  <si>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</si>
  <si>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</si>
  <si>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</si>
  <si>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</si>
  <si>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</si>
  <si>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</si>
  <si>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</si>
  <si>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</si>
  <si>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</si>
  <si>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</si>
  <si>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</si>
  <si>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</si>
  <si>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</si>
  <si>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</si>
  <si>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</si>
  <si>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</si>
  <si>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</si>
  <si>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</si>
  <si>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</si>
  <si>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</si>
  <si>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</si>
  <si>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</si>
  <si>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</si>
  <si>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</si>
  <si>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</si>
  <si>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</si>
  <si>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</si>
  <si>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</si>
  <si>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</si>
  <si>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</si>
  <si>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</si>
  <si>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</si>
  <si>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</si>
  <si>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</si>
  <si>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</si>
  <si>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</si>
  <si>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</si>
  <si>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</si>
  <si>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</si>
  <si>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</si>
  <si>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</si>
  <si>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</si>
  <si>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</si>
  <si>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</si>
  <si>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</si>
  <si>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</si>
  <si>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</si>
  <si>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</si>
  <si>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</si>
  <si>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</si>
  <si>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</si>
  <si>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</si>
  <si>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</si>
  <si>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</si>
  <si>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</si>
  <si>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</si>
  <si>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</si>
  <si>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</si>
  <si>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</si>
  <si>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</si>
  <si>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</si>
  <si>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</si>
  <si>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</si>
  <si>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</si>
  <si>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</si>
  <si>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</si>
  <si>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</si>
  <si>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</si>
  <si>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</si>
  <si>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</si>
  <si>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</si>
  <si>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</si>
  <si>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</si>
  <si>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</si>
  <si>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</si>
  <si>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</si>
  <si>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</si>
  <si>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</si>
  <si>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</si>
  <si>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</si>
  <si>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</si>
  <si>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</si>
  <si>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</si>
  <si>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</si>
  <si>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</si>
  <si>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</si>
  <si>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</si>
  <si>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</si>
  <si>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</si>
  <si>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</si>
  <si>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</si>
  <si>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</si>
  <si>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</si>
  <si>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</si>
  <si>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</si>
  <si>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</si>
  <si>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</si>
  <si>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</si>
  <si>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</si>
  <si>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</si>
  <si>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</si>
  <si>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</si>
  <si>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</si>
  <si>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</si>
  <si>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</si>
  <si>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</si>
  <si>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</si>
  <si>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</si>
  <si>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</si>
  <si>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</si>
  <si>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</si>
  <si>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</si>
  <si>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</si>
  <si>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</si>
  <si>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</si>
  <si>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</si>
  <si>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</si>
  <si>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</si>
  <si>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</si>
  <si>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</si>
  <si>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</si>
  <si>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</si>
  <si>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</si>
  <si>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</si>
  <si>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</si>
  <si>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</si>
  <si>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</si>
  <si>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</si>
  <si>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</si>
  <si>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</si>
  <si>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</si>
  <si>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</si>
  <si>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</si>
  <si>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</si>
  <si>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</si>
  <si>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</si>
  <si>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</si>
  <si>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</si>
  <si>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</si>
  <si>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</si>
  <si>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</si>
  <si>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</si>
  <si>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</si>
  <si>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</si>
  <si>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</si>
  <si>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</si>
  <si>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</si>
  <si>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</si>
  <si>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</si>
  <si>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</si>
  <si>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</si>
  <si>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</si>
  <si>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</si>
  <si>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</si>
  <si>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</si>
  <si>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</si>
  <si>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</si>
  <si>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</si>
  <si>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</si>
  <si>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</si>
  <si>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</si>
  <si>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</si>
  <si>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</si>
  <si>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</si>
  <si>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</si>
  <si>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</si>
  <si>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</si>
  <si>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</si>
  <si>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</si>
  <si>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</si>
  <si>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</si>
  <si>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</si>
  <si>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</si>
  <si>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</si>
  <si>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</si>
  <si>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</si>
  <si>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</si>
  <si>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</si>
  <si>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</si>
  <si>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</si>
  <si>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</si>
  <si>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</si>
  <si>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</si>
  <si>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</si>
  <si>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</si>
  <si>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</si>
  <si>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</si>
  <si>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</si>
  <si>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</si>
  <si>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</si>
  <si>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</si>
  <si>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</si>
  <si>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</si>
  <si>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</si>
  <si>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</si>
  <si>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</si>
  <si>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</si>
  <si>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</si>
  <si>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</si>
  <si>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</si>
  <si>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</si>
  <si>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</si>
  <si>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</si>
  <si>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</si>
  <si>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</si>
  <si>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</si>
  <si>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</si>
  <si>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</si>
  <si>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</si>
  <si>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</si>
  <si>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</si>
  <si>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</si>
  <si>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</si>
  <si>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</si>
  <si>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</si>
  <si>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</si>
  <si>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</si>
  <si>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</si>
  <si>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</si>
  <si>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</si>
  <si>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</si>
  <si>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</si>
  <si>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</si>
  <si>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</si>
  <si>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</si>
  <si>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</si>
  <si>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</si>
  <si>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</si>
  <si>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</si>
  <si>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</si>
  <si>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</si>
  <si>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</si>
  <si>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</si>
  <si>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</si>
  <si>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</si>
  <si>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</si>
  <si>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</si>
  <si>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</si>
  <si>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</si>
  <si>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</si>
  <si>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</si>
  <si>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</si>
  <si>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</si>
  <si>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</si>
  <si>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</si>
  <si>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</si>
  <si>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</si>
  <si>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</si>
  <si>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</si>
  <si>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</si>
  <si>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</si>
  <si>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</si>
  <si>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</si>
  <si>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</si>
  <si>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</si>
  <si>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</si>
  <si>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</si>
  <si>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</si>
  <si>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</si>
  <si>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</si>
  <si>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</si>
  <si>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</si>
  <si>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</si>
  <si>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</si>
  <si>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</si>
  <si>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</si>
  <si>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</si>
  <si>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</si>
  <si>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</si>
  <si>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</si>
  <si>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</si>
  <si>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</si>
  <si>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</si>
  <si>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</si>
  <si>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</si>
  <si>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</si>
  <si>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</si>
  <si>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</si>
  <si>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</si>
  <si>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</si>
  <si>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</si>
  <si>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</si>
  <si>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</si>
  <si>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</si>
  <si>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</si>
  <si>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</si>
  <si>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</si>
  <si>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</si>
  <si>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</si>
  <si>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</si>
  <si>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</si>
  <si>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</si>
  <si>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</si>
  <si>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</si>
  <si>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</si>
  <si>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</si>
  <si>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</si>
  <si>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</si>
  <si>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</si>
  <si>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</si>
  <si>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</si>
  <si>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</si>
  <si>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</si>
  <si>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</si>
  <si>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</si>
  <si>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</si>
  <si>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</si>
  <si>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</si>
  <si>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</si>
  <si>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</si>
  <si>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</si>
  <si>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</si>
  <si>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</si>
  <si>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</si>
  <si>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</si>
  <si>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</si>
  <si>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</si>
  <si>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</si>
  <si>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</si>
  <si>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</si>
  <si>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</si>
  <si>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</si>
  <si>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</si>
  <si>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</si>
  <si>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</si>
  <si>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</si>
  <si>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</si>
  <si>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</si>
  <si>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</si>
  <si>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</si>
  <si>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</si>
  <si>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</si>
  <si>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</si>
  <si>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</si>
  <si>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</si>
  <si>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</si>
  <si>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</si>
  <si>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</si>
  <si>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</si>
  <si>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</si>
  <si>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</si>
  <si>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</si>
  <si>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</si>
  <si>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</si>
  <si>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</si>
  <si>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</si>
  <si>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</si>
  <si>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</si>
  <si>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</si>
  <si>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</si>
  <si>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</si>
  <si>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</si>
  <si>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</si>
  <si>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</si>
  <si>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</si>
  <si>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</si>
  <si>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</si>
  <si>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</si>
  <si>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</si>
  <si>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</si>
  <si>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</si>
  <si>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</si>
  <si>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</si>
  <si>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</si>
  <si>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</si>
  <si>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</si>
  <si>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</si>
  <si>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</si>
  <si>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</si>
  <si>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</si>
  <si>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</si>
  <si>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</si>
  <si>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</si>
  <si>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</si>
  <si>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</si>
  <si>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</si>
  <si>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</si>
  <si>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</si>
  <si>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</si>
  <si>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</si>
  <si>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</si>
  <si>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</si>
  <si>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</si>
  <si>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</si>
  <si>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</si>
  <si>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</si>
  <si>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</si>
  <si>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</si>
  <si>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</si>
  <si>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</si>
  <si>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</si>
  <si>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</si>
  <si>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</si>
  <si>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</si>
  <si>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</si>
  <si>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</si>
  <si>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</si>
  <si>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</si>
  <si>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</si>
  <si>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</si>
  <si>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</si>
  <si>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</si>
  <si>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</si>
  <si>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</si>
  <si>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</si>
  <si>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</si>
  <si>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</si>
  <si>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</si>
  <si>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</si>
  <si>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</si>
  <si>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</si>
  <si>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</si>
  <si>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</si>
  <si>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</si>
  <si>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</si>
  <si>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</si>
  <si>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</si>
  <si>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</si>
  <si>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</si>
  <si>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</si>
  <si>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</si>
  <si>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</si>
  <si>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</si>
  <si>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</si>
  <si>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</si>
  <si>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</si>
  <si>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</si>
  <si>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</si>
  <si>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</si>
  <si>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</si>
  <si>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</si>
  <si>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</si>
  <si>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</si>
  <si>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</si>
  <si>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</si>
  <si>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</si>
  <si>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</si>
  <si>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</si>
  <si>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</si>
  <si>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</si>
  <si>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</si>
  <si>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</si>
  <si>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</si>
  <si>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</si>
  <si>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</si>
  <si>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</si>
  <si>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</si>
  <si>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</si>
  <si>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</si>
  <si>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</si>
  <si>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</si>
  <si>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</si>
  <si>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</si>
  <si>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</si>
  <si>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</si>
  <si>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</si>
  <si>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</si>
  <si>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</si>
  <si>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</si>
  <si>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</si>
  <si>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</si>
  <si>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</si>
  <si>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</si>
  <si>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</si>
  <si>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</si>
  <si>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</si>
  <si>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</si>
  <si>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</si>
  <si>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</si>
  <si>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</si>
  <si>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</si>
  <si>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</si>
  <si>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</si>
  <si>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</si>
  <si>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</si>
  <si>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</si>
  <si>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</si>
  <si>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</si>
  <si>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</si>
  <si>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</si>
  <si>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</si>
  <si>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</si>
  <si>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</si>
  <si>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</si>
  <si>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</si>
  <si>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</si>
  <si>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</si>
  <si>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</si>
  <si>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</si>
  <si>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</si>
  <si>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</si>
  <si>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</si>
  <si>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</si>
  <si>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</si>
  <si>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</si>
  <si>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</si>
  <si>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</si>
  <si>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</si>
  <si>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</si>
  <si>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</si>
  <si>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</si>
  <si>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</si>
  <si>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</si>
  <si>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</si>
  <si>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</si>
  <si>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</si>
  <si>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</si>
  <si>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</si>
  <si>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</si>
  <si>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</si>
  <si>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</si>
  <si>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</si>
  <si>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</si>
  <si>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</si>
  <si>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</si>
  <si>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</si>
  <si>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</si>
  <si>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</si>
  <si>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</si>
  <si>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</si>
  <si>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</si>
  <si>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</si>
  <si>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</si>
  <si>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</si>
  <si>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</si>
  <si>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</si>
  <si>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</si>
  <si>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</si>
  <si>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</si>
  <si>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</si>
  <si>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</si>
  <si>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</si>
  <si>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</si>
  <si>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</si>
  <si>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</si>
  <si>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</si>
  <si>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</si>
  <si>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</si>
  <si>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</si>
  <si>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</si>
  <si>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</si>
  <si>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</si>
  <si>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</si>
  <si>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</si>
  <si>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</si>
  <si>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</si>
  <si>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</si>
  <si>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</si>
  <si>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</si>
  <si>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</si>
  <si>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</si>
  <si>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</si>
  <si>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</si>
  <si>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</si>
  <si>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</si>
  <si>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</si>
  <si>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</si>
  <si>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</si>
  <si>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</si>
  <si>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</si>
  <si>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</si>
  <si>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</si>
  <si>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</si>
  <si>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</si>
  <si>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</si>
  <si>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</si>
  <si>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</si>
  <si>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</si>
  <si>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</si>
  <si>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</si>
  <si>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</si>
  <si>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</si>
  <si>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</si>
  <si>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</si>
  <si>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</si>
  <si>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</si>
  <si>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</si>
  <si>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</si>
  <si>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</si>
  <si>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</si>
  <si>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</si>
  <si>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</si>
  <si>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</si>
  <si>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</si>
  <si>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</si>
  <si>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</si>
  <si>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</si>
  <si>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</si>
  <si>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</si>
  <si>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</si>
  <si>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</si>
  <si>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</si>
  <si>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</si>
  <si>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</si>
  <si>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</si>
  <si>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</si>
  <si>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</si>
  <si>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</si>
  <si>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</si>
  <si>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</si>
  <si>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</si>
  <si>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</si>
  <si>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</si>
  <si>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</si>
  <si>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</si>
  <si>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</si>
  <si>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</si>
  <si>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</si>
  <si>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</si>
  <si>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</si>
  <si>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</si>
  <si>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</si>
  <si>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</si>
  <si>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</si>
  <si>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</si>
  <si>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</si>
  <si>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</si>
  <si>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</si>
  <si>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</si>
  <si>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</si>
  <si>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</si>
  <si>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</si>
  <si>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</si>
  <si>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</si>
  <si>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</si>
  <si>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</si>
  <si>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</si>
  <si>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</si>
  <si>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</si>
  <si>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</si>
  <si>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</si>
  <si>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</si>
  <si>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</si>
  <si>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</si>
  <si>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</si>
  <si>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</si>
  <si>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</si>
  <si>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</si>
  <si>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</si>
  <si>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</si>
  <si>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</si>
  <si>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</si>
  <si>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</si>
  <si>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</si>
  <si>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</si>
  <si>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</si>
  <si>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</si>
  <si>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</si>
  <si>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</si>
  <si>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</si>
  <si>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</si>
  <si>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</si>
  <si>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</si>
  <si>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</si>
  <si>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</si>
  <si>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</si>
  <si>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</si>
  <si>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</si>
  <si>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</si>
  <si>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</si>
  <si>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</si>
  <si>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</si>
  <si>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</si>
  <si>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</si>
  <si>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</si>
  <si>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</si>
  <si>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</si>
  <si>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</si>
  <si>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</si>
  <si>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</si>
  <si>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</si>
  <si>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</si>
  <si>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</si>
  <si>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</si>
  <si>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</si>
  <si>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</si>
  <si>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</si>
  <si>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</si>
  <si>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</si>
  <si>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</si>
  <si>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</si>
  <si>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</si>
  <si>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</si>
  <si>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</si>
  <si>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</si>
  <si>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</si>
  <si>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</si>
  <si>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</si>
  <si>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</si>
  <si>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</si>
  <si>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</si>
  <si>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</si>
  <si>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</si>
  <si>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</si>
  <si>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</si>
  <si>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</si>
  <si>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</si>
  <si>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</si>
  <si>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</si>
  <si>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</si>
  <si>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</si>
  <si>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</si>
  <si>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</si>
  <si>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</si>
  <si>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</si>
  <si>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</si>
  <si>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</si>
  <si>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</si>
  <si>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</si>
  <si>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</si>
  <si>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</si>
  <si>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</si>
  <si>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</si>
  <si>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</si>
  <si>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</si>
  <si>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</si>
  <si>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</si>
  <si>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</si>
  <si>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</si>
  <si>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</si>
  <si>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</si>
  <si>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</si>
  <si>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</si>
  <si>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</si>
  <si>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</si>
  <si>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</si>
  <si>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</si>
  <si>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</si>
  <si>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</si>
  <si>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</si>
  <si>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</si>
  <si>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</si>
  <si>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</si>
  <si>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</si>
  <si>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</si>
  <si>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</si>
  <si>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</si>
  <si>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</si>
  <si>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</si>
  <si>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</si>
  <si>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</si>
  <si>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</si>
  <si>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</si>
  <si>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</si>
  <si>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</si>
  <si>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</si>
  <si>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</si>
  <si>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</si>
  <si>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</si>
  <si>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</si>
  <si>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</si>
  <si>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</si>
  <si>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</si>
  <si>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</si>
  <si>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</si>
  <si>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</si>
  <si>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</si>
  <si>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</si>
  <si>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</si>
  <si>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</si>
  <si>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</si>
  <si>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</si>
  <si>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</si>
  <si>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</si>
  <si>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</si>
  <si>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</si>
  <si>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</si>
  <si>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</si>
  <si>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</si>
  <si>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</si>
  <si>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</si>
  <si>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</si>
  <si>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</si>
  <si>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</si>
  <si>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</si>
  <si>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</si>
  <si>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</si>
  <si>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</si>
  <si>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</si>
  <si>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</si>
  <si>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</si>
  <si>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</si>
  <si>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</si>
  <si>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</si>
  <si>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</si>
  <si>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</si>
  <si>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</si>
  <si>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</si>
  <si>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</si>
  <si>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</si>
  <si>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</si>
  <si>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</si>
  <si>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</si>
  <si>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</si>
  <si>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</si>
  <si>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</si>
  <si>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</si>
  <si>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</si>
  <si>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</si>
  <si>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</si>
  <si>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</si>
  <si>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</si>
  <si>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</si>
  <si>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</si>
  <si>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</si>
  <si>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</si>
  <si>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</si>
  <si>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</si>
  <si>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</si>
  <si>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</si>
  <si>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</si>
  <si>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</si>
  <si>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</si>
  <si>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</si>
  <si>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</si>
  <si>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</si>
  <si>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</si>
  <si>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</si>
  <si>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</si>
  <si>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</si>
  <si>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</si>
  <si>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</si>
  <si>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</si>
  <si>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</si>
  <si>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</si>
  <si>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</si>
  <si>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</si>
  <si>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</si>
  <si>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</si>
  <si>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</si>
  <si>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</si>
  <si>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</si>
  <si>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</si>
  <si>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</si>
  <si>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</si>
  <si>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</si>
  <si>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</si>
  <si>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</si>
  <si>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</si>
  <si>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</si>
  <si>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</si>
  <si>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</si>
  <si>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</si>
  <si>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</si>
  <si>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</si>
  <si>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</si>
  <si>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</si>
  <si>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</si>
  <si>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</si>
  <si>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</si>
  <si>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</si>
  <si>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</si>
  <si>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</si>
  <si>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</si>
  <si>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</si>
  <si>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</si>
  <si>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</si>
  <si>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</si>
  <si>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</si>
  <si>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</si>
  <si>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</si>
  <si>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</si>
  <si>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</si>
  <si>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</si>
  <si>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</si>
  <si>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</si>
  <si>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</si>
  <si>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</si>
  <si>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</si>
  <si>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</si>
  <si>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</si>
  <si>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</si>
  <si>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</si>
  <si>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</si>
  <si>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</si>
  <si>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</si>
  <si>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</si>
  <si>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</si>
  <si>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</si>
  <si>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</si>
  <si>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</si>
  <si>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</si>
  <si>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</si>
  <si>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</si>
  <si>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</si>
  <si>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</si>
  <si>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</si>
  <si>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</si>
  <si>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</si>
  <si>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</si>
  <si>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</si>
  <si>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</si>
  <si>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</si>
  <si>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</si>
  <si>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</si>
  <si>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</si>
  <si>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</si>
  <si>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</si>
  <si>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</si>
  <si>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</si>
  <si>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</si>
  <si>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</si>
  <si>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</si>
  <si>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</si>
  <si>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</si>
  <si>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</si>
  <si>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</si>
  <si>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</si>
  <si>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</si>
  <si>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</si>
  <si>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</si>
  <si>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</si>
  <si>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</si>
  <si>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</si>
  <si>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</si>
  <si>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</si>
  <si>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</si>
  <si>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</si>
  <si>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</si>
  <si>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</si>
  <si>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</si>
  <si>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</si>
  <si>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</si>
  <si>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</si>
  <si>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</si>
  <si>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</si>
  <si>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</si>
  <si>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</si>
  <si>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</si>
  <si>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</si>
  <si>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</si>
  <si>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</si>
  <si>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</si>
  <si>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</si>
  <si>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</si>
  <si>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</si>
  <si>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</si>
  <si>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</si>
  <si>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</si>
  <si>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</si>
  <si>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</si>
  <si>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</si>
  <si>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</si>
  <si>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</si>
  <si>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</si>
  <si>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</si>
  <si>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</si>
  <si>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</si>
  <si>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</si>
  <si>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</si>
  <si>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</si>
  <si>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</si>
  <si>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</si>
  <si>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</si>
  <si>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</si>
  <si>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</si>
  <si>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</si>
  <si>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</si>
  <si>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</si>
  <si>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</si>
  <si>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</si>
  <si>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</si>
  <si>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</si>
  <si>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</si>
  <si>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</si>
  <si>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</si>
  <si>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</si>
  <si>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</si>
  <si>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</si>
  <si>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</si>
  <si>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</si>
  <si>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</si>
  <si>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</si>
  <si>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</si>
  <si>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</si>
  <si>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</si>
  <si>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</si>
  <si>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</si>
  <si>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</si>
  <si>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</si>
  <si>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</si>
  <si>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</si>
  <si>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</si>
  <si>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</si>
  <si>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</si>
  <si>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</si>
  <si>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</si>
  <si>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</si>
  <si>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</si>
  <si>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</si>
  <si>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</si>
  <si>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</si>
  <si>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</si>
  <si>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</si>
  <si>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</si>
  <si>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</si>
  <si>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</si>
  <si>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</si>
  <si>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</si>
  <si>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</si>
  <si>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</si>
  <si>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</si>
  <si>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</si>
  <si>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</si>
  <si>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</si>
  <si>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</si>
  <si>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</si>
  <si>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</si>
  <si>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</si>
  <si>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</si>
  <si>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</si>
  <si>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</si>
  <si>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</si>
  <si>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</si>
  <si>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</si>
  <si>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</si>
  <si>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</si>
  <si>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</si>
  <si>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</si>
  <si>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</si>
  <si>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</si>
  <si>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</si>
  <si>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</si>
  <si>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</si>
  <si>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</si>
  <si>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</si>
  <si>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</si>
  <si>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</si>
  <si>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</si>
  <si>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</si>
  <si>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</si>
  <si>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</si>
  <si>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</si>
  <si>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</si>
  <si>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</si>
  <si>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</si>
  <si>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</si>
  <si>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</si>
  <si>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</si>
  <si>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</si>
  <si>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</si>
  <si>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</si>
  <si>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</si>
  <si>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</si>
  <si>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</si>
  <si>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</si>
  <si>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</si>
  <si>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</si>
  <si>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</si>
  <si>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</si>
  <si>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</si>
  <si>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</si>
  <si>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</si>
  <si>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</si>
  <si>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</si>
  <si>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</si>
  <si>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</si>
  <si>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</si>
  <si>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</si>
  <si>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</si>
  <si>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</si>
  <si>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</si>
  <si>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</si>
  <si>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</si>
  <si>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</si>
  <si>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</si>
  <si>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</si>
  <si>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</si>
  <si>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</si>
  <si>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</si>
  <si>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</si>
  <si>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</si>
  <si>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</si>
  <si>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</si>
  <si>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</si>
  <si>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</si>
  <si>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</si>
  <si>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</si>
  <si>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</si>
  <si>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</si>
  <si>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</si>
  <si>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</si>
  <si>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</si>
  <si>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</si>
  <si>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</si>
  <si>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</si>
  <si>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</si>
  <si>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</si>
  <si>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</si>
  <si>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</si>
  <si>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</si>
  <si>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</si>
  <si>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</si>
  <si>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</si>
  <si>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</si>
  <si>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</si>
  <si>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</si>
  <si>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</si>
  <si>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</si>
  <si>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</si>
  <si>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</si>
  <si>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</si>
  <si>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</si>
  <si>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</si>
  <si>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</si>
  <si>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</si>
  <si>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</si>
  <si>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</si>
  <si>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</si>
  <si>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</si>
  <si>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</si>
  <si>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</si>
  <si>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</si>
  <si>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</si>
  <si>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</si>
  <si>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</si>
  <si>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</si>
  <si>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</si>
  <si>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</si>
  <si>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</si>
  <si>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</si>
  <si>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</si>
  <si>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</si>
  <si>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</si>
  <si>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</si>
  <si>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</si>
  <si>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</si>
  <si>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</si>
  <si>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</si>
  <si>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</si>
  <si>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</si>
  <si>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</si>
  <si>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</si>
  <si>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</si>
  <si>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</si>
  <si>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</si>
  <si>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</si>
  <si>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</si>
  <si>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</si>
  <si>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</si>
  <si>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</si>
  <si>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</si>
  <si>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</si>
  <si>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</si>
  <si>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</si>
  <si>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</si>
  <si>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</si>
  <si>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</si>
  <si>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</si>
  <si>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</si>
  <si>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</si>
  <si>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</si>
  <si>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</si>
  <si>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</si>
  <si>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</si>
  <si>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</si>
  <si>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</si>
  <si>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</si>
  <si>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</si>
  <si>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</si>
  <si>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</si>
  <si>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</si>
  <si>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</si>
  <si>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</si>
  <si>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</si>
  <si>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</si>
  <si>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</si>
  <si>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</si>
  <si>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</si>
  <si>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</si>
  <si>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</si>
  <si>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</si>
  <si>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</si>
  <si>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</si>
  <si>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</si>
  <si>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</si>
  <si>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</si>
  <si>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</si>
  <si>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</si>
  <si>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</si>
  <si>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</si>
  <si>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</si>
  <si>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</si>
  <si>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</si>
  <si>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</si>
  <si>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</si>
  <si>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</si>
  <si>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</si>
  <si>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</si>
  <si>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</si>
  <si>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</si>
  <si>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</si>
  <si>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</si>
  <si>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</si>
  <si>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</si>
  <si>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</si>
  <si>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</si>
  <si>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</si>
  <si>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</si>
  <si>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</si>
  <si>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</si>
  <si>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</si>
  <si>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</si>
  <si>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</si>
  <si>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</si>
  <si>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</si>
  <si>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</si>
  <si>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</si>
  <si>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</si>
  <si>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</si>
  <si>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</si>
  <si>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</si>
  <si>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</si>
  <si>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</si>
  <si>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</si>
  <si>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</si>
  <si>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</si>
  <si>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</si>
  <si>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</si>
  <si>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</si>
  <si>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</si>
  <si>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</si>
  <si>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</si>
  <si>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</si>
  <si>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</si>
  <si>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</si>
  <si>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</si>
  <si>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</si>
  <si>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</si>
  <si>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</si>
  <si>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</si>
  <si>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</si>
  <si>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</si>
  <si>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</si>
  <si>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</si>
  <si>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</si>
  <si>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</si>
  <si>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</si>
  <si>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</si>
  <si>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</si>
  <si>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</si>
  <si>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</si>
  <si>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</si>
  <si>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</si>
  <si>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</si>
  <si>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</si>
  <si>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</si>
  <si>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</si>
  <si>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</si>
  <si>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</si>
  <si>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</si>
  <si>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</si>
  <si>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</si>
  <si>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</si>
  <si>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</si>
  <si>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</si>
  <si>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</si>
  <si>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</si>
  <si>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</si>
  <si>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</si>
  <si>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</si>
  <si>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</si>
  <si>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</si>
  <si>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</si>
  <si>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</si>
  <si>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</si>
  <si>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</si>
  <si>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</si>
  <si>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</si>
  <si>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</si>
  <si>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</si>
  <si>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</si>
  <si>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</si>
  <si>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</si>
  <si>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</si>
  <si>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</si>
  <si>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</si>
  <si>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</si>
  <si>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</si>
  <si>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</si>
  <si>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</si>
  <si>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</si>
  <si>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</si>
  <si>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</si>
  <si>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</si>
  <si>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</si>
  <si>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</si>
  <si>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</si>
  <si>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</si>
  <si>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</si>
  <si>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</si>
  <si>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</si>
  <si>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</si>
  <si>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</si>
  <si>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</si>
  <si>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</si>
  <si>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</si>
  <si>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</si>
  <si>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</si>
  <si>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</si>
  <si>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</si>
  <si>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</si>
  <si>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</si>
  <si>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</si>
  <si>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</si>
  <si>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</si>
  <si>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</si>
  <si>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</si>
  <si>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</si>
  <si>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</si>
  <si>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</si>
  <si>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</si>
  <si>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</si>
  <si>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</si>
  <si>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</si>
  <si>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</si>
  <si>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</si>
  <si>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</si>
  <si>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</si>
  <si>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</si>
  <si>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</si>
  <si>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</si>
  <si>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</si>
  <si>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</si>
  <si>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</si>
  <si>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</si>
  <si>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</si>
  <si>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</si>
  <si>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</si>
  <si>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</si>
  <si>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</si>
  <si>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</si>
  <si>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</si>
  <si>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</si>
  <si>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</si>
  <si>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</si>
  <si>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</si>
  <si>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</si>
  <si>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</si>
  <si>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</si>
  <si>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</si>
  <si>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</si>
  <si>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</si>
  <si>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</si>
  <si>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</si>
  <si>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</si>
  <si>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</si>
  <si>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</si>
  <si>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</si>
  <si>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</si>
  <si>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</si>
  <si>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</si>
  <si>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</si>
  <si>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</si>
  <si>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</si>
  <si>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</si>
  <si>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</si>
  <si>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</si>
  <si>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</si>
  <si>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</si>
  <si>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</si>
  <si>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</si>
  <si>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</si>
  <si>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</si>
  <si>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</si>
  <si>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</si>
  <si>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</si>
  <si>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</si>
  <si>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</si>
  <si>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</si>
  <si>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</si>
  <si>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</si>
  <si>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</si>
  <si>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</si>
  <si>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</si>
  <si>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</si>
  <si>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</si>
  <si>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</si>
  <si>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</si>
  <si>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</si>
  <si>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</si>
  <si>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</si>
  <si>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</si>
  <si>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</si>
  <si>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</si>
  <si>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</si>
  <si>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</si>
  <si>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</si>
  <si>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</si>
  <si>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</si>
  <si>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</si>
  <si>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</si>
  <si>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</si>
  <si>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</si>
  <si>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</si>
  <si>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</si>
  <si>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</si>
  <si>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</si>
  <si>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</si>
  <si>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</si>
  <si>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</si>
  <si>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</si>
  <si>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</si>
  <si>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</si>
  <si>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</si>
  <si>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</si>
  <si>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</si>
  <si>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</si>
  <si>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</si>
  <si>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</si>
  <si>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</si>
  <si>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</si>
  <si>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</si>
  <si>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</si>
  <si>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</si>
  <si>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</si>
  <si>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</si>
  <si>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</si>
  <si>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</si>
  <si>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</si>
  <si>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</si>
  <si>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</si>
  <si>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</si>
  <si>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</si>
  <si>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</si>
  <si>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</si>
  <si>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</si>
  <si>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</si>
  <si>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</si>
  <si>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</si>
  <si>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</si>
  <si>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</si>
  <si>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</si>
  <si>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</si>
  <si>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</si>
  <si>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</si>
  <si>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</si>
  <si>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</si>
  <si>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</si>
  <si>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</si>
  <si>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</si>
  <si>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</si>
  <si>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</si>
  <si>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</si>
  <si>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</si>
  <si>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</si>
  <si>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</si>
  <si>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</si>
  <si>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</si>
  <si>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</si>
  <si>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</si>
  <si>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</si>
  <si>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</si>
  <si>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</si>
  <si>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</si>
  <si>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</si>
  <si>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</si>
  <si>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</si>
  <si>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</si>
  <si>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</si>
  <si>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</si>
  <si>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</si>
  <si>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</si>
  <si>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</si>
  <si>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</si>
  <si>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</si>
  <si>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</si>
  <si>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</si>
  <si>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</si>
  <si>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</si>
  <si>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</si>
  <si>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</si>
  <si>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</si>
  <si>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</si>
  <si>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</si>
  <si>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</si>
  <si>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</si>
  <si>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</si>
  <si>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</si>
  <si>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</si>
  <si>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</si>
  <si>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</si>
  <si>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</si>
  <si>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</si>
  <si>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</si>
  <si>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</si>
  <si>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</si>
  <si>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</si>
  <si>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</si>
  <si>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</si>
  <si>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</si>
  <si>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</si>
  <si>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</si>
  <si>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</si>
  <si>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</si>
  <si>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</si>
  <si>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</si>
  <si>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</si>
  <si>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</si>
  <si>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</si>
  <si>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</si>
  <si>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</si>
  <si>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</si>
  <si>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</si>
  <si>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</si>
  <si>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</si>
  <si>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</si>
  <si>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</si>
  <si>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</si>
  <si>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</si>
  <si>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</si>
  <si>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</si>
  <si>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</si>
  <si>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</si>
  <si>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</si>
  <si>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</si>
  <si>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</si>
  <si>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</si>
  <si>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</si>
  <si>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</si>
  <si>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</si>
  <si>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</si>
  <si>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</si>
  <si>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</si>
  <si>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</si>
  <si>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</si>
  <si>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</si>
  <si>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</si>
  <si>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</si>
  <si>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</si>
  <si>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</si>
  <si>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</si>
  <si>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</si>
  <si>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</si>
  <si>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</si>
  <si>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</si>
  <si>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</si>
  <si>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</si>
  <si>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</si>
  <si>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</si>
  <si>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</si>
  <si>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</si>
  <si>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</si>
  <si>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</si>
  <si>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</si>
  <si>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</si>
  <si>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</si>
  <si>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</si>
  <si>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</si>
  <si>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</si>
  <si>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</si>
  <si>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</si>
  <si>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</si>
  <si>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</si>
  <si>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</si>
  <si>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</si>
  <si>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</si>
  <si>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</si>
  <si>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</si>
  <si>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</si>
  <si>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</si>
  <si>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</si>
  <si>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</si>
  <si>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</si>
  <si>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</si>
  <si>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</si>
  <si>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</si>
  <si>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</si>
  <si>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</si>
  <si>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</si>
  <si>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</si>
  <si>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</si>
  <si>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</si>
  <si>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</si>
  <si>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</si>
  <si>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</si>
  <si>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</si>
  <si>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</si>
  <si>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</si>
  <si>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</si>
  <si>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</si>
  <si>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</si>
  <si>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</si>
  <si>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</si>
  <si>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</si>
  <si>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</si>
  <si>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</si>
  <si>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</si>
  <si>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</si>
  <si>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</si>
  <si>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</si>
  <si>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</si>
  <si>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</si>
  <si>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</si>
  <si>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</si>
  <si>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</si>
  <si>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</si>
  <si>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</si>
  <si>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</si>
  <si>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</si>
  <si>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</si>
  <si>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</si>
  <si>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</si>
  <si>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</si>
  <si>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</si>
  <si>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</si>
  <si>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</si>
  <si>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</si>
  <si>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</si>
  <si>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</si>
  <si>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</si>
  <si>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</si>
  <si>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</si>
  <si>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</si>
  <si>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</si>
  <si>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</si>
  <si>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</si>
  <si>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</si>
  <si>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</si>
  <si>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</si>
  <si>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</si>
  <si>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</si>
  <si>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</si>
  <si>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</si>
  <si>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</si>
  <si>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</si>
  <si>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</si>
  <si>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</si>
  <si>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</si>
  <si>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</si>
  <si>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</si>
  <si>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</si>
  <si>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</si>
  <si>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</si>
  <si>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</si>
  <si>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</si>
  <si>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</si>
  <si>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</si>
  <si>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</si>
  <si>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</si>
  <si>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</si>
  <si>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</si>
  <si>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</si>
  <si>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</si>
  <si>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</si>
  <si>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</si>
  <si>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</si>
  <si>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</si>
  <si>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</si>
  <si>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</si>
  <si>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</si>
  <si>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</si>
  <si>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</si>
  <si>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</si>
  <si>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</si>
  <si>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</si>
  <si>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</si>
  <si>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</si>
  <si>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</si>
  <si>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</si>
  <si>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</si>
  <si>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</si>
  <si>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</si>
  <si>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</si>
  <si>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</si>
  <si>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</si>
  <si>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</si>
  <si>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</si>
  <si>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</si>
  <si>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</si>
  <si>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</si>
  <si>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</si>
  <si>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</si>
  <si>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</si>
  <si>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</si>
  <si>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</si>
  <si>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</si>
  <si>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</si>
  <si>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</si>
  <si>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</si>
  <si>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</si>
  <si>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</si>
  <si>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</si>
  <si>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</si>
  <si>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</si>
  <si>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</si>
  <si>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</si>
  <si>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</si>
  <si>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</si>
  <si>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</si>
  <si>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</si>
  <si>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</si>
  <si>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</si>
  <si>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</si>
  <si>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</si>
  <si>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</si>
  <si>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</si>
  <si>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</si>
  <si>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</si>
  <si>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</si>
  <si>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</si>
  <si>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</si>
  <si>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</si>
  <si>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</si>
  <si>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</si>
  <si>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</si>
  <si>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</si>
  <si>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</si>
  <si>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</si>
  <si>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</si>
  <si>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</si>
  <si>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</si>
  <si>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</si>
  <si>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</si>
  <si>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</si>
  <si>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</si>
  <si>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</si>
  <si>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</si>
  <si>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</si>
  <si>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</si>
  <si>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</si>
  <si>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</si>
  <si>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</si>
  <si>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</si>
  <si>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</si>
  <si>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</si>
  <si>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</si>
  <si>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</si>
  <si>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</si>
  <si>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</si>
  <si>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</si>
  <si>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</si>
  <si>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</si>
  <si>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</si>
  <si>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</si>
  <si>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</si>
  <si>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</si>
  <si>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</si>
  <si>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</si>
  <si>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</si>
  <si>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</si>
  <si>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</si>
  <si>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</si>
  <si>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</si>
  <si>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</si>
  <si>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</si>
  <si>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</si>
  <si>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</si>
  <si>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</si>
  <si>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</si>
  <si>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</si>
  <si>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</si>
  <si>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</si>
  <si>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</si>
  <si>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</si>
  <si>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</si>
  <si>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</si>
  <si>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</si>
  <si>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</si>
  <si>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</si>
  <si>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</si>
  <si>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</si>
  <si>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</si>
  <si>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</si>
  <si>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</si>
  <si>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</si>
  <si>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</si>
  <si>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</si>
  <si>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</si>
  <si>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</si>
  <si>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</si>
  <si>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</si>
  <si>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</si>
  <si>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</si>
  <si>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</si>
  <si>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</si>
  <si>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</si>
  <si>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</si>
  <si>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</si>
  <si>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</si>
  <si>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</si>
  <si>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</si>
  <si>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</si>
  <si>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</si>
  <si>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</si>
  <si>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</si>
  <si>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</si>
  <si>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</si>
  <si>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</si>
  <si>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</si>
  <si>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</si>
  <si>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</si>
  <si>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</si>
  <si>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</si>
  <si>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</si>
  <si>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</si>
  <si>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</si>
  <si>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</si>
  <si>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</si>
  <si>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</si>
  <si>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</si>
  <si>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</si>
  <si>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</si>
  <si>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</si>
  <si>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</si>
  <si>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</si>
  <si>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</si>
  <si>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</si>
  <si>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</si>
  <si>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</si>
  <si>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</si>
  <si>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</si>
  <si>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</si>
  <si>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</si>
  <si>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</si>
  <si>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</si>
  <si>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</si>
  <si>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</si>
  <si>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</si>
  <si>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</si>
  <si>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</si>
  <si>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</si>
  <si>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</si>
  <si>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</si>
  <si>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</si>
  <si>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</si>
  <si>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</si>
  <si>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</si>
  <si>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</si>
  <si>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</si>
  <si>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</si>
  <si>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</si>
  <si>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</si>
  <si>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</si>
  <si>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</si>
  <si>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</si>
  <si>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</si>
  <si>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</si>
  <si>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</si>
  <si>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</si>
  <si>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</si>
  <si>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</si>
  <si>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</si>
  <si>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</si>
  <si>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</si>
  <si>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</si>
  <si>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</si>
  <si>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</si>
  <si>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</si>
  <si>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</si>
  <si>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</si>
  <si>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</si>
  <si>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</si>
  <si>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</si>
  <si>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</si>
  <si>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</si>
  <si>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</si>
  <si>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</si>
  <si>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</si>
  <si>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</si>
  <si>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</si>
  <si>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</si>
  <si>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</si>
  <si>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</si>
  <si>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</si>
  <si>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</si>
  <si>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</si>
  <si>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</si>
  <si>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</si>
  <si>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</si>
  <si>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</si>
  <si>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</si>
  <si>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</si>
  <si>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</si>
  <si>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</si>
  <si>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</si>
  <si>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</si>
  <si>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</si>
  <si>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</si>
  <si>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</si>
  <si>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</si>
  <si>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</si>
  <si>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</si>
  <si>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</si>
  <si>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</si>
  <si>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</si>
  <si>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</si>
  <si>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</si>
  <si>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</si>
  <si>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</si>
  <si>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</si>
  <si>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</si>
  <si>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</si>
  <si>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</si>
  <si>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</si>
  <si>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</si>
  <si>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</si>
  <si>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</si>
  <si>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</si>
  <si>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</si>
  <si>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</si>
  <si>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</si>
  <si>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</si>
  <si>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</si>
  <si>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</si>
  <si>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</si>
  <si>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</si>
  <si>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</si>
  <si>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</si>
  <si>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</si>
  <si>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</si>
  <si>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</si>
  <si>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</si>
  <si>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</si>
  <si>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</si>
  <si>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</si>
  <si>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</si>
  <si>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</si>
  <si>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</si>
  <si>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</si>
  <si>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</si>
  <si>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</si>
  <si>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</si>
  <si>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</si>
  <si>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</si>
  <si>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</si>
  <si>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</si>
  <si>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</si>
  <si>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</si>
  <si>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</si>
  <si>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</si>
  <si>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</si>
  <si>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</si>
  <si>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</si>
  <si>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</si>
  <si>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</si>
  <si>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</si>
  <si>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</si>
  <si>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</si>
  <si>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</si>
  <si>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</si>
  <si>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</si>
  <si>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</si>
  <si>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wait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</si>
  <si>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</si>
  <si>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</si>
  <si>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</si>
  <si>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</si>
  <si>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</si>
  <si>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</si>
  <si>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</si>
  <si>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</si>
  <si>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</si>
  <si>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</si>
  <si>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</si>
  <si>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CN09C62703</t>
  </si>
  <si>
    <t>TW10C06307</t>
  </si>
  <si>
    <t>TW91C06024</t>
  </si>
  <si>
    <t>DE04R0IC01</t>
  </si>
  <si>
    <t>US10R0IC01</t>
  </si>
  <si>
    <t>TW91R04006</t>
  </si>
  <si>
    <t>US10R04000</t>
  </si>
  <si>
    <t>US01R00505</t>
  </si>
  <si>
    <t>KR02R00103</t>
  </si>
  <si>
    <t>DE04R00401</t>
  </si>
  <si>
    <t>Standard</t>
  </si>
  <si>
    <t>X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</si>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</sst>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0" fillId="0" borderId="34" xfId="0" applyFont="1" applyBorder="1" applyAlignment="1"/>
    <xf numFmtId="0" fontId="0" fillId="0" borderId="1" xfId="0" applyFont="1" applyFill="1" applyBorder="1" applyAlignment="1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24.942898263886" createdVersion="7" refreshedVersion="7" minRefreshableVersion="3" recordCount="375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757"/>
    </cacheField>
    <cacheField name="Forecast?" numFmtId="0">
      <sharedItems/>
    </cacheField>
    <cacheField name="Ticket" numFmtId="0">
      <sharedItems containsBlank="1" count="216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57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1"/>
    <x v="4"/>
    <s v="HC"/>
    <m/>
    <m/>
    <s v="Dan John Magada"/>
  </r>
  <r>
    <n v="3738"/>
    <s v="F2"/>
    <x v="122"/>
    <s v="H000005053"/>
    <s v="US - Rare Diseases - Patient Access"/>
    <m/>
    <s v="Rename"/>
    <x v="1"/>
    <x v="4"/>
    <s v="HC"/>
    <m/>
    <m/>
    <s v="Dan John Magada"/>
  </r>
  <r>
    <n v="3739"/>
    <s v="F2"/>
    <x v="122"/>
    <s v="H000005054"/>
    <s v="US - Rare Diseases -  Access Mktg"/>
    <m/>
    <s v="Rename"/>
    <x v="1"/>
    <x v="4"/>
    <s v="HC"/>
    <m/>
    <m/>
    <s v="Dan John Magada"/>
  </r>
  <r>
    <n v="3740"/>
    <s v="F2"/>
    <x v="122"/>
    <s v="H000005055"/>
    <s v="US - Rare Diseases - Data Strat"/>
    <m/>
    <s v="Rename"/>
    <x v="1"/>
    <x v="4"/>
    <s v="HC"/>
    <m/>
    <m/>
    <s v="Dan John Magada"/>
  </r>
  <r>
    <n v="3741"/>
    <s v="F2"/>
    <x v="122"/>
    <s v="H000005067"/>
    <s v="US - Rare - Market Insights &amp; Frcst"/>
    <m/>
    <s v="Rename"/>
    <x v="1"/>
    <x v="4"/>
    <s v="HC"/>
    <m/>
    <m/>
    <s v="Dan John Magada"/>
  </r>
  <r>
    <n v="3742"/>
    <s v="F2"/>
    <x v="122"/>
    <s v="H000005068"/>
    <s v="US - Rare - Cap. Bldg Eng. &amp; Events"/>
    <m/>
    <s v="Rename"/>
    <x v="1"/>
    <x v="4"/>
    <s v="HC"/>
    <m/>
    <m/>
    <s v="Dan John Magada"/>
  </r>
  <r>
    <n v="3743"/>
    <s v="F2"/>
    <x v="122"/>
    <s v="H000005075"/>
    <s v="US - Rare Diseases - Comm Ops"/>
    <m/>
    <s v="Rename"/>
    <x v="1"/>
    <x v="4"/>
    <s v="HC"/>
    <m/>
    <m/>
    <s v="Dan John Magada"/>
  </r>
  <r>
    <n v="3744"/>
    <s v="F2"/>
    <x v="122"/>
    <s v="H000005076"/>
    <s v="US - Rare Diseases - Market Access FF"/>
    <m/>
    <s v="Rename"/>
    <x v="1"/>
    <x v="4"/>
    <s v="HC"/>
    <m/>
    <m/>
    <s v="Dan John Magada"/>
  </r>
  <r>
    <n v="3745"/>
    <s v="F2"/>
    <x v="122"/>
    <s v="H000005077"/>
    <s v="US - Rare - Field Patient Svcs"/>
    <m/>
    <s v="Rename"/>
    <x v="1"/>
    <x v="4"/>
    <s v="HC"/>
    <m/>
    <m/>
    <s v="Dan John Magada"/>
  </r>
  <r>
    <n v="3746"/>
    <s v="F2"/>
    <x v="123"/>
    <s v="H000005764"/>
    <s v="US - Rare Diseases - Program"/>
    <s v="H000005748"/>
    <s v="New"/>
    <x v="1"/>
    <x v="4"/>
    <s v="HC"/>
    <m/>
    <m/>
    <s v="Dan John Magada"/>
  </r>
  <r>
    <n v="3747"/>
    <s v="F2"/>
    <x v="123"/>
    <s v="H000005765"/>
    <s v="US - Rare Diseases - Program"/>
    <s v="H000005749"/>
    <s v="New"/>
    <x v="1"/>
    <x v="4"/>
    <s v="HC"/>
    <m/>
    <m/>
    <s v="Dan John Magada"/>
  </r>
  <r>
    <n v="3748"/>
    <s v="F2"/>
    <x v="123"/>
    <s v="H000005766"/>
    <s v="US - Market Access Rare Diseases FF "/>
    <s v="H000005750"/>
    <s v="New"/>
    <x v="1"/>
    <x v="4"/>
    <s v="HC"/>
    <m/>
    <m/>
    <s v="Dan John Magada"/>
  </r>
  <r>
    <n v="3749"/>
    <s v="F2"/>
    <x v="123"/>
    <s v="H000005767"/>
    <s v="US - Market Access Rare Diseases ISS"/>
    <s v="H000005750"/>
    <s v="New"/>
    <x v="1"/>
    <x v="4"/>
    <s v="HC"/>
    <m/>
    <m/>
    <s v="Dan John Magada"/>
  </r>
  <r>
    <n v="3750"/>
    <s v="F2"/>
    <x v="123"/>
    <s v="H000005768"/>
    <s v="US - Data, Analytics &amp; Insights RD ISS"/>
    <s v="H000005751"/>
    <s v="New"/>
    <x v="1"/>
    <x v="4"/>
    <s v="HC"/>
    <m/>
    <m/>
    <s v="Dan John Magada"/>
  </r>
  <r>
    <n v="3751"/>
    <s v="F2"/>
    <x v="123"/>
    <s v="H000005769"/>
    <s v="US - Rare Diseases - RMLs"/>
    <s v="H000005048"/>
    <s v="New"/>
    <x v="1"/>
    <x v="4"/>
    <s v="HC"/>
    <m/>
    <m/>
    <s v="Dan John Magada"/>
  </r>
  <r>
    <n v="3752"/>
    <s v="F2"/>
    <x v="123"/>
    <s v="H000005770"/>
    <s v="US - Market Access Rare Diseases Program"/>
    <s v="H000005764"/>
    <s v="New"/>
    <x v="1"/>
    <x v="4"/>
    <s v="HC"/>
    <m/>
    <m/>
    <s v="Dan John Magada"/>
  </r>
  <r>
    <n v="3753"/>
    <s v="F2"/>
    <x v="123"/>
    <s v="H000005771"/>
    <s v="US - Data, Analytics &amp; Insights RD Program"/>
    <s v="H000005765"/>
    <s v="New"/>
    <x v="1"/>
    <x v="4"/>
    <s v="HC"/>
    <m/>
    <m/>
    <s v="Dan John Magada"/>
  </r>
  <r>
    <n v="3754"/>
    <s v="F2"/>
    <x v="124"/>
    <s v="H000005772"/>
    <s v="TW - BU Rare Tumor"/>
    <s v="H000001118"/>
    <s v="New"/>
    <x v="1"/>
    <x v="4"/>
    <s v="HC"/>
    <m/>
    <m/>
    <s v="Rachel Chen"/>
  </r>
  <r>
    <n v="3755"/>
    <s v="F2"/>
    <x v="124"/>
    <s v="H000005773"/>
    <s v="TW - FF-RT"/>
    <s v="H000005772"/>
    <s v="New"/>
    <x v="1"/>
    <x v="4"/>
    <s v="HC"/>
    <m/>
    <m/>
    <s v="Rachel Chen"/>
  </r>
  <r>
    <n v="3756"/>
    <s v="F2"/>
    <x v="124"/>
    <s v="H000005774"/>
    <s v="TW - ISS-RT"/>
    <s v="H000005772"/>
    <s v="New"/>
    <x v="1"/>
    <x v="4"/>
    <s v="HC"/>
    <m/>
    <m/>
    <s v="Rachel Chen"/>
  </r>
  <r>
    <n v="3757"/>
    <s v="F2"/>
    <x v="124"/>
    <s v="H000005775"/>
    <s v="TW - Sales Promotion-RT"/>
    <s v="H000005772"/>
    <s v="New"/>
    <x v="1"/>
    <x v="4"/>
    <s v="HC"/>
    <m/>
    <m/>
    <s v="Rachel Che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showAll="0"/>
    <pivotField showAll="0"/>
    <pivotField axis="axisRow" showAll="0">
      <items count="217">
        <item m="1" x="152"/>
        <item m="1" x="194"/>
        <item m="1" x="211"/>
        <item m="1" x="205"/>
        <item m="1" x="190"/>
        <item m="1" x="148"/>
        <item m="1" x="156"/>
        <item m="1" x="181"/>
        <item m="1" x="178"/>
        <item m="1" x="128"/>
        <item m="1" x="212"/>
        <item m="1" x="170"/>
        <item m="1" x="151"/>
        <item m="1" x="159"/>
        <item m="1" x="163"/>
        <item m="1" x="133"/>
        <item m="1" x="165"/>
        <item m="1" x="134"/>
        <item m="1" x="200"/>
        <item m="1" x="146"/>
        <item m="1" x="195"/>
        <item m="1" x="209"/>
        <item m="1" x="137"/>
        <item m="1" x="203"/>
        <item m="1" x="174"/>
        <item m="1" x="161"/>
        <item m="1" x="149"/>
        <item m="1" x="157"/>
        <item m="1" x="196"/>
        <item m="1" x="188"/>
        <item m="1" x="144"/>
        <item m="1" x="172"/>
        <item m="1" x="179"/>
        <item m="1" x="192"/>
        <item m="1" x="130"/>
        <item m="1" x="189"/>
        <item m="1" x="177"/>
        <item m="1" x="136"/>
        <item m="1" x="207"/>
        <item m="1" x="150"/>
        <item m="1" x="210"/>
        <item m="1" x="201"/>
        <item m="1" x="147"/>
        <item m="1" x="129"/>
        <item m="1" x="127"/>
        <item m="1" x="199"/>
        <item m="1" x="173"/>
        <item m="1" x="160"/>
        <item m="1" x="198"/>
        <item m="1" x="169"/>
        <item m="1" x="132"/>
        <item m="1" x="206"/>
        <item m="1" x="171"/>
        <item m="1" x="131"/>
        <item m="1" x="182"/>
        <item m="1" x="166"/>
        <item m="1" x="141"/>
        <item m="1" x="167"/>
        <item m="1" x="191"/>
        <item m="1" x="142"/>
        <item m="1" x="215"/>
        <item m="1" x="162"/>
        <item m="1" x="138"/>
        <item m="1" x="143"/>
        <item m="1" x="140"/>
        <item m="1" x="187"/>
        <item m="1" x="168"/>
        <item m="1" x="180"/>
        <item m="1" x="153"/>
        <item m="1" x="186"/>
        <item m="1" x="176"/>
        <item m="1" x="158"/>
        <item m="1" x="154"/>
        <item m="1" x="197"/>
        <item m="1" x="202"/>
        <item m="1" x="183"/>
        <item m="1" x="175"/>
        <item m="1" x="139"/>
        <item m="1" x="126"/>
        <item m="1" x="214"/>
        <item m="1" x="193"/>
        <item m="1" x="135"/>
        <item m="1" x="213"/>
        <item m="1" x="185"/>
        <item m="1" x="208"/>
        <item m="1" x="204"/>
        <item m="1" x="164"/>
        <item m="1" x="145"/>
        <item m="1" x="155"/>
        <item m="1" x="18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25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13"/>
    </i>
    <i r="1">
      <x v="5"/>
    </i>
    <i>
      <x v="214"/>
    </i>
    <i r="1">
      <x v="5"/>
    </i>
    <i>
      <x v="215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799" totalsRowShown="0">
  <autoFilter ref="A1:M3799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0"/>
  <sheetViews>
    <sheetView workbookViewId="0">
      <selection activeCell="H11" sqref="H11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12937</v>
      </c>
      <c r="B4" s="42">
        <v>9</v>
      </c>
    </row>
    <row r="5" spans="1:2">
      <c r="A5" s="65" t="s">
        <v>12962</v>
      </c>
      <c r="B5" s="42">
        <v>9</v>
      </c>
    </row>
    <row r="6" spans="1:2">
      <c r="A6" s="30" t="s">
        <v>12948</v>
      </c>
      <c r="B6" s="42">
        <v>8</v>
      </c>
    </row>
    <row r="7" spans="1:2">
      <c r="A7" s="65" t="s">
        <v>12962</v>
      </c>
      <c r="B7" s="42">
        <v>8</v>
      </c>
    </row>
    <row r="8" spans="1:2">
      <c r="A8" s="30" t="s">
        <v>12972</v>
      </c>
      <c r="B8" s="42">
        <v>4</v>
      </c>
    </row>
    <row r="9" spans="1:2">
      <c r="A9" s="65" t="s">
        <v>12962</v>
      </c>
      <c r="B9" s="42">
        <v>4</v>
      </c>
    </row>
    <row r="10" spans="1:2">
      <c r="A10" s="30" t="s">
        <v>10</v>
      </c>
      <c r="B10" s="42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08"/>
  <sheetViews>
    <sheetView workbookViewId="0">
      <selection activeCell="B1" sqref="B1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799"/>
  <sheetViews>
    <sheetView tabSelected="1" topLeftCell="G3769" zoomScaleNormal="100" workbookViewId="0">
      <selection activeCell="L3773" sqref="L3773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709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61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61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61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61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61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61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61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61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61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61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61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61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61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61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61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61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61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61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61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61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ref="A3710:A3774" si="62">1+A3709</f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62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62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62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62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si="62"/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62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62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62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62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62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62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62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62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62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62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62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62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62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62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62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62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62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62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62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62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62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62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62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/>
      </c>
      <c r="I3738" s="34" t="s">
        <v>12962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62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/>
      </c>
      <c r="I3739" s="34" t="s">
        <v>12962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62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/>
      </c>
      <c r="I3740" s="34" t="s">
        <v>12962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62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/>
      </c>
      <c r="I3741" s="34" t="s">
        <v>12962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62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/>
      </c>
      <c r="I3742" s="34" t="s">
        <v>12962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62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/>
      </c>
      <c r="I3743" s="34" t="s">
        <v>12962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62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/>
      </c>
      <c r="I3744" s="34" t="s">
        <v>12962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62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/>
      </c>
      <c r="I3745" s="34" t="s">
        <v>12962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62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/>
      </c>
      <c r="I3746" s="34" t="s">
        <v>12962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62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/>
      </c>
      <c r="I3747" s="34" t="s">
        <v>12962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62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/>
      </c>
      <c r="I3748" s="34" t="s">
        <v>12962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62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/>
      </c>
      <c r="I3749" s="34" t="s">
        <v>12962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62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/>
      </c>
      <c r="I3750" s="34" t="s">
        <v>12962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62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/>
      </c>
      <c r="I3751" s="34" t="s">
        <v>12962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62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/>
      </c>
      <c r="I3752" s="34" t="s">
        <v>12962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62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/>
      </c>
      <c r="I3753" s="34" t="s">
        <v>12962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62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/>
      </c>
      <c r="I3754" s="34" t="s">
        <v>12962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>
      <c r="A3755" s="40">
        <f t="shared" si="62"/>
        <v>3754</v>
      </c>
      <c r="B3755" s="34" t="s">
        <v>8</v>
      </c>
      <c r="C3755" s="8" t="s">
        <v>12972</v>
      </c>
      <c r="D3755" s="34" t="s">
        <v>12968</v>
      </c>
      <c r="E3755" s="8" t="s">
        <v>12963</v>
      </c>
      <c r="F3755" s="8" t="s">
        <v>12964</v>
      </c>
      <c r="G3755" s="34" t="s">
        <v>14</v>
      </c>
      <c r="H3755" s="34" t="str">
        <f>IFERROR(VLOOKUP(Table2[[#This Row], [Ticket]],Okey!A:B,2,0),"")</f>
        <v/>
      </c>
      <c r="I3755" s="34" t="s">
        <v>12962</v>
      </c>
      <c r="J3755" s="34" t="str">
        <f>VLOOKUP(Table2[[#This Row],[Author]],People!A:B,2,0)</f>
        <v>HC</v>
      </c>
      <c r="L3755" s="34"/>
      <c r="M3755" s="34" t="s">
        <v>12973</v>
      </c>
    </row>
    <row r="3756" spans="1:13">
      <c r="A3756" s="40">
        <f t="shared" si="62"/>
        <v>3755</v>
      </c>
      <c r="B3756" s="34" t="s">
        <v>8</v>
      </c>
      <c r="C3756" s="34" t="s">
        <v>12972</v>
      </c>
      <c r="D3756" s="34" t="s">
        <v>12969</v>
      </c>
      <c r="E3756" s="8" t="s">
        <v>12965</v>
      </c>
      <c r="F3756" s="34" t="s">
        <v>12968</v>
      </c>
      <c r="G3756" s="34" t="s">
        <v>14</v>
      </c>
      <c r="H3756" s="34" t="str">
        <f>IFERROR(VLOOKUP(Table2[[#This Row], [Ticket]],Okey!A:B,2,0),"")</f>
        <v/>
      </c>
      <c r="I3756" s="34" t="s">
        <v>12962</v>
      </c>
      <c r="J3756" s="34" t="str">
        <f>VLOOKUP(Table2[[#This Row],[Author]],People!A:B,2,0)</f>
        <v>HC</v>
      </c>
      <c r="L3756" s="34"/>
      <c r="M3756" s="34" t="s">
        <v>12973</v>
      </c>
    </row>
    <row r="3757" spans="1:13">
      <c r="A3757" s="40">
        <f t="shared" si="62"/>
        <v>3756</v>
      </c>
      <c r="B3757" s="34" t="s">
        <v>8</v>
      </c>
      <c r="C3757" s="34" t="s">
        <v>12972</v>
      </c>
      <c r="D3757" s="34" t="s">
        <v>12970</v>
      </c>
      <c r="E3757" s="8" t="s">
        <v>12966</v>
      </c>
      <c r="F3757" s="34" t="s">
        <v>12968</v>
      </c>
      <c r="G3757" s="34" t="s">
        <v>14</v>
      </c>
      <c r="H3757" s="34" t="str">
        <f>IFERROR(VLOOKUP(Table2[[#This Row], [Ticket]],Okey!A:B,2,0),"")</f>
        <v/>
      </c>
      <c r="I3757" s="34" t="s">
        <v>12962</v>
      </c>
      <c r="J3757" s="34" t="str">
        <f>VLOOKUP(Table2[[#This Row],[Author]],People!A:B,2,0)</f>
        <v>HC</v>
      </c>
      <c r="L3757" s="34"/>
      <c r="M3757" s="34" t="s">
        <v>12973</v>
      </c>
    </row>
    <row r="3758" spans="1:13">
      <c r="A3758" s="40">
        <f t="shared" si="62"/>
        <v>3757</v>
      </c>
      <c r="B3758" s="34" t="s">
        <v>8</v>
      </c>
      <c r="C3758" s="34" t="s">
        <v>12972</v>
      </c>
      <c r="D3758" s="34" t="s">
        <v>12971</v>
      </c>
      <c r="E3758" s="8" t="s">
        <v>12967</v>
      </c>
      <c r="F3758" s="34" t="s">
        <v>12968</v>
      </c>
      <c r="G3758" s="34" t="s">
        <v>14</v>
      </c>
      <c r="H3758" s="34" t="str">
        <f>IFERROR(VLOOKUP(Table2[[#This Row], [Ticket]],Okey!A:B,2,0),"")</f>
        <v/>
      </c>
      <c r="I3758" s="34" t="s">
        <v>12962</v>
      </c>
      <c r="J3758" s="34" t="str">
        <f>VLOOKUP(Table2[[#This Row],[Author]],People!A:B,2,0)</f>
        <v>HC</v>
      </c>
      <c r="L3758" s="34"/>
      <c r="M3758" s="34" t="s">
        <v>12973</v>
      </c>
    </row>
    <row r="3759" spans="1:13">
      <c r="A3759" s="40">
        <f t="shared" si="62"/>
        <v>3758</v>
      </c>
      <c r="B3759" s="34" t="s">
        <v>8</v>
      </c>
      <c r="C3759" s="8" t="s">
        <v>13000</v>
      </c>
      <c r="E3759" s="8" t="s">
        <v>12986</v>
      </c>
      <c r="F3759" s="8" t="s">
        <v>6369</v>
      </c>
      <c r="G3759" s="34" t="s">
        <v>14</v>
      </c>
      <c r="H3759" s="34" t="str">
        <f>IFERROR(VLOOKUP(Table2[[#This Row], [Ticket]],Okey!A:B,2,0),"")</f>
        <v/>
      </c>
      <c r="I3759" s="34"/>
      <c r="J3759" s="34" t="str">
        <f>VLOOKUP(Table2[[#This Row],[Author]],People!A:B,2,0)</f>
        <v>LS</v>
      </c>
      <c r="L3759" s="34"/>
      <c r="M3759" s="34" t="s">
        <v>6348</v>
      </c>
    </row>
    <row r="3760" spans="1:13">
      <c r="A3760" s="40">
        <f t="shared" si="62"/>
        <v>3759</v>
      </c>
      <c r="B3760" s="34" t="s">
        <v>8</v>
      </c>
      <c r="C3760" s="34" t="s">
        <v>13000</v>
      </c>
      <c r="D3760" s="8" t="s">
        <v>12987</v>
      </c>
      <c r="E3760" s="8" t="s">
        <v>12986</v>
      </c>
      <c r="F3760" s="8" t="s">
        <v>12986</v>
      </c>
      <c r="G3760" s="34" t="s">
        <v>14</v>
      </c>
      <c r="H3760" s="34" t="str">
        <f>IFERROR(VLOOKUP(Table2[[#This Row], [Ticket]],Okey!A:B,2,0),"")</f>
        <v/>
      </c>
      <c r="I3760" s="34"/>
      <c r="J3760" s="34" t="str">
        <f>VLOOKUP(Table2[[#This Row],[Author]],People!A:B,2,0)</f>
        <v>LS</v>
      </c>
      <c r="L3760" s="34"/>
      <c r="M3760" s="34" t="s">
        <v>6348</v>
      </c>
    </row>
    <row r="3761" spans="1:13">
      <c r="A3761" s="40">
        <f t="shared" si="62"/>
        <v>3760</v>
      </c>
      <c r="B3761" s="34" t="s">
        <v>8</v>
      </c>
      <c r="C3761" s="34" t="s">
        <v>13000</v>
      </c>
      <c r="E3761" s="8" t="s">
        <v>12988</v>
      </c>
      <c r="F3761" s="8" t="s">
        <v>6300</v>
      </c>
      <c r="G3761" s="34" t="s">
        <v>14</v>
      </c>
      <c r="H3761" s="34" t="str">
        <f>IFERROR(VLOOKUP(Table2[[#This Row], [Ticket]],Okey!A:B,2,0),"")</f>
        <v/>
      </c>
      <c r="I3761" s="34"/>
      <c r="J3761" s="34" t="str">
        <f>VLOOKUP(Table2[[#This Row],[Author]],People!A:B,2,0)</f>
        <v>LS</v>
      </c>
      <c r="L3761" s="34"/>
      <c r="M3761" s="34" t="s">
        <v>6348</v>
      </c>
    </row>
    <row r="3762" spans="1:13">
      <c r="A3762" s="40">
        <f t="shared" si="62"/>
        <v>3761</v>
      </c>
      <c r="B3762" s="34" t="s">
        <v>8</v>
      </c>
      <c r="C3762" s="34" t="s">
        <v>13000</v>
      </c>
      <c r="D3762" s="8" t="s">
        <v>12989</v>
      </c>
      <c r="E3762" s="8" t="s">
        <v>12988</v>
      </c>
      <c r="F3762" s="8" t="s">
        <v>12988</v>
      </c>
      <c r="G3762" s="34" t="s">
        <v>14</v>
      </c>
      <c r="H3762" s="34" t="str">
        <f>IFERROR(VLOOKUP(Table2[[#This Row], [Ticket]],Okey!A:B,2,0),"")</f>
        <v/>
      </c>
      <c r="I3762" s="34"/>
      <c r="J3762" s="34" t="str">
        <f>VLOOKUP(Table2[[#This Row],[Author]],People!A:B,2,0)</f>
        <v>LS</v>
      </c>
      <c r="L3762" s="34"/>
      <c r="M3762" s="34" t="s">
        <v>6348</v>
      </c>
    </row>
    <row r="3763" spans="1:13">
      <c r="A3763" s="40">
        <f t="shared" si="62"/>
        <v>3762</v>
      </c>
      <c r="B3763" s="34" t="s">
        <v>8</v>
      </c>
      <c r="C3763" s="34" t="s">
        <v>13000</v>
      </c>
      <c r="E3763" s="8" t="s">
        <v>12990</v>
      </c>
      <c r="F3763" s="8" t="s">
        <v>5266</v>
      </c>
      <c r="G3763" s="34" t="s">
        <v>14</v>
      </c>
      <c r="H3763" s="34" t="str">
        <f>IFERROR(VLOOKUP(Table2[[#This Row], [Ticket]],Okey!A:B,2,0),"")</f>
        <v/>
      </c>
      <c r="I3763" s="34"/>
      <c r="J3763" s="34" t="str">
        <f>VLOOKUP(Table2[[#This Row],[Author]],People!A:B,2,0)</f>
        <v>LS</v>
      </c>
      <c r="L3763" s="34"/>
      <c r="M3763" s="34" t="s">
        <v>6348</v>
      </c>
    </row>
    <row r="3764" spans="1:13">
      <c r="A3764" s="40">
        <f t="shared" si="62"/>
        <v>3763</v>
      </c>
      <c r="B3764" s="34" t="s">
        <v>8</v>
      </c>
      <c r="C3764" s="34" t="s">
        <v>13000</v>
      </c>
      <c r="E3764" s="8" t="s">
        <v>12991</v>
      </c>
      <c r="F3764" s="8" t="s">
        <v>12990</v>
      </c>
      <c r="G3764" s="34" t="s">
        <v>14</v>
      </c>
      <c r="H3764" s="34" t="str">
        <f>IFERROR(VLOOKUP(Table2[[#This Row], [Ticket]],Okey!A:B,2,0),"")</f>
        <v/>
      </c>
      <c r="I3764" s="34"/>
      <c r="J3764" s="34" t="str">
        <f>VLOOKUP(Table2[[#This Row],[Author]],People!A:B,2,0)</f>
        <v>LS</v>
      </c>
      <c r="L3764" s="34"/>
      <c r="M3764" s="34" t="s">
        <v>6348</v>
      </c>
    </row>
    <row r="3765" spans="1:13">
      <c r="A3765" s="40">
        <f t="shared" si="62"/>
        <v>3764</v>
      </c>
      <c r="B3765" s="34" t="s">
        <v>8</v>
      </c>
      <c r="C3765" s="34" t="s">
        <v>13000</v>
      </c>
      <c r="D3765" s="8" t="s">
        <v>12992</v>
      </c>
      <c r="E3765" s="8" t="s">
        <v>12990</v>
      </c>
      <c r="F3765" s="8" t="s">
        <v>12991</v>
      </c>
      <c r="G3765" s="34" t="s">
        <v>14</v>
      </c>
      <c r="H3765" s="34" t="str">
        <f>IFERROR(VLOOKUP(Table2[[#This Row], [Ticket]],Okey!A:B,2,0),"")</f>
        <v/>
      </c>
      <c r="I3765" s="34"/>
      <c r="J3765" s="34" t="str">
        <f>VLOOKUP(Table2[[#This Row],[Author]],People!A:B,2,0)</f>
        <v>LS</v>
      </c>
      <c r="L3765" s="34"/>
      <c r="M3765" s="34" t="s">
        <v>6348</v>
      </c>
    </row>
    <row r="3766" spans="1:13">
      <c r="A3766" s="40">
        <f t="shared" si="62"/>
        <v>3765</v>
      </c>
      <c r="B3766" s="34" t="s">
        <v>8</v>
      </c>
      <c r="C3766" s="34" t="s">
        <v>13000</v>
      </c>
      <c r="E3766" s="8" t="s">
        <v>12993</v>
      </c>
      <c r="F3766" s="8" t="s">
        <v>12990</v>
      </c>
      <c r="G3766" s="34" t="s">
        <v>14</v>
      </c>
      <c r="H3766" s="34" t="str">
        <f>IFERROR(VLOOKUP(Table2[[#This Row], [Ticket]],Okey!A:B,2,0),"")</f>
        <v/>
      </c>
      <c r="I3766" s="34"/>
      <c r="J3766" s="34" t="str">
        <f>VLOOKUP(Table2[[#This Row],[Author]],People!A:B,2,0)</f>
        <v>LS</v>
      </c>
      <c r="L3766" s="34"/>
      <c r="M3766" s="34" t="s">
        <v>6348</v>
      </c>
    </row>
    <row r="3767" spans="1:13">
      <c r="A3767" s="40">
        <f t="shared" si="62"/>
        <v>3766</v>
      </c>
      <c r="B3767" s="34" t="s">
        <v>8</v>
      </c>
      <c r="C3767" s="34" t="s">
        <v>13000</v>
      </c>
      <c r="D3767" s="8" t="s">
        <v>12994</v>
      </c>
      <c r="E3767" s="8" t="s">
        <v>12993</v>
      </c>
      <c r="F3767" s="8" t="s">
        <v>12993</v>
      </c>
      <c r="G3767" s="34" t="s">
        <v>14</v>
      </c>
      <c r="H3767" s="34" t="str">
        <f>IFERROR(VLOOKUP(Table2[[#This Row], [Ticket]],Okey!A:B,2,0),"")</f>
        <v/>
      </c>
      <c r="I3767" s="34"/>
      <c r="J3767" s="34" t="str">
        <f>VLOOKUP(Table2[[#This Row],[Author]],People!A:B,2,0)</f>
        <v>LS</v>
      </c>
      <c r="L3767" s="34"/>
      <c r="M3767" s="34" t="s">
        <v>6348</v>
      </c>
    </row>
    <row r="3768" spans="1:13">
      <c r="A3768" s="40">
        <f t="shared" si="62"/>
        <v>3767</v>
      </c>
      <c r="B3768" s="34" t="s">
        <v>8</v>
      </c>
      <c r="C3768" s="34" t="s">
        <v>13000</v>
      </c>
      <c r="E3768" s="8" t="s">
        <v>12995</v>
      </c>
      <c r="F3768" s="8" t="s">
        <v>12990</v>
      </c>
      <c r="G3768" s="34" t="s">
        <v>14</v>
      </c>
      <c r="H3768" s="34" t="str">
        <f>IFERROR(VLOOKUP(Table2[[#This Row], [Ticket]],Okey!A:B,2,0),"")</f>
        <v/>
      </c>
      <c r="I3768" s="34"/>
      <c r="J3768" s="34" t="str">
        <f>VLOOKUP(Table2[[#This Row],[Author]],People!A:B,2,0)</f>
        <v>LS</v>
      </c>
      <c r="L3768" s="34"/>
      <c r="M3768" s="34" t="s">
        <v>6348</v>
      </c>
    </row>
    <row r="3769" spans="1:13">
      <c r="A3769" s="40">
        <f t="shared" si="62"/>
        <v>3768</v>
      </c>
      <c r="B3769" s="34" t="s">
        <v>8</v>
      </c>
      <c r="C3769" s="34" t="s">
        <v>13000</v>
      </c>
      <c r="D3769" s="8" t="s">
        <v>12996</v>
      </c>
      <c r="E3769" s="8" t="s">
        <v>12995</v>
      </c>
      <c r="F3769" s="8" t="s">
        <v>12995</v>
      </c>
      <c r="G3769" s="34" t="s">
        <v>14</v>
      </c>
      <c r="H3769" s="34" t="str">
        <f>IFERROR(VLOOKUP(Table2[[#This Row], [Ticket]],Okey!A:B,2,0),"")</f>
        <v/>
      </c>
      <c r="I3769" s="34"/>
      <c r="J3769" s="34" t="str">
        <f>VLOOKUP(Table2[[#This Row],[Author]],People!A:B,2,0)</f>
        <v>LS</v>
      </c>
      <c r="L3769" s="34"/>
      <c r="M3769" s="34" t="s">
        <v>6348</v>
      </c>
    </row>
    <row r="3770" spans="1:13">
      <c r="A3770" s="40">
        <f t="shared" si="62"/>
        <v>3769</v>
      </c>
      <c r="B3770" s="34" t="s">
        <v>8</v>
      </c>
      <c r="C3770" s="34" t="s">
        <v>13000</v>
      </c>
      <c r="E3770" s="8" t="s">
        <v>12997</v>
      </c>
      <c r="F3770" s="8" t="s">
        <v>12990</v>
      </c>
      <c r="G3770" s="34" t="s">
        <v>14</v>
      </c>
      <c r="H3770" s="34" t="str">
        <f>IFERROR(VLOOKUP(Table2[[#This Row], [Ticket]],Okey!A:B,2,0),"")</f>
        <v/>
      </c>
      <c r="I3770" s="34"/>
      <c r="J3770" s="34" t="str">
        <f>VLOOKUP(Table2[[#This Row],[Author]],People!A:B,2,0)</f>
        <v>LS</v>
      </c>
      <c r="L3770" s="34"/>
      <c r="M3770" s="34" t="s">
        <v>6348</v>
      </c>
    </row>
    <row r="3771" spans="1:13">
      <c r="A3771" s="40">
        <f t="shared" si="62"/>
        <v>3770</v>
      </c>
      <c r="B3771" s="34" t="s">
        <v>8</v>
      </c>
      <c r="C3771" s="34" t="s">
        <v>13000</v>
      </c>
      <c r="D3771" s="8" t="s">
        <v>12998</v>
      </c>
      <c r="E3771" s="8" t="s">
        <v>12997</v>
      </c>
      <c r="F3771" s="8" t="s">
        <v>12997</v>
      </c>
      <c r="G3771" s="34" t="s">
        <v>14</v>
      </c>
      <c r="H3771" s="34" t="str">
        <f>IFERROR(VLOOKUP(Table2[[#This Row], [Ticket]],Okey!A:B,2,0),"")</f>
        <v/>
      </c>
      <c r="I3771" s="34"/>
      <c r="J3771" s="34" t="str">
        <f>VLOOKUP(Table2[[#This Row],[Author]],People!A:B,2,0)</f>
        <v>LS</v>
      </c>
      <c r="L3771" s="34"/>
      <c r="M3771" s="34" t="s">
        <v>6348</v>
      </c>
    </row>
    <row r="3772" spans="1:13">
      <c r="A3772" s="40">
        <f t="shared" si="62"/>
        <v>3771</v>
      </c>
      <c r="B3772" s="34" t="s">
        <v>8</v>
      </c>
      <c r="C3772" s="34" t="s">
        <v>13000</v>
      </c>
      <c r="D3772" s="8" t="s">
        <v>12318</v>
      </c>
      <c r="E3772" s="8" t="s">
        <v>12999</v>
      </c>
      <c r="G3772" s="8" t="s">
        <v>15</v>
      </c>
      <c r="H3772" s="34" t="str">
        <f>IFERROR(VLOOKUP(Table2[[#This Row], [Ticket]],Okey!A:B,2,0),"")</f>
        <v/>
      </c>
      <c r="I3772" s="34"/>
      <c r="J3772" s="34" t="str">
        <f>VLOOKUP(Table2[[#This Row],[Author]],People!A:B,2,0)</f>
        <v>LS</v>
      </c>
      <c r="L3772" s="34"/>
      <c r="M3772" s="34" t="s">
        <v>6348</v>
      </c>
    </row>
    <row r="3773" spans="1:13">
      <c r="A3773" s="40">
        <f t="shared" si="62"/>
        <v>3772</v>
      </c>
      <c r="B3773" s="34" t="s">
        <v>8</v>
      </c>
      <c r="C3773" s="8" t="s">
        <v>13012</v>
      </c>
      <c r="D3773" s="8" t="s">
        <v>13002</v>
      </c>
      <c r="F3773" s="8" t="s">
        <v>13001</v>
      </c>
      <c r="G3773" s="8" t="s">
        <v>13</v>
      </c>
      <c r="H3773" s="34" t="str">
        <f>IFERROR(VLOOKUP(Table2[[#This Row], [Ticket]],Okey!A:B,2,0),"")</f>
        <v/>
      </c>
      <c r="I3773" s="34"/>
      <c r="J3773" s="34" t="str">
        <f>VLOOKUP(Table2[[#This Row],[Author]],People!A:B,2,0)</f>
        <v>HC</v>
      </c>
      <c r="L3773" s="34"/>
      <c r="M3773" s="34" t="s">
        <v>12133</v>
      </c>
    </row>
    <row r="3774" spans="1:13">
      <c r="A3774" s="40">
        <f t="shared" si="62"/>
        <v>3773</v>
      </c>
      <c r="B3774" s="34" t="s">
        <v>8</v>
      </c>
      <c r="C3774" s="34" t="s">
        <v>13012</v>
      </c>
      <c r="D3774" s="8" t="s">
        <v>13003</v>
      </c>
      <c r="F3774" s="8" t="s">
        <v>13001</v>
      </c>
      <c r="G3774" s="34" t="s">
        <v>13</v>
      </c>
      <c r="H3774" s="34" t="str">
        <f>IFERROR(VLOOKUP(Table2[[#This Row], [Ticket]],Okey!A:B,2,0),"")</f>
        <v/>
      </c>
      <c r="I3774" s="34"/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>
      <c r="A3775" s="40">
        <f t="shared" ref="A3775:A3799" si="63">1+A3774</f>
        <v>3774</v>
      </c>
      <c r="B3775" s="34" t="s">
        <v>8</v>
      </c>
      <c r="C3775" s="34" t="s">
        <v>13012</v>
      </c>
      <c r="D3775" s="8" t="s">
        <v>13004</v>
      </c>
      <c r="F3775" s="8" t="s">
        <v>13001</v>
      </c>
      <c r="G3775" s="34" t="s">
        <v>13</v>
      </c>
      <c r="H3775" s="34" t="str">
        <f>IFERROR(VLOOKUP(Table2[[#This Row], [Ticket]],Okey!A:B,2,0),"")</f>
        <v/>
      </c>
      <c r="I3775" s="34"/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>
      <c r="A3776" s="40">
        <f t="shared" si="63"/>
        <v>3775</v>
      </c>
      <c r="B3776" s="34" t="s">
        <v>8</v>
      </c>
      <c r="C3776" s="34" t="s">
        <v>13012</v>
      </c>
      <c r="D3776" s="8" t="s">
        <v>13005</v>
      </c>
      <c r="F3776" s="8" t="s">
        <v>13001</v>
      </c>
      <c r="G3776" s="34" t="s">
        <v>13</v>
      </c>
      <c r="H3776" s="34" t="str">
        <f>IFERROR(VLOOKUP(Table2[[#This Row], [Ticket]],Okey!A:B,2,0),"")</f>
        <v/>
      </c>
      <c r="I3776" s="34"/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>
      <c r="A3777" s="40">
        <f t="shared" si="63"/>
        <v>3776</v>
      </c>
      <c r="B3777" s="34" t="s">
        <v>8</v>
      </c>
      <c r="C3777" s="34" t="s">
        <v>13012</v>
      </c>
      <c r="D3777" s="8" t="s">
        <v>13006</v>
      </c>
      <c r="F3777" s="8" t="s">
        <v>13001</v>
      </c>
      <c r="G3777" s="34" t="s">
        <v>13</v>
      </c>
      <c r="H3777" s="34" t="str">
        <f>IFERROR(VLOOKUP(Table2[[#This Row], [Ticket]],Okey!A:B,2,0),"")</f>
        <v/>
      </c>
      <c r="I3777" s="34"/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>
      <c r="A3778" s="40">
        <f t="shared" si="63"/>
        <v>3777</v>
      </c>
      <c r="B3778" s="34" t="s">
        <v>8</v>
      </c>
      <c r="C3778" s="34" t="s">
        <v>13012</v>
      </c>
      <c r="D3778" s="8" t="s">
        <v>13007</v>
      </c>
      <c r="F3778" s="8" t="s">
        <v>13001</v>
      </c>
      <c r="G3778" s="34" t="s">
        <v>13</v>
      </c>
      <c r="H3778" s="34" t="str">
        <f>IFERROR(VLOOKUP(Table2[[#This Row], [Ticket]],Okey!A:B,2,0),"")</f>
        <v/>
      </c>
      <c r="I3778" s="34"/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>
      <c r="A3779" s="40">
        <f t="shared" si="63"/>
        <v>3778</v>
      </c>
      <c r="B3779" s="34" t="s">
        <v>8</v>
      </c>
      <c r="C3779" s="34" t="s">
        <v>13012</v>
      </c>
      <c r="D3779" s="8" t="s">
        <v>877</v>
      </c>
      <c r="F3779" s="8" t="s">
        <v>13001</v>
      </c>
      <c r="G3779" s="34" t="s">
        <v>13</v>
      </c>
      <c r="H3779" s="34" t="str">
        <f>IFERROR(VLOOKUP(Table2[[#This Row], [Ticket]],Okey!A:B,2,0),"")</f>
        <v/>
      </c>
      <c r="I3779" s="34"/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>
      <c r="A3780" s="40">
        <f t="shared" si="63"/>
        <v>3779</v>
      </c>
      <c r="B3780" s="34" t="s">
        <v>8</v>
      </c>
      <c r="C3780" s="34" t="s">
        <v>13012</v>
      </c>
      <c r="D3780" s="8" t="s">
        <v>3856</v>
      </c>
      <c r="F3780" s="8" t="s">
        <v>13001</v>
      </c>
      <c r="G3780" s="34" t="s">
        <v>13</v>
      </c>
      <c r="H3780" s="34" t="str">
        <f>IFERROR(VLOOKUP(Table2[[#This Row], [Ticket]],Okey!A:B,2,0),"")</f>
        <v/>
      </c>
      <c r="I3780" s="34"/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>
      <c r="A3781" s="40">
        <f t="shared" si="63"/>
        <v>3780</v>
      </c>
      <c r="B3781" s="34" t="s">
        <v>8</v>
      </c>
      <c r="C3781" s="34" t="s">
        <v>13012</v>
      </c>
      <c r="D3781" s="8" t="s">
        <v>13008</v>
      </c>
      <c r="F3781" s="8" t="s">
        <v>13001</v>
      </c>
      <c r="G3781" s="34" t="s">
        <v>13</v>
      </c>
      <c r="H3781" s="34" t="str">
        <f>IFERROR(VLOOKUP(Table2[[#This Row], [Ticket]],Okey!A:B,2,0),"")</f>
        <v/>
      </c>
      <c r="I3781" s="34"/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>
      <c r="A3782" s="40">
        <f t="shared" si="63"/>
        <v>3781</v>
      </c>
      <c r="B3782" s="34" t="s">
        <v>8</v>
      </c>
      <c r="C3782" s="34" t="s">
        <v>13012</v>
      </c>
      <c r="D3782" s="8" t="s">
        <v>13009</v>
      </c>
      <c r="F3782" s="8" t="s">
        <v>13001</v>
      </c>
      <c r="G3782" s="34" t="s">
        <v>13</v>
      </c>
      <c r="H3782" s="34" t="str">
        <f>IFERROR(VLOOKUP(Table2[[#This Row], [Ticket]],Okey!A:B,2,0),"")</f>
        <v/>
      </c>
      <c r="I3782" s="34"/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>
      <c r="A3783" s="40">
        <f t="shared" si="63"/>
        <v>3782</v>
      </c>
      <c r="B3783" s="34" t="s">
        <v>8</v>
      </c>
      <c r="C3783" s="34" t="s">
        <v>13012</v>
      </c>
      <c r="D3783" s="8" t="s">
        <v>873</v>
      </c>
      <c r="F3783" s="8" t="s">
        <v>13001</v>
      </c>
      <c r="G3783" s="34" t="s">
        <v>13</v>
      </c>
      <c r="H3783" s="34" t="str">
        <f>IFERROR(VLOOKUP(Table2[[#This Row], [Ticket]],Okey!A:B,2,0),"")</f>
        <v/>
      </c>
      <c r="I3783" s="34"/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>
      <c r="A3784" s="40">
        <f t="shared" si="63"/>
        <v>3783</v>
      </c>
      <c r="B3784" s="34" t="s">
        <v>8</v>
      </c>
      <c r="C3784" s="34" t="s">
        <v>13012</v>
      </c>
      <c r="D3784" s="8" t="s">
        <v>13010</v>
      </c>
      <c r="F3784" s="8" t="s">
        <v>13001</v>
      </c>
      <c r="G3784" s="34" t="s">
        <v>13</v>
      </c>
      <c r="H3784" s="34" t="str">
        <f>IFERROR(VLOOKUP(Table2[[#This Row], [Ticket]],Okey!A:B,2,0),"")</f>
        <v/>
      </c>
      <c r="I3784" s="34"/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>
      <c r="A3785" s="40">
        <f t="shared" si="63"/>
        <v>3784</v>
      </c>
      <c r="B3785" s="34" t="s">
        <v>8</v>
      </c>
      <c r="C3785" s="34" t="s">
        <v>13012</v>
      </c>
      <c r="D3785" s="8" t="s">
        <v>3852</v>
      </c>
      <c r="F3785" s="8" t="s">
        <v>13001</v>
      </c>
      <c r="G3785" s="34" t="s">
        <v>13</v>
      </c>
      <c r="H3785" s="34" t="str">
        <f>IFERROR(VLOOKUP(Table2[[#This Row], [Ticket]],Okey!A:B,2,0),"")</f>
        <v/>
      </c>
      <c r="I3785" s="34"/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>
      <c r="A3786" s="40">
        <f t="shared" si="63"/>
        <v>3785</v>
      </c>
      <c r="B3786" s="34" t="s">
        <v>8</v>
      </c>
      <c r="C3786" s="34" t="s">
        <v>13012</v>
      </c>
      <c r="D3786" s="8" t="s">
        <v>13011</v>
      </c>
      <c r="F3786" s="8" t="s">
        <v>13001</v>
      </c>
      <c r="G3786" s="34" t="s">
        <v>13</v>
      </c>
      <c r="H3786" s="34" t="str">
        <f>IFERROR(VLOOKUP(Table2[[#This Row], [Ticket]],Okey!A:B,2,0),"")</f>
        <v/>
      </c>
      <c r="I3786" s="34"/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>
      <c r="A3787" s="40">
        <f t="shared" si="63"/>
        <v>3786</v>
      </c>
      <c r="B3787" s="34" t="s">
        <v>8</v>
      </c>
      <c r="C3787" s="34" t="s">
        <v>13012</v>
      </c>
      <c r="D3787" s="8" t="s">
        <v>8122</v>
      </c>
      <c r="F3787" s="8" t="s">
        <v>13001</v>
      </c>
      <c r="G3787" s="34" t="s">
        <v>13</v>
      </c>
      <c r="H3787" s="34" t="str">
        <f>IFERROR(VLOOKUP(Table2[[#This Row], [Ticket]],Okey!A:B,2,0),"")</f>
        <v/>
      </c>
      <c r="I3787" s="34"/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>
      <c r="A3788" s="40">
        <f t="shared" si="63"/>
        <v>3787</v>
      </c>
      <c r="B3788" s="34" t="s">
        <v>8</v>
      </c>
      <c r="C3788" s="34" t="s">
        <v>13012</v>
      </c>
      <c r="D3788" s="8" t="s">
        <v>8124</v>
      </c>
      <c r="F3788" s="8" t="s">
        <v>13001</v>
      </c>
      <c r="G3788" s="34" t="s">
        <v>13</v>
      </c>
      <c r="H3788" s="34" t="str">
        <f>IFERROR(VLOOKUP(Table2[[#This Row], [Ticket]],Okey!A:B,2,0),"")</f>
        <v/>
      </c>
      <c r="I3788" s="34"/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>
      <c r="A3789" s="40">
        <f t="shared" si="63"/>
        <v>3788</v>
      </c>
      <c r="B3789" s="34" t="s">
        <v>8</v>
      </c>
      <c r="C3789" s="34" t="s">
        <v>13012</v>
      </c>
      <c r="D3789" s="8" t="s">
        <v>8119</v>
      </c>
      <c r="F3789" s="8" t="s">
        <v>13001</v>
      </c>
      <c r="G3789" s="34" t="s">
        <v>13</v>
      </c>
      <c r="H3789" s="34" t="str">
        <f>IFERROR(VLOOKUP(Table2[[#This Row], [Ticket]],Okey!A:B,2,0),"")</f>
        <v/>
      </c>
      <c r="I3789" s="34"/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>
      <c r="A3790" s="40">
        <f t="shared" si="63"/>
        <v>3789</v>
      </c>
      <c r="B3790" s="34" t="s">
        <v>8</v>
      </c>
      <c r="C3790" s="34" t="s">
        <v>13012</v>
      </c>
      <c r="D3790" s="8" t="s">
        <v>8123</v>
      </c>
      <c r="F3790" s="8" t="s">
        <v>13001</v>
      </c>
      <c r="G3790" s="34" t="s">
        <v>13</v>
      </c>
      <c r="H3790" s="34" t="str">
        <f>IFERROR(VLOOKUP(Table2[[#This Row], [Ticket]],Okey!A:B,2,0),"")</f>
        <v/>
      </c>
      <c r="I3790" s="34"/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>
      <c r="A3791" s="40">
        <f t="shared" si="63"/>
        <v>3790</v>
      </c>
      <c r="B3791" s="34" t="s">
        <v>8</v>
      </c>
      <c r="C3791" s="34" t="s">
        <v>13012</v>
      </c>
      <c r="D3791" s="8" t="s">
        <v>8125</v>
      </c>
      <c r="F3791" s="8" t="s">
        <v>13001</v>
      </c>
      <c r="G3791" s="34" t="s">
        <v>13</v>
      </c>
      <c r="H3791" s="34" t="str">
        <f>IFERROR(VLOOKUP(Table2[[#This Row], [Ticket]],Okey!A:B,2,0),"")</f>
        <v/>
      </c>
      <c r="I3791" s="34"/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>
      <c r="A3792" s="40">
        <f t="shared" si="63"/>
        <v>3791</v>
      </c>
      <c r="B3792" s="34" t="s">
        <v>8</v>
      </c>
      <c r="C3792" s="34" t="s">
        <v>13012</v>
      </c>
      <c r="D3792" s="8" t="s">
        <v>8120</v>
      </c>
      <c r="F3792" s="8" t="s">
        <v>13001</v>
      </c>
      <c r="G3792" s="34" t="s">
        <v>13</v>
      </c>
      <c r="H3792" s="34" t="str">
        <f>IFERROR(VLOOKUP(Table2[[#This Row], [Ticket]],Okey!A:B,2,0),"")</f>
        <v/>
      </c>
      <c r="I3792" s="34"/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>
      <c r="A3793" s="40">
        <f t="shared" si="63"/>
        <v>3792</v>
      </c>
      <c r="B3793" s="34" t="s">
        <v>8</v>
      </c>
      <c r="C3793" s="34" t="s">
        <v>13012</v>
      </c>
      <c r="D3793" s="8" t="s">
        <v>7187</v>
      </c>
      <c r="F3793" s="8" t="s">
        <v>13001</v>
      </c>
      <c r="G3793" s="34" t="s">
        <v>13</v>
      </c>
      <c r="H3793" s="34" t="str">
        <f>IFERROR(VLOOKUP(Table2[[#This Row], [Ticket]],Okey!A:B,2,0),"")</f>
        <v/>
      </c>
      <c r="I3793" s="34"/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>
      <c r="A3794" s="40">
        <f t="shared" si="63"/>
        <v>3793</v>
      </c>
      <c r="B3794" s="34" t="s">
        <v>8</v>
      </c>
      <c r="C3794" s="34" t="s">
        <v>13012</v>
      </c>
      <c r="D3794" s="8" t="s">
        <v>7188</v>
      </c>
      <c r="F3794" s="8" t="s">
        <v>13001</v>
      </c>
      <c r="G3794" s="34" t="s">
        <v>13</v>
      </c>
      <c r="H3794" s="34" t="str">
        <f>IFERROR(VLOOKUP(Table2[[#This Row], [Ticket]],Okey!A:B,2,0),"")</f>
        <v/>
      </c>
      <c r="I3794" s="34"/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>
      <c r="A3795" s="40">
        <f t="shared" si="63"/>
        <v>3794</v>
      </c>
      <c r="B3795" s="34" t="s">
        <v>8</v>
      </c>
      <c r="C3795" s="34" t="s">
        <v>13012</v>
      </c>
      <c r="D3795" s="8" t="s">
        <v>7191</v>
      </c>
      <c r="F3795" s="8" t="s">
        <v>13001</v>
      </c>
      <c r="G3795" s="34" t="s">
        <v>13</v>
      </c>
      <c r="H3795" s="34" t="str">
        <f>IFERROR(VLOOKUP(Table2[[#This Row], [Ticket]],Okey!A:B,2,0),"")</f>
        <v/>
      </c>
      <c r="I3795" s="34"/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>
      <c r="A3796" s="40">
        <f t="shared" si="63"/>
        <v>3795</v>
      </c>
      <c r="B3796" s="34" t="s">
        <v>8</v>
      </c>
      <c r="C3796" s="34" t="s">
        <v>13012</v>
      </c>
      <c r="D3796" s="8" t="s">
        <v>8121</v>
      </c>
      <c r="F3796" s="8" t="s">
        <v>13001</v>
      </c>
      <c r="G3796" s="34" t="s">
        <v>13</v>
      </c>
      <c r="H3796" s="34" t="str">
        <f>IFERROR(VLOOKUP(Table2[[#This Row], [Ticket]],Okey!A:B,2,0),"")</f>
        <v/>
      </c>
      <c r="I3796" s="34"/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>
      <c r="A3797" s="40">
        <f t="shared" si="63"/>
        <v>3796</v>
      </c>
      <c r="B3797" s="34" t="s">
        <v>8</v>
      </c>
      <c r="C3797" s="34" t="s">
        <v>13012</v>
      </c>
      <c r="D3797" s="8" t="s">
        <v>8116</v>
      </c>
      <c r="F3797" s="8" t="s">
        <v>13001</v>
      </c>
      <c r="G3797" s="34" t="s">
        <v>13</v>
      </c>
      <c r="H3797" s="34" t="str">
        <f>IFERROR(VLOOKUP(Table2[[#This Row], [Ticket]],Okey!A:B,2,0),"")</f>
        <v/>
      </c>
      <c r="I3797" s="34"/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>
      <c r="A3798" s="40">
        <f t="shared" si="63"/>
        <v>3797</v>
      </c>
      <c r="B3798" s="34" t="s">
        <v>8</v>
      </c>
      <c r="C3798" s="34" t="s">
        <v>13012</v>
      </c>
      <c r="D3798" s="8" t="s">
        <v>8117</v>
      </c>
      <c r="F3798" s="8" t="s">
        <v>13001</v>
      </c>
      <c r="G3798" s="34" t="s">
        <v>13</v>
      </c>
      <c r="H3798" s="34" t="str">
        <f>IFERROR(VLOOKUP(Table2[[#This Row], [Ticket]],Okey!A:B,2,0),"")</f>
        <v/>
      </c>
      <c r="I3798" s="34"/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>
      <c r="A3799" s="40">
        <f t="shared" si="63"/>
        <v>3798</v>
      </c>
      <c r="B3799" s="34" t="s">
        <v>8</v>
      </c>
      <c r="C3799" s="34" t="s">
        <v>13012</v>
      </c>
      <c r="D3799" s="8" t="s">
        <v>8118</v>
      </c>
      <c r="F3799" s="8" t="s">
        <v>13001</v>
      </c>
      <c r="G3799" s="34" t="s">
        <v>13</v>
      </c>
      <c r="H3799" s="34" t="str">
        <f>IFERROR(VLOOKUP(Table2[[#This Row], [Ticket]],Okey!A:B,2,0),"")</f>
        <v/>
      </c>
      <c r="I3799" s="34"/>
      <c r="J3799" s="34" t="str">
        <f>VLOOKUP(Table2[[#This Row],[Author]],People!A:B,2,0)</f>
        <v>HC</v>
      </c>
      <c r="K3799" s="34"/>
      <c r="L3799" s="34"/>
      <c r="M3799" s="34" t="s">
        <v>12133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5895-BA65-40B9-B1FD-3FF818D13BA3}">
  <dimension ref="A1:O11"/>
  <sheetViews>
    <sheetView workbookViewId="0">
      <selection activeCell="C50" sqref="C50:C51"/>
    </sheetView>
  </sheetViews>
  <sheetFormatPr defaultRowHeight="15"/>
  <cols>
    <col min="1" max="1" width="11.140625" bestFit="1" customWidth="1"/>
    <col min="2" max="2" width="8.85546875" bestFit="1" customWidth="1"/>
    <col min="3" max="3" width="12" bestFit="1" customWidth="1"/>
    <col min="6" max="6" width="11.28515625" bestFit="1" customWidth="1"/>
    <col min="7" max="7" width="23.140625" bestFit="1" customWidth="1"/>
    <col min="8" max="12" width="2.140625" bestFit="1" customWidth="1"/>
    <col min="14" max="15" width="11.28515625" bestFit="1" customWidth="1"/>
  </cols>
  <sheetData>
    <row r="1" spans="1:15">
      <c r="A1">
        <v>1000</v>
      </c>
      <c r="B1" t="s">
        <v>12984</v>
      </c>
      <c r="F1">
        <v>1000</v>
      </c>
      <c r="G1" t="s">
        <v>12984</v>
      </c>
      <c r="N1">
        <v>1000</v>
      </c>
    </row>
    <row r="2" spans="1:15">
      <c r="A2" t="s">
        <v>2480</v>
      </c>
      <c r="C2" t="s">
        <v>12974</v>
      </c>
      <c r="F2" s="45" t="s">
        <v>12968</v>
      </c>
      <c r="G2" s="45" t="s">
        <v>12963</v>
      </c>
      <c r="H2" s="111" t="s">
        <v>12985</v>
      </c>
      <c r="I2" s="111" t="s">
        <v>12985</v>
      </c>
      <c r="J2" s="111" t="s">
        <v>12985</v>
      </c>
      <c r="K2" s="111" t="s">
        <v>12985</v>
      </c>
      <c r="L2" s="111" t="s">
        <v>12985</v>
      </c>
      <c r="N2" t="s">
        <v>12964</v>
      </c>
      <c r="O2" t="s">
        <v>12968</v>
      </c>
    </row>
    <row r="3" spans="1:15">
      <c r="A3" t="s">
        <v>4909</v>
      </c>
      <c r="C3" t="s">
        <v>12975</v>
      </c>
      <c r="F3" s="45" t="s">
        <v>12969</v>
      </c>
      <c r="G3" s="45" t="s">
        <v>12965</v>
      </c>
      <c r="H3" s="111" t="s">
        <v>12985</v>
      </c>
      <c r="I3" s="111" t="s">
        <v>12985</v>
      </c>
      <c r="J3" s="111" t="s">
        <v>12985</v>
      </c>
      <c r="K3" s="111" t="s">
        <v>12985</v>
      </c>
      <c r="L3" s="111" t="s">
        <v>12985</v>
      </c>
      <c r="N3" t="s">
        <v>12968</v>
      </c>
      <c r="O3" t="s">
        <v>12969</v>
      </c>
    </row>
    <row r="4" spans="1:15">
      <c r="A4" t="s">
        <v>4909</v>
      </c>
      <c r="C4" t="s">
        <v>12976</v>
      </c>
      <c r="F4" s="45" t="s">
        <v>12970</v>
      </c>
      <c r="G4" s="45" t="s">
        <v>12966</v>
      </c>
      <c r="H4" s="111" t="s">
        <v>12985</v>
      </c>
      <c r="I4" s="111" t="s">
        <v>12985</v>
      </c>
      <c r="J4" s="111" t="s">
        <v>12985</v>
      </c>
      <c r="K4" s="111" t="s">
        <v>12985</v>
      </c>
      <c r="L4" s="111" t="s">
        <v>12985</v>
      </c>
      <c r="N4" t="s">
        <v>12968</v>
      </c>
      <c r="O4" t="s">
        <v>12970</v>
      </c>
    </row>
    <row r="5" spans="1:15">
      <c r="A5" t="s">
        <v>12147</v>
      </c>
      <c r="C5" t="s">
        <v>12977</v>
      </c>
      <c r="F5" s="110" t="s">
        <v>12971</v>
      </c>
      <c r="G5" s="110" t="s">
        <v>12967</v>
      </c>
      <c r="H5" s="111" t="s">
        <v>12985</v>
      </c>
      <c r="I5" s="111" t="s">
        <v>12985</v>
      </c>
      <c r="J5" s="111" t="s">
        <v>12985</v>
      </c>
      <c r="K5" s="111" t="s">
        <v>12985</v>
      </c>
      <c r="L5" s="111" t="s">
        <v>12985</v>
      </c>
      <c r="N5" t="s">
        <v>12968</v>
      </c>
      <c r="O5" t="s">
        <v>12971</v>
      </c>
    </row>
    <row r="6" spans="1:15">
      <c r="A6" t="s">
        <v>12147</v>
      </c>
      <c r="C6" t="s">
        <v>12978</v>
      </c>
    </row>
    <row r="7" spans="1:15">
      <c r="A7" t="s">
        <v>4719</v>
      </c>
      <c r="C7" t="s">
        <v>12979</v>
      </c>
    </row>
    <row r="8" spans="1:15">
      <c r="A8" t="s">
        <v>4719</v>
      </c>
      <c r="C8" t="s">
        <v>12980</v>
      </c>
    </row>
    <row r="9" spans="1:15">
      <c r="A9" t="s">
        <v>4719</v>
      </c>
      <c r="C9" t="s">
        <v>12981</v>
      </c>
    </row>
    <row r="10" spans="1:15">
      <c r="A10" t="s">
        <v>2540</v>
      </c>
      <c r="C10" t="s">
        <v>12982</v>
      </c>
    </row>
    <row r="11" spans="1:15">
      <c r="A11" t="s">
        <v>12146</v>
      </c>
      <c r="C11" t="s">
        <v>12983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6"/>
  <sheetViews>
    <sheetView topLeftCell="A34" workbookViewId="0">
      <selection activeCell="B76" sqref="B76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12973</v>
      </c>
      <c r="B76" s="39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2026-07-24T18:40:35Z</dcterms:modified>
</cp:coreProperties>
</file>