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C8A5AEAC-DFA0-435E-832F-9361B9EC302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5" sheetId="22" r:id="rId3"/>
    <sheet name="Sheet4" sheetId="21" r:id="rId4"/>
    <sheet name="Sheet3" sheetId="20" r:id="rId5"/>
    <sheet name="Sheet2" sheetId="19" r:id="rId6"/>
    <sheet name="Sheet1" sheetId="18" r:id="rId7"/>
    <sheet name="Names" sheetId="5" r:id="rId8"/>
    <sheet name="NEW NODES" sheetId="6" r:id="rId9"/>
    <sheet name="People" sheetId="7" r:id="rId10"/>
    <sheet name="2023" sheetId="8" state="hidden" r:id="rId11"/>
    <sheet name="Sectors" sheetId="9" r:id="rId12"/>
    <sheet name="Okey" sheetId="10" r:id="rId13"/>
    <sheet name="KPI" sheetId="12" r:id="rId14"/>
  </sheets>
  <definedNames>
    <definedName name="_xlnm._FilterDatabase" localSheetId="10">'2023'!$A$1:$M$1</definedName>
    <definedName name="_xlnm._FilterDatabase" localSheetId="7">Names!$A$237:$G$388</definedName>
    <definedName name="_xlnm._FilterDatabase" localSheetId="9">People!$A$1:$B$1</definedName>
    <definedName name="_xlnm._FilterDatabase" localSheetId="3" hidden="1">Sheet4!$A$1:$G$1</definedName>
    <definedName name="_xlnm._FilterDatabase" localSheetId="1">STUCT1!#REF!</definedName>
  </definedNames>
  <calcPr calcId="181029"/>
  <pivotCaches>
    <pivotCache cacheId="0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51" i="1" l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</calcChain>
</file>

<file path=xl/sharedStrings.xml><?xml version="1.0" encoding="utf-8"?>
<sst xmlns="http://schemas.openxmlformats.org/spreadsheetml/2006/main" count="37194" uniqueCount="6750">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</sst>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3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53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53"/>
  <sheetViews>
    <sheetView tabSelected="1" topLeftCell="A1312" workbookViewId="0">
      <selection activeCell="K1336" sqref="K1336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53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25">
      <c r="A1327" s="49">
        <f t="shared" si="21"/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25">
      <c r="A1328" s="49">
        <f t="shared" si="21"/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25">
      <c r="A1329" s="49">
        <f t="shared" si="21"/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25">
      <c r="A1330" s="49">
        <f t="shared" si="21"/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25">
      <c r="A1331" s="49">
        <f t="shared" si="21"/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25">
      <c r="A1332" s="49">
        <f t="shared" si="21"/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25">
      <c r="A1333" s="49">
        <f t="shared" si="21"/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25">
      <c r="A1334" s="49">
        <f t="shared" si="21"/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25">
      <c r="A1335" s="49">
        <f t="shared" si="21"/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25">
      <c r="A1336" s="49">
        <f t="shared" si="21"/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25">
      <c r="A1337" s="49">
        <f t="shared" si="21"/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25">
      <c r="A1338" s="49">
        <f t="shared" si="21"/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25">
      <c r="A1339" s="49">
        <f t="shared" si="21"/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25">
      <c r="A1340" s="49">
        <f t="shared" si="21"/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25">
      <c r="A1341" s="49">
        <f t="shared" si="21"/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25">
      <c r="A1342" s="49">
        <f t="shared" si="21"/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25">
      <c r="A1343" s="49">
        <f t="shared" si="21"/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25">
      <c r="A1344" s="49">
        <f t="shared" si="21"/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25">
      <c r="A1345" s="49">
        <f t="shared" si="21"/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25">
      <c r="A1346" s="49">
        <f t="shared" si="21"/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25">
      <c r="A1347" s="49">
        <f t="shared" si="21"/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25">
      <c r="A1348" s="49">
        <f t="shared" si="21"/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25">
      <c r="A1349" s="49">
        <f t="shared" si="21"/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25">
      <c r="A1350" s="49">
        <f t="shared" si="21"/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  <row r="1351" spans="1:13" x14ac:dyDescent="0.25">
      <c r="A1351" s="49">
        <f t="shared" si="21"/>
        <v>1349</v>
      </c>
      <c r="B1351" s="36" t="s">
        <v>3295</v>
      </c>
      <c r="C1351" s="9" t="s">
        <v>6743</v>
      </c>
      <c r="D1351" s="9" t="s">
        <v>6744</v>
      </c>
      <c r="E1351" s="9" t="s">
        <v>6747</v>
      </c>
      <c r="F1351" s="9" t="s">
        <v>6741</v>
      </c>
      <c r="G1351" s="36" t="s">
        <v>16</v>
      </c>
      <c r="H1351" s="36" t="str">
        <f>IFERROR(VLOOKUP(Table2[[#This Row], [Ticket]],Okey!A:B,2,0),"")</f>
        <v/>
      </c>
      <c r="J1351" s="36" t="str">
        <f>VLOOKUP(Table2[[#This Row], [Author]],People!A:B,2,0)</f>
        <v>MGF</v>
      </c>
      <c r="M1351" s="9" t="s">
        <v>4782</v>
      </c>
    </row>
    <row r="1352" spans="1:13" x14ac:dyDescent="0.25">
      <c r="A1352" s="49">
        <f t="shared" si="21"/>
        <v>1350</v>
      </c>
      <c r="B1352" s="36" t="s">
        <v>3295</v>
      </c>
      <c r="C1352" s="9" t="s">
        <v>6743</v>
      </c>
      <c r="D1352" s="9" t="s">
        <v>6745</v>
      </c>
      <c r="E1352" s="9" t="s">
        <v>6748</v>
      </c>
      <c r="F1352" s="9" t="s">
        <v>6741</v>
      </c>
      <c r="G1352" s="36" t="s">
        <v>16</v>
      </c>
      <c r="H1352" s="36" t="str">
        <f>IFERROR(VLOOKUP(Table2[[#This Row], [Ticket]],Okey!A:B,2,0),"")</f>
        <v/>
      </c>
      <c r="J1352" s="36" t="str">
        <f>VLOOKUP(Table2[[#This Row], [Author]],People!A:B,2,0)</f>
        <v>MGF</v>
      </c>
      <c r="M1352" s="9" t="s">
        <v>4782</v>
      </c>
    </row>
    <row r="1353" spans="1:13" x14ac:dyDescent="0.25">
      <c r="A1353" s="49">
        <f t="shared" si="21"/>
        <v>1351</v>
      </c>
      <c r="B1353" s="36" t="s">
        <v>3295</v>
      </c>
      <c r="C1353" s="9" t="s">
        <v>6743</v>
      </c>
      <c r="D1353" s="9" t="s">
        <v>6746</v>
      </c>
      <c r="E1353" s="9" t="s">
        <v>6749</v>
      </c>
      <c r="F1353" s="9" t="s">
        <v>6742</v>
      </c>
      <c r="G1353" s="36" t="s">
        <v>16</v>
      </c>
      <c r="H1353" s="36" t="str">
        <f>IFERROR(VLOOKUP(Table2[[#This Row], [Ticket]],Okey!A:B,2,0),"")</f>
        <v/>
      </c>
      <c r="J1353" s="36" t="str">
        <f>VLOOKUP(Table2[[#This Row], [Author]],People!A:B,2,0)</f>
        <v>MGF</v>
      </c>
      <c r="M1353" s="9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4"/>
  <sheetViews>
    <sheetView topLeftCell="A16" workbookViewId="0">
      <selection activeCell="A30" sqref="A30:B54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6744</v>
      </c>
      <c r="B26" t="s">
        <v>6747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6745</v>
      </c>
      <c r="B27" t="s">
        <v>6748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6746</v>
      </c>
      <c r="B28" t="s">
        <v>6749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30" spans="1:7" x14ac:dyDescent="0.25">
      <c r="A30">
        <v>1000</v>
      </c>
    </row>
    <row r="31" spans="1:7" x14ac:dyDescent="0.25">
      <c r="A31" t="s">
        <v>6114</v>
      </c>
      <c r="B31" t="s">
        <v>6716</v>
      </c>
    </row>
    <row r="32" spans="1:7" x14ac:dyDescent="0.25">
      <c r="A32" t="s">
        <v>6716</v>
      </c>
      <c r="B32" t="s">
        <v>6725</v>
      </c>
    </row>
    <row r="33" spans="1:2" x14ac:dyDescent="0.25">
      <c r="A33" t="s">
        <v>6114</v>
      </c>
      <c r="B33" t="s">
        <v>6718</v>
      </c>
    </row>
    <row r="34" spans="1:2" x14ac:dyDescent="0.25">
      <c r="A34" t="s">
        <v>6718</v>
      </c>
      <c r="B34" t="s">
        <v>6726</v>
      </c>
    </row>
    <row r="35" spans="1:2" x14ac:dyDescent="0.25">
      <c r="A35" t="s">
        <v>6718</v>
      </c>
      <c r="B35" t="s">
        <v>6719</v>
      </c>
    </row>
    <row r="36" spans="1:2" x14ac:dyDescent="0.25">
      <c r="A36" t="s">
        <v>6719</v>
      </c>
      <c r="B36" t="s">
        <v>6727</v>
      </c>
    </row>
    <row r="37" spans="1:2" x14ac:dyDescent="0.25">
      <c r="A37" t="s">
        <v>6719</v>
      </c>
      <c r="B37" t="s">
        <v>6728</v>
      </c>
    </row>
    <row r="38" spans="1:2" x14ac:dyDescent="0.25">
      <c r="A38" t="s">
        <v>6719</v>
      </c>
      <c r="B38" t="s">
        <v>6720</v>
      </c>
    </row>
    <row r="39" spans="1:2" x14ac:dyDescent="0.25">
      <c r="A39" t="s">
        <v>6720</v>
      </c>
      <c r="B39" t="s">
        <v>6729</v>
      </c>
    </row>
    <row r="40" spans="1:2" x14ac:dyDescent="0.25">
      <c r="A40" t="s">
        <v>6720</v>
      </c>
      <c r="B40" t="s">
        <v>6730</v>
      </c>
    </row>
    <row r="41" spans="1:2" x14ac:dyDescent="0.25">
      <c r="A41" t="s">
        <v>6719</v>
      </c>
      <c r="B41" t="s">
        <v>6721</v>
      </c>
    </row>
    <row r="42" spans="1:2" x14ac:dyDescent="0.25">
      <c r="A42" t="s">
        <v>6721</v>
      </c>
      <c r="B42" t="s">
        <v>6731</v>
      </c>
    </row>
    <row r="43" spans="1:2" x14ac:dyDescent="0.25">
      <c r="A43" t="s">
        <v>6721</v>
      </c>
      <c r="B43" t="s">
        <v>6732</v>
      </c>
    </row>
    <row r="44" spans="1:2" x14ac:dyDescent="0.25">
      <c r="A44" t="s">
        <v>6721</v>
      </c>
      <c r="B44" t="s">
        <v>6733</v>
      </c>
    </row>
    <row r="45" spans="1:2" x14ac:dyDescent="0.25">
      <c r="A45" t="s">
        <v>6721</v>
      </c>
      <c r="B45" t="s">
        <v>6734</v>
      </c>
    </row>
    <row r="46" spans="1:2" x14ac:dyDescent="0.25">
      <c r="A46" t="s">
        <v>6721</v>
      </c>
      <c r="B46" t="s">
        <v>6735</v>
      </c>
    </row>
    <row r="47" spans="1:2" x14ac:dyDescent="0.25">
      <c r="A47" t="s">
        <v>6718</v>
      </c>
      <c r="B47" t="s">
        <v>6722</v>
      </c>
    </row>
    <row r="48" spans="1:2" x14ac:dyDescent="0.25">
      <c r="A48" t="s">
        <v>6722</v>
      </c>
      <c r="B48" t="s">
        <v>6736</v>
      </c>
    </row>
    <row r="49" spans="1:2" x14ac:dyDescent="0.25">
      <c r="A49" t="s">
        <v>6722</v>
      </c>
      <c r="B49" t="s">
        <v>6723</v>
      </c>
    </row>
    <row r="50" spans="1:2" x14ac:dyDescent="0.25">
      <c r="A50" t="s">
        <v>6723</v>
      </c>
      <c r="B50" t="s">
        <v>6737</v>
      </c>
    </row>
    <row r="51" spans="1:2" x14ac:dyDescent="0.25">
      <c r="A51" t="s">
        <v>6723</v>
      </c>
      <c r="B51" t="s">
        <v>6738</v>
      </c>
    </row>
    <row r="52" spans="1:2" x14ac:dyDescent="0.25">
      <c r="A52" t="s">
        <v>6722</v>
      </c>
      <c r="B52" t="s">
        <v>6724</v>
      </c>
    </row>
    <row r="53" spans="1:2" x14ac:dyDescent="0.25">
      <c r="A53" t="s">
        <v>6724</v>
      </c>
      <c r="B53" t="s">
        <v>6739</v>
      </c>
    </row>
    <row r="54" spans="1:2" x14ac:dyDescent="0.25">
      <c r="A54" t="s">
        <v>6724</v>
      </c>
      <c r="B54" t="s">
        <v>6740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5" x14ac:dyDescent="0.25"/>
  <cols>
    <col min="2" max="2" width="11.28515625" bestFit="1" customWidth="1"/>
    <col min="3" max="3" width="38.5703125" bestFit="1" customWidth="1"/>
    <col min="4" max="4" width="11.28515625" bestFit="1" customWidth="1"/>
  </cols>
  <sheetData>
    <row r="2" spans="1:7" x14ac:dyDescent="0.25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25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25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25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25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25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25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25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25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25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25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25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25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25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25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25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25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25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25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25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25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25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25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25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22" workbookViewId="0">
      <selection activeCell="B38" sqref="B38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STUCT1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2025-09-25T18:34:21Z</dcterms:modified>
</cp:coreProperties>
</file>